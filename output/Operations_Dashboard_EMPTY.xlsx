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tables/table8.xml" ContentType="application/vnd.openxmlformats-officedocument.spreadsheetml.table+xml"/>
  <Override PartName="/xl/worksheets/sheet19.xml" ContentType="application/vnd.openxmlformats-officedocument.spreadsheetml.worksheet+xml"/>
  <Override PartName="/xl/tables/table9.xml" ContentType="application/vnd.openxmlformats-officedocument.spreadsheetml.table+xml"/>
  <Override PartName="/xl/worksheets/sheet20.xml" ContentType="application/vnd.openxmlformats-officedocument.spreadsheetml.worksheet+xml"/>
  <Override PartName="/xl/tables/table10.xml" ContentType="application/vnd.openxmlformats-officedocument.spreadsheetml.table+xml"/>
  <Override PartName="/xl/worksheets/sheet21.xml" ContentType="application/vnd.openxmlformats-officedocument.spreadsheetml.worksheet+xml"/>
  <Override PartName="/xl/tables/table11.xml" ContentType="application/vnd.openxmlformats-officedocument.spreadsheetml.table+xml"/>
  <Override PartName="/xl/worksheets/sheet22.xml" ContentType="application/vnd.openxmlformats-officedocument.spreadsheetml.worksheet+xml"/>
  <Override PartName="/xl/tables/table12.xml" ContentType="application/vnd.openxmlformats-officedocument.spreadsheetml.table+xml"/>
  <Override PartName="/xl/worksheets/sheet23.xml" ContentType="application/vnd.openxmlformats-officedocument.spreadsheetml.worksheet+xml"/>
  <Override PartName="/xl/tables/table13.xml" ContentType="application/vnd.openxmlformats-officedocument.spreadsheetml.table+xml"/>
  <Override PartName="/xl/worksheets/sheet24.xml" ContentType="application/vnd.openxmlformats-officedocument.spreadsheetml.worksheet+xml"/>
  <Override PartName="/xl/tables/table14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MASTER DASHBOARD" sheetId="2" state="visible" r:id="rId2"/>
    <sheet name="WSF DASHBOARD" sheetId="3" state="visible" r:id="rId3"/>
    <sheet name="MIDWEEK DASHBOARD" sheetId="4" state="visible" r:id="rId4"/>
    <sheet name="CHOP DASHBOARD" sheetId="5" state="visible" r:id="rId5"/>
    <sheet name="COMMUNITY CHURCH DASHBOARD" sheetId="6" state="visible" r:id="rId6"/>
    <sheet name="TRANSPORT DASHBOARD" sheetId="7" state="visible" r:id="rId7"/>
    <sheet name="AREA SCORECARD" sheetId="8" state="visible" r:id="rId8"/>
    <sheet name="ZONE SCORECARD" sheetId="9" state="visible" r:id="rId9"/>
    <sheet name="DATA QUALITY" sheetId="10" state="visible" r:id="rId10"/>
    <sheet name="DATA_WSF" sheetId="11" state="visible" r:id="rId11"/>
    <sheet name="WSF_CELLS_CURRENT" sheetId="12" state="visible" r:id="rId12"/>
    <sheet name="DATA_MIDWEEK" sheetId="13" state="visible" r:id="rId13"/>
    <sheet name="DATA_CHOP" sheetId="14" state="visible" r:id="rId14"/>
    <sheet name="DATA_COMMUNITY" sheetId="15" state="visible" r:id="rId15"/>
    <sheet name="DATA_TRANSPORT" sheetId="16" state="visible" r:id="rId16"/>
    <sheet name="DATA_TRANSPORT_COSTS" sheetId="17" state="visible" r:id="rId17"/>
    <sheet name="DATA_TRANSPORT_BUDGET" sheetId="18" state="visible" r:id="rId18"/>
    <sheet name="MASTER_AREAS" sheetId="19" state="visible" r:id="rId19"/>
    <sheet name="MASTER_ZONES" sheetId="20" state="visible" r:id="rId20"/>
    <sheet name="MASTER_CELLS" sheetId="21" state="visible" r:id="rId21"/>
    <sheet name="MASTER_COMMUNITY" sheetId="22" state="visible" r:id="rId22"/>
    <sheet name="MASTER_FLEET" sheetId="23" state="visible" r:id="rId23"/>
    <sheet name="CALENDAR" sheetId="24" state="hidden" r:id="rId24"/>
    <sheet name="SETTINGS" sheetId="25" state="hidden" r:id="rId25"/>
    <sheet name="CALC_LISTS" sheetId="26" state="hidden" r:id="rId26"/>
    <sheet name="CALC_SEARCH" sheetId="27" state="hidden" r:id="rId27"/>
    <sheet name="CALC_WSF" sheetId="28" state="hidden" r:id="rId28"/>
    <sheet name="CALC_TRANSPORT" sheetId="29" state="hidden" r:id="rId29"/>
  </sheets>
  <definedNames>
    <definedName name="WeekEndDay">SETTINGS!$B$4</definedName>
    <definedName name="DefaultWindow">SETTINGS!$B$5</definedName>
    <definedName name="RAG_Green">SETTINGS!$B$6</definedName>
    <definedName name="RAG_Amber">SETTINGS!$B$7</definedName>
    <definedName name="UtilLow">SETTINGS!$B$8</definedName>
    <definedName name="UtilHigh">SETTINGS!$B$9</definedName>
    <definedName name="UtilLowWeeks">SETTINGS!$B$10</definedName>
    <definedName name="Cap_FT">SETTINGS!$B$11</definedName>
    <definedName name="Cap_Coaster">SETTINGS!$B$12</definedName>
    <definedName name="Cap_Electric">SETTINGS!$B$13</definedName>
    <definedName name="Cap_Big">SETTINGS!$B$14</definedName>
    <definedName name="CurrencySymbol">SETTINGS!$B$15</definedName>
    <definedName name="WSF_SelectList">OFFSET(CALC_SEARCH!$C$2,0,0,MAX(1,MIN(250,CALC_SEARCH!$D$2)),1)</definedName>
    <definedName name="WSF_WeekList">OFFSET(CALC_LISTS!$A$1,0,0,1+CALC_LISTS!$B$6,1)</definedName>
    <definedName name="TRANSPORT_SelectList">OFFSET(CALC_SEARCH!$H$2,0,0,MAX(1,MIN(250,CALC_SEARCH!$I$2)),1)</definedName>
    <definedName name="TRANSPORT_WeekList">OFFSET(CALC_LISTS!$C$1,0,0,1+CALC_LISTS!$D$6,1)</definedName>
    <definedName name="_xlnm.Print_Titles" localSheetId="2">'WSF DASHBOARD'!$1:$5</definedName>
    <definedName name="_xlnm.Print_Area" localSheetId="2">'WSF DASHBOARD'!$A$1:$P$110</definedName>
    <definedName name="_xlnm.Print_Titles" localSheetId="6">'TRANSPORT DASHBOARD'!$1:$5</definedName>
    <definedName name="_xlnm.Print_Area" localSheetId="6">'TRANSPORT DASHBOARD'!$A$1:$P$113</definedName>
    <definedName name="_xlnm.Print_Titles" localSheetId="9">'DATA QUALITY'!$1:$2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%"/>
    <numFmt numFmtId="165" formatCode="dd-mmm-yyyy"/>
    <numFmt numFmtId="166" formatCode="yyyy-mm-dd hh:mm"/>
    <numFmt numFmtId="167" formatCode="&quot;₦&quot;#,##0"/>
    <numFmt numFmtId="168" formatCode="#,##0.0"/>
    <numFmt numFmtId="169" formatCode="+#,##0;-#,##0;0"/>
    <numFmt numFmtId="170" formatCode="+0.0%;-0.0%;0.0%"/>
    <numFmt numFmtId="171" formatCode="+0.0&quot; pts&quot;;-0.0&quot; pts&quot;;0.0&quot; pts&quot;"/>
    <numFmt numFmtId="172" formatCode="0.0&quot; : 1&quot;"/>
    <numFmt numFmtId="173" formatCode="+0.0;-0.0;0.0"/>
    <numFmt numFmtId="174" formatCode="+#,##0.0;-#,##0.0;0.0"/>
    <numFmt numFmtId="175" formatCode="&quot;₦&quot;#,##0.00"/>
    <numFmt numFmtId="176" formatCode="+&quot;₦&quot;#,##0;-&quot;₦&quot;#,##0;&quot;₦&quot;0"/>
    <numFmt numFmtId="177" formatCode="+&quot;₦&quot;#,##0.00;-&quot;₦&quot;#,##0.00;&quot;₦&quot;0.00"/>
  </numFmts>
  <fonts count="49">
    <font>
      <name val="Calibri"/>
      <family val="2"/>
      <color theme="1"/>
      <sz val="11"/>
      <scheme val="minor"/>
    </font>
    <font>
      <name val="Arial"/>
      <b val="1"/>
      <color rgb="001B2A41"/>
      <sz val="16"/>
    </font>
    <font>
      <name val="Arial"/>
      <i val="1"/>
      <color rgb="006B7785"/>
      <sz val="9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1F2933"/>
      <sz val="10"/>
    </font>
    <font>
      <name val="Arial"/>
      <color rgb="006B7785"/>
      <sz val="9"/>
    </font>
    <font>
      <name val="Arial"/>
      <color rgb="000000FF"/>
      <sz val="10"/>
    </font>
    <font>
      <name val="Arial"/>
      <b val="1"/>
      <color rgb="001F2933"/>
      <sz val="11"/>
    </font>
    <font>
      <name val="Arial"/>
      <b val="1"/>
      <color rgb="001F2933"/>
      <sz val="9"/>
    </font>
    <font>
      <name val="Arial"/>
      <b val="1"/>
      <color rgb="00FFFFFF"/>
      <sz val="18"/>
    </font>
    <font>
      <name val="Arial"/>
      <color rgb="00BBCFE4"/>
      <sz val="9"/>
    </font>
    <font>
      <name val="Arial"/>
      <b val="1"/>
      <color rgb="005787BD"/>
      <sz val="8"/>
    </font>
    <font>
      <name val="Arial"/>
      <i val="1"/>
      <color rgb="004B7FB9"/>
      <sz val="9"/>
    </font>
    <font>
      <name val="Arial"/>
      <b val="1"/>
      <color rgb="004077B5"/>
      <sz val="8"/>
    </font>
    <font>
      <name val="Arial"/>
      <b val="1"/>
      <color rgb="001F5FA8"/>
      <sz val="20"/>
    </font>
    <font>
      <name val="Arial"/>
      <b val="1"/>
      <color rgb="006B7785"/>
      <sz val="9"/>
    </font>
    <font>
      <name val="Arial"/>
      <color rgb="006B7785"/>
      <sz val="8"/>
    </font>
    <font>
      <name val="Arial"/>
      <b val="1"/>
      <color rgb="001F5FA8"/>
      <sz val="12"/>
    </font>
    <font>
      <name val="Arial"/>
      <b val="1"/>
      <color rgb="00FFFFFF"/>
      <sz val="9"/>
    </font>
    <font>
      <name val="Arial"/>
      <color rgb="001F2933"/>
      <sz val="9"/>
    </font>
    <font>
      <name val="Arial"/>
      <i val="1"/>
      <color rgb="006B7785"/>
      <sz val="8"/>
    </font>
    <font>
      <name val="Arial"/>
      <b val="1"/>
      <color rgb="001F5FA8"/>
      <sz val="9"/>
    </font>
    <font>
      <name val="Arial"/>
      <b val="1"/>
      <color rgb="00A61B1B"/>
      <sz val="9"/>
    </font>
    <font>
      <name val="Arial"/>
      <color rgb="00F3D5BA"/>
      <sz val="9"/>
    </font>
    <font>
      <name val="Arial"/>
      <b val="1"/>
      <color rgb="00E29653"/>
      <sz val="8"/>
    </font>
    <font>
      <name val="Arial"/>
      <i val="1"/>
      <color rgb="00E08F47"/>
      <sz val="9"/>
    </font>
    <font>
      <name val="Arial"/>
      <b val="1"/>
      <color rgb="00DE883C"/>
      <sz val="8"/>
    </font>
    <font>
      <name val="Arial"/>
      <b val="1"/>
      <color rgb="00D9731A"/>
      <sz val="18"/>
    </font>
    <font>
      <name val="Arial"/>
      <b val="1"/>
      <color rgb="00D9731A"/>
      <sz val="12"/>
    </font>
    <font>
      <name val="Arial"/>
      <color rgb="00A61B1B"/>
      <sz val="9"/>
    </font>
    <font>
      <name val="Arial"/>
      <color rgb="00BABFC6"/>
      <sz val="9"/>
    </font>
    <font>
      <name val="Arial"/>
      <i val="1"/>
      <color rgb="006B7785"/>
      <sz val="11"/>
    </font>
    <font>
      <name val="Arial"/>
      <color rgb="00B7D7D5"/>
      <sz val="9"/>
    </font>
    <font>
      <name val="Arial"/>
      <color rgb="00D2C5E2"/>
      <sz val="9"/>
    </font>
    <font>
      <name val="Arial"/>
      <color rgb="00E8C6D3"/>
      <sz val="9"/>
    </font>
    <font>
      <name val="Arial"/>
      <color rgb="00CDD1D4"/>
      <sz val="9"/>
    </font>
    <font>
      <name val="Arial"/>
      <b val="1"/>
      <color rgb="005B6770"/>
      <sz val="12"/>
    </font>
    <font>
      <name val="Arial"/>
      <b val="1"/>
      <color rgb="001B2A41"/>
      <sz val="12"/>
    </font>
    <font>
      <name val="Arial"/>
      <b val="1"/>
      <color rgb="00FFFFFF"/>
      <sz val="11"/>
    </font>
    <font>
      <name val="Arial"/>
      <color rgb="00D1D4D9"/>
      <sz val="8"/>
    </font>
    <font>
      <name val="Arial"/>
      <color rgb="00D2DFED"/>
      <sz val="8"/>
    </font>
    <font>
      <name val="Arial"/>
      <color rgb="00CFE4E3"/>
      <sz val="8"/>
    </font>
    <font>
      <name val="Arial"/>
      <color rgb="00E1D8EC"/>
      <sz val="8"/>
    </font>
    <font>
      <name val="Arial"/>
      <color rgb="00F0D9E2"/>
      <sz val="8"/>
    </font>
    <font>
      <name val="Arial"/>
      <color rgb="00F7E3D1"/>
      <sz val="8"/>
    </font>
    <font>
      <name val="Arial"/>
      <color rgb="00DEE0E2"/>
      <sz val="8"/>
    </font>
    <font>
      <name val="Arial"/>
      <b val="1"/>
      <color rgb="001B2A41"/>
      <sz val="10"/>
    </font>
    <font>
      <name val="Arial"/>
      <b val="1"/>
      <color rgb="008A5A00"/>
      <sz val="9"/>
    </font>
  </fonts>
  <fills count="21">
    <fill>
      <patternFill/>
    </fill>
    <fill>
      <patternFill patternType="gray125"/>
    </fill>
    <fill>
      <patternFill patternType="solid">
        <fgColor rgb="001B2A41"/>
        <bgColor rgb="001B2A41"/>
      </patternFill>
    </fill>
    <fill>
      <patternFill patternType="solid">
        <fgColor rgb="00FFFFE0"/>
        <bgColor rgb="00FFFFE0"/>
      </patternFill>
    </fill>
    <fill>
      <patternFill patternType="solid">
        <fgColor rgb="001F5FA8"/>
        <bgColor rgb="001F5FA8"/>
      </patternFill>
    </fill>
    <fill>
      <patternFill patternType="solid">
        <fgColor rgb="000F7C74"/>
        <bgColor rgb="000F7C74"/>
      </patternFill>
    </fill>
    <fill>
      <patternFill patternType="solid">
        <fgColor rgb="006A3FA0"/>
        <bgColor rgb="006A3FA0"/>
      </patternFill>
    </fill>
    <fill>
      <patternFill patternType="solid">
        <fgColor rgb="00B5446E"/>
        <bgColor rgb="00B5446E"/>
      </patternFill>
    </fill>
    <fill>
      <patternFill patternType="solid">
        <fgColor rgb="00D9731A"/>
        <bgColor rgb="00D9731A"/>
      </patternFill>
    </fill>
    <fill>
      <patternFill patternType="solid">
        <fgColor rgb="005B6770"/>
        <bgColor rgb="005B6770"/>
      </patternFill>
    </fill>
    <fill>
      <patternFill patternType="solid">
        <fgColor rgb="00E8EFF6"/>
        <bgColor rgb="00E8EFF6"/>
      </patternFill>
    </fill>
    <fill>
      <patternFill patternType="solid">
        <fgColor rgb="00FFFFFF"/>
        <bgColor rgb="00FFFFFF"/>
      </patternFill>
    </fill>
    <fill>
      <patternFill patternType="solid">
        <fgColor rgb="00D2DFED"/>
        <bgColor rgb="00D2DFED"/>
      </patternFill>
    </fill>
    <fill>
      <patternFill patternType="solid">
        <fgColor rgb="00EDF2F8"/>
        <bgColor rgb="00EDF2F8"/>
      </patternFill>
    </fill>
    <fill>
      <patternFill patternType="solid">
        <fgColor rgb="00F3F7FA"/>
        <bgColor rgb="00F3F7FA"/>
      </patternFill>
    </fill>
    <fill>
      <patternFill patternType="solid">
        <fgColor rgb="00FBF1E8"/>
        <bgColor rgb="00FBF1E8"/>
      </patternFill>
    </fill>
    <fill>
      <patternFill patternType="solid">
        <fgColor rgb="00F7E3D1"/>
        <bgColor rgb="00F7E3D1"/>
      </patternFill>
    </fill>
    <fill>
      <patternFill patternType="solid">
        <fgColor rgb="00FBF3EC"/>
        <bgColor rgb="00FBF3EC"/>
      </patternFill>
    </fill>
    <fill>
      <patternFill patternType="solid">
        <fgColor rgb="00FCF5EE"/>
        <bgColor rgb="00FCF5EE"/>
      </patternFill>
    </fill>
    <fill>
      <patternFill patternType="solid">
        <fgColor rgb="00FDF8F3"/>
        <bgColor rgb="00FDF8F3"/>
      </patternFill>
    </fill>
    <fill>
      <patternFill patternType="solid">
        <fgColor rgb="00FFF1CC"/>
        <bgColor rgb="00FFF1CC"/>
      </patternFill>
    </fill>
  </fills>
  <borders count="21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  <border>
      <left style="thick">
        <color rgb="00FFFFFF"/>
      </left>
      <top style="thick">
        <color rgb="001F5FA8"/>
      </top>
    </border>
    <border>
      <right style="thick">
        <color rgb="00FFFFFF"/>
      </right>
      <top style="thick">
        <color rgb="001F5FA8"/>
      </top>
    </border>
    <border>
      <left style="thick">
        <color rgb="00FFFFFF"/>
      </left>
    </border>
    <border>
      <right style="thick">
        <color rgb="00FFFFFF"/>
      </right>
    </border>
    <border>
      <left style="thick">
        <color rgb="00FFFFFF"/>
      </left>
      <right style="thick">
        <color rgb="00FFFFFF"/>
      </right>
      <top style="thick">
        <color rgb="001F5FA8"/>
      </top>
    </border>
    <border>
      <left/>
      <right/>
      <top style="thick">
        <color rgb="001F5FA8"/>
      </top>
      <bottom/>
      <diagonal/>
    </border>
    <border>
      <left/>
      <right style="thick">
        <color rgb="00FFFFFF"/>
      </right>
      <top style="thick">
        <color rgb="001F5FA8"/>
      </top>
      <bottom/>
      <diagonal/>
    </border>
    <border>
      <left style="thick">
        <color rgb="00FFFFFF"/>
      </left>
      <right style="thick">
        <color rgb="00FFFFFF"/>
      </right>
    </border>
    <border>
      <left/>
      <right style="thick">
        <color rgb="00FFFFFF"/>
      </right>
      <top/>
      <bottom/>
      <diagonal/>
    </border>
    <border>
      <bottom style="medium">
        <color rgb="001F5FA8"/>
      </bottom>
    </border>
    <border>
      <bottom style="thin">
        <color rgb="00D5DAE1"/>
      </bottom>
    </border>
    <border>
      <left style="thick">
        <color rgb="00FFFFFF"/>
      </left>
      <top style="thick">
        <color rgb="00D9731A"/>
      </top>
    </border>
    <border>
      <right style="thick">
        <color rgb="00FFFFFF"/>
      </right>
      <top style="thick">
        <color rgb="00D9731A"/>
      </top>
    </border>
    <border>
      <left style="thick">
        <color rgb="00FFFFFF"/>
      </left>
      <right style="thick">
        <color rgb="00FFFFFF"/>
      </right>
      <top style="thick">
        <color rgb="00D9731A"/>
      </top>
    </border>
    <border>
      <left/>
      <right/>
      <top style="thick">
        <color rgb="00D9731A"/>
      </top>
      <bottom/>
      <diagonal/>
    </border>
    <border>
      <left/>
      <right style="thick">
        <color rgb="00FFFFFF"/>
      </right>
      <top style="thick">
        <color rgb="00D9731A"/>
      </top>
      <bottom/>
      <diagonal/>
    </border>
    <border>
      <bottom style="medium">
        <color rgb="00D9731A"/>
      </bottom>
    </border>
    <border>
      <bottom style="medium">
        <color rgb="005B6770"/>
      </bottom>
    </border>
    <border>
      <bottom style="medium">
        <color rgb="001B2A41"/>
      </bottom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0" fillId="2" borderId="0" pivotButton="0" quotePrefix="0" xfId="0"/>
    <xf numFmtId="0" fontId="10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31" fillId="2" borderId="0" applyAlignment="1" pivotButton="0" quotePrefix="0" xfId="0">
      <alignment horizontal="left" vertical="center"/>
    </xf>
    <xf numFmtId="0" fontId="38" fillId="0" borderId="20" applyAlignment="1" pivotButton="0" quotePrefix="0" xfId="0">
      <alignment horizontal="left" vertical="center"/>
    </xf>
    <xf numFmtId="0" fontId="0" fillId="0" borderId="20" pivotButton="0" quotePrefix="0" xfId="0"/>
    <xf numFmtId="0" fontId="39" fillId="2" borderId="0" applyAlignment="1" pivotButton="0" quotePrefix="0" xfId="0">
      <alignment horizontal="center" vertical="center" wrapText="1"/>
    </xf>
    <xf numFmtId="0" fontId="39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9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40" fillId="2" borderId="0" applyAlignment="1" pivotButton="0" quotePrefix="0" xfId="0">
      <alignment horizontal="center" vertical="center" wrapText="1"/>
    </xf>
    <xf numFmtId="0" fontId="41" fillId="4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39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39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39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43" fillId="6" borderId="0" applyAlignment="1" pivotButton="0" quotePrefix="0" xfId="0">
      <alignment horizontal="center" vertical="center" wrapText="1"/>
    </xf>
    <xf numFmtId="0" fontId="44" fillId="7" borderId="0" applyAlignment="1" pivotButton="0" quotePrefix="0" xfId="0">
      <alignment horizontal="center" vertical="center" wrapText="1"/>
    </xf>
    <xf numFmtId="0" fontId="45" fillId="8" borderId="0" applyAlignment="1" pivotButton="0" quotePrefix="0" xfId="0">
      <alignment horizontal="center" vertical="center" wrapText="1"/>
    </xf>
    <xf numFmtId="0" fontId="39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46" fillId="9" borderId="0" applyAlignment="1" pivotButton="0" quotePrefix="0" xfId="0">
      <alignment horizontal="center" vertical="center" wrapText="1"/>
    </xf>
    <xf numFmtId="0" fontId="4" fillId="0" borderId="0" pivotButton="0" quotePrefix="0" xfId="0"/>
    <xf numFmtId="166" fontId="4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top" wrapText="1"/>
    </xf>
    <xf numFmtId="0" fontId="19" fillId="2" borderId="0" pivotButton="0" quotePrefix="0" xfId="0"/>
    <xf numFmtId="0" fontId="5" fillId="0" borderId="0" pivotButton="0" quotePrefix="0" xfId="0"/>
    <xf numFmtId="165" fontId="4" fillId="0" borderId="0" applyAlignment="1" pivotButton="0" quotePrefix="0" xfId="0">
      <alignment horizontal="left" vertical="center"/>
    </xf>
    <xf numFmtId="3" fontId="5" fillId="0" borderId="0" pivotButton="0" quotePrefix="0" xfId="0"/>
    <xf numFmtId="0" fontId="48" fillId="20" borderId="0" applyAlignment="1" pivotButton="0" quotePrefix="0" xfId="0">
      <alignment horizontal="left" vertical="top" wrapText="1"/>
    </xf>
    <xf numFmtId="0" fontId="0" fillId="20" borderId="0" pivotButton="0" quotePrefix="0" xfId="0"/>
    <xf numFmtId="0" fontId="32" fillId="0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8" fillId="12" borderId="1" applyAlignment="1" pivotButton="0" quotePrefix="0" xfId="0">
      <alignment horizontal="center" vertical="center" wrapText="1"/>
    </xf>
    <xf numFmtId="165" fontId="8" fillId="11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  <xf numFmtId="0" fontId="14" fillId="13" borderId="6" applyAlignment="1" pivotButton="0" quotePrefix="0" xfId="0">
      <alignment horizontal="center" vertical="center" wrapText="1"/>
    </xf>
    <xf numFmtId="0" fontId="0" fillId="0" borderId="8" pivotButton="0" quotePrefix="0" xfId="0"/>
    <xf numFmtId="3" fontId="15" fillId="13" borderId="9" applyAlignment="1" pivotButton="0" quotePrefix="0" xfId="0">
      <alignment horizontal="center" vertical="center" wrapText="1"/>
    </xf>
    <xf numFmtId="0" fontId="0" fillId="0" borderId="10" pivotButton="0" quotePrefix="0" xfId="0"/>
    <xf numFmtId="164" fontId="15" fillId="13" borderId="9" applyAlignment="1" pivotButton="0" quotePrefix="0" xfId="0">
      <alignment horizontal="center" vertical="center" wrapText="1"/>
    </xf>
    <xf numFmtId="168" fontId="15" fillId="13" borderId="9" applyAlignment="1" pivotButton="0" quotePrefix="0" xfId="0">
      <alignment horizontal="center" vertical="center" wrapText="1"/>
    </xf>
    <xf numFmtId="0" fontId="16" fillId="13" borderId="9" applyAlignment="1" pivotButton="0" quotePrefix="0" xfId="0">
      <alignment horizontal="center" vertical="center" wrapText="1"/>
    </xf>
    <xf numFmtId="0" fontId="17" fillId="13" borderId="9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left" vertical="center"/>
    </xf>
    <xf numFmtId="0" fontId="0" fillId="0" borderId="11" pivotButton="0" quotePrefix="0" xfId="0"/>
    <xf numFmtId="0" fontId="19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left" vertical="center"/>
    </xf>
    <xf numFmtId="0" fontId="0" fillId="14" borderId="0" pivotButton="0" quotePrefix="0" xfId="0"/>
    <xf numFmtId="3" fontId="9" fillId="14" borderId="0" applyAlignment="1" pivotButton="0" quotePrefix="0" xfId="0">
      <alignment horizontal="right" vertical="center"/>
    </xf>
    <xf numFmtId="3" fontId="20" fillId="14" borderId="0" applyAlignment="1" pivotButton="0" quotePrefix="0" xfId="0">
      <alignment horizontal="right" vertical="center"/>
    </xf>
    <xf numFmtId="169" fontId="20" fillId="14" borderId="0" applyAlignment="1" pivotButton="0" quotePrefix="0" xfId="0">
      <alignment horizontal="right" vertical="center"/>
    </xf>
    <xf numFmtId="170" fontId="20" fillId="14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right" vertical="center"/>
    </xf>
    <xf numFmtId="3" fontId="20" fillId="0" borderId="0" applyAlignment="1" pivotButton="0" quotePrefix="0" xfId="0">
      <alignment horizontal="right" vertical="center"/>
    </xf>
    <xf numFmtId="169" fontId="20" fillId="0" borderId="0" applyAlignment="1" pivotButton="0" quotePrefix="0" xfId="0">
      <alignment horizontal="right" vertical="center"/>
    </xf>
    <xf numFmtId="170" fontId="20" fillId="0" borderId="0" applyAlignment="1" pivotButton="0" quotePrefix="0" xfId="0">
      <alignment horizontal="right" vertical="center"/>
    </xf>
    <xf numFmtId="0" fontId="20" fillId="14" borderId="0" applyAlignment="1" pivotButton="0" quotePrefix="0" xfId="0">
      <alignment horizontal="left" vertical="center"/>
    </xf>
    <xf numFmtId="164" fontId="9" fillId="14" borderId="0" applyAlignment="1" pivotButton="0" quotePrefix="0" xfId="0">
      <alignment horizontal="right" vertical="center"/>
    </xf>
    <xf numFmtId="164" fontId="20" fillId="14" borderId="0" applyAlignment="1" pivotButton="0" quotePrefix="0" xfId="0">
      <alignment horizontal="right" vertical="center"/>
    </xf>
    <xf numFmtId="171" fontId="20" fillId="14" borderId="0" applyAlignment="1" pivotButton="0" quotePrefix="0" xfId="0">
      <alignment horizontal="right" vertical="center"/>
    </xf>
    <xf numFmtId="172" fontId="9" fillId="0" borderId="0" applyAlignment="1" pivotButton="0" quotePrefix="0" xfId="0">
      <alignment horizontal="right" vertical="center"/>
    </xf>
    <xf numFmtId="172" fontId="20" fillId="0" borderId="0" applyAlignment="1" pivotButton="0" quotePrefix="0" xfId="0">
      <alignment horizontal="right" vertical="center"/>
    </xf>
    <xf numFmtId="173" fontId="20" fillId="0" borderId="0" applyAlignment="1" pivotButton="0" quotePrefix="0" xfId="0">
      <alignment horizontal="right" vertical="center"/>
    </xf>
    <xf numFmtId="168" fontId="9" fillId="14" borderId="0" applyAlignment="1" pivotButton="0" quotePrefix="0" xfId="0">
      <alignment horizontal="right" vertical="center"/>
    </xf>
    <xf numFmtId="168" fontId="20" fillId="14" borderId="0" applyAlignment="1" pivotButton="0" quotePrefix="0" xfId="0">
      <alignment horizontal="right" vertical="center"/>
    </xf>
    <xf numFmtId="174" fontId="20" fillId="14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/>
    </xf>
    <xf numFmtId="0" fontId="21" fillId="0" borderId="11" applyAlignment="1" pivotButton="0" quotePrefix="0" xfId="0">
      <alignment horizontal="right" vertical="center"/>
    </xf>
    <xf numFmtId="0" fontId="20" fillId="0" borderId="12" pivotButton="0" quotePrefix="0" xfId="0"/>
    <xf numFmtId="3" fontId="9" fillId="0" borderId="12" applyAlignment="1" pivotButton="0" quotePrefix="0" xfId="0">
      <alignment horizontal="right" vertical="center"/>
    </xf>
    <xf numFmtId="164" fontId="9" fillId="0" borderId="12" applyAlignment="1" pivotButton="0" quotePrefix="0" xfId="0">
      <alignment horizontal="right" vertical="center"/>
    </xf>
    <xf numFmtId="170" fontId="9" fillId="0" borderId="12" applyAlignment="1" pivotButton="0" quotePrefix="0" xfId="0">
      <alignment horizontal="right" vertical="center"/>
    </xf>
    <xf numFmtId="0" fontId="20" fillId="0" borderId="0" pivotButton="0" quotePrefix="0" xfId="0"/>
    <xf numFmtId="0" fontId="22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top" wrapText="1"/>
    </xf>
    <xf numFmtId="0" fontId="23" fillId="0" borderId="0" pivotButton="0" quotePrefix="0" xfId="0"/>
    <xf numFmtId="0" fontId="20" fillId="14" borderId="0" pivotButton="0" quotePrefix="0" xfId="0"/>
    <xf numFmtId="165" fontId="20" fillId="14" borderId="0" pivotButton="0" quotePrefix="0" xfId="0"/>
    <xf numFmtId="165" fontId="20" fillId="0" borderId="0" pivotButton="0" quotePrefix="0" xfId="0"/>
    <xf numFmtId="0" fontId="10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33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right" vertical="center"/>
    </xf>
    <xf numFmtId="0" fontId="34" fillId="6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right" vertical="center"/>
    </xf>
    <xf numFmtId="0" fontId="35" fillId="7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right" vertical="center"/>
    </xf>
    <xf numFmtId="0" fontId="24" fillId="8" borderId="0" applyAlignment="1" pivotButton="0" quotePrefix="0" xfId="0">
      <alignment horizontal="left" vertical="center"/>
    </xf>
    <xf numFmtId="0" fontId="25" fillId="15" borderId="0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left" vertical="center"/>
    </xf>
    <xf numFmtId="0" fontId="26" fillId="15" borderId="0" applyAlignment="1" pivotButton="0" quotePrefix="0" xfId="0">
      <alignment horizontal="left" vertical="center"/>
    </xf>
    <xf numFmtId="0" fontId="27" fillId="17" borderId="15" applyAlignment="1" pivotButton="0" quotePrefix="0" xfId="0">
      <alignment horizontal="center" vertical="center" wrapText="1"/>
    </xf>
    <xf numFmtId="0" fontId="0" fillId="0" borderId="17" pivotButton="0" quotePrefix="0" xfId="0"/>
    <xf numFmtId="3" fontId="28" fillId="17" borderId="9" applyAlignment="1" pivotButton="0" quotePrefix="0" xfId="0">
      <alignment horizontal="center" vertical="center" wrapText="1"/>
    </xf>
    <xf numFmtId="164" fontId="28" fillId="17" borderId="9" applyAlignment="1" pivotButton="0" quotePrefix="0" xfId="0">
      <alignment horizontal="center" vertical="center" wrapText="1"/>
    </xf>
    <xf numFmtId="167" fontId="28" fillId="17" borderId="9" applyAlignment="1" pivotButton="0" quotePrefix="0" xfId="0">
      <alignment horizontal="center" vertical="center" wrapText="1"/>
    </xf>
    <xf numFmtId="175" fontId="28" fillId="17" borderId="9" applyAlignment="1" pivotButton="0" quotePrefix="0" xfId="0">
      <alignment horizontal="center" vertical="center" wrapText="1"/>
    </xf>
    <xf numFmtId="0" fontId="16" fillId="17" borderId="9" applyAlignment="1" pivotButton="0" quotePrefix="0" xfId="0">
      <alignment horizontal="center" vertical="center" wrapText="1"/>
    </xf>
    <xf numFmtId="0" fontId="17" fillId="17" borderId="9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left" vertical="center"/>
    </xf>
    <xf numFmtId="0" fontId="0" fillId="0" borderId="18" pivotButton="0" quotePrefix="0" xfId="0"/>
    <xf numFmtId="0" fontId="21" fillId="0" borderId="18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left" vertical="center"/>
    </xf>
    <xf numFmtId="3" fontId="20" fillId="0" borderId="12" applyAlignment="1" pivotButton="0" quotePrefix="0" xfId="0">
      <alignment horizontal="right" vertical="center"/>
    </xf>
    <xf numFmtId="164" fontId="20" fillId="0" borderId="12" applyAlignment="1" pivotButton="0" quotePrefix="0" xfId="0">
      <alignment horizontal="right" vertical="center"/>
    </xf>
    <xf numFmtId="167" fontId="20" fillId="0" borderId="12" applyAlignment="1" pivotButton="0" quotePrefix="0" xfId="0">
      <alignment horizontal="right" vertical="center"/>
    </xf>
    <xf numFmtId="175" fontId="20" fillId="0" borderId="12" applyAlignment="1" pivotButton="0" quotePrefix="0" xfId="0">
      <alignment horizontal="right" vertical="center"/>
    </xf>
    <xf numFmtId="170" fontId="20" fillId="0" borderId="12" applyAlignment="1" pivotButton="0" quotePrefix="0" xfId="0">
      <alignment horizontal="right" vertical="center"/>
    </xf>
    <xf numFmtId="0" fontId="9" fillId="18" borderId="12" applyAlignment="1" pivotButton="0" quotePrefix="0" xfId="0">
      <alignment horizontal="left" vertical="center"/>
    </xf>
    <xf numFmtId="0" fontId="0" fillId="18" borderId="0" pivotButton="0" quotePrefix="0" xfId="0"/>
    <xf numFmtId="3" fontId="9" fillId="18" borderId="12" applyAlignment="1" pivotButton="0" quotePrefix="0" xfId="0">
      <alignment horizontal="right" vertical="center"/>
    </xf>
    <xf numFmtId="164" fontId="9" fillId="18" borderId="12" applyAlignment="1" pivotButton="0" quotePrefix="0" xfId="0">
      <alignment horizontal="right" vertical="center"/>
    </xf>
    <xf numFmtId="167" fontId="9" fillId="18" borderId="12" applyAlignment="1" pivotButton="0" quotePrefix="0" xfId="0">
      <alignment horizontal="right" vertical="center"/>
    </xf>
    <xf numFmtId="175" fontId="9" fillId="18" borderId="12" applyAlignment="1" pivotButton="0" quotePrefix="0" xfId="0">
      <alignment horizontal="right" vertical="center"/>
    </xf>
    <xf numFmtId="170" fontId="9" fillId="18" borderId="12" applyAlignment="1" pivotButton="0" quotePrefix="0" xfId="0">
      <alignment horizontal="right" vertical="center"/>
    </xf>
    <xf numFmtId="0" fontId="19" fillId="8" borderId="0" applyAlignment="1" pivotButton="0" quotePrefix="0" xfId="0">
      <alignment horizontal="left" vertical="center"/>
    </xf>
    <xf numFmtId="0" fontId="9" fillId="19" borderId="0" applyAlignment="1" pivotButton="0" quotePrefix="0" xfId="0">
      <alignment horizontal="left" vertical="center"/>
    </xf>
    <xf numFmtId="0" fontId="0" fillId="19" borderId="0" pivotButton="0" quotePrefix="0" xfId="0"/>
    <xf numFmtId="3" fontId="9" fillId="19" borderId="0" applyAlignment="1" pivotButton="0" quotePrefix="0" xfId="0">
      <alignment horizontal="right" vertical="center"/>
    </xf>
    <xf numFmtId="3" fontId="20" fillId="19" borderId="0" applyAlignment="1" pivotButton="0" quotePrefix="0" xfId="0">
      <alignment horizontal="right" vertical="center"/>
    </xf>
    <xf numFmtId="169" fontId="20" fillId="19" borderId="0" applyAlignment="1" pivotButton="0" quotePrefix="0" xfId="0">
      <alignment horizontal="right" vertical="center"/>
    </xf>
    <xf numFmtId="170" fontId="20" fillId="19" borderId="0" applyAlignment="1" pivotButton="0" quotePrefix="0" xfId="0">
      <alignment horizontal="right" vertical="center"/>
    </xf>
    <xf numFmtId="0" fontId="20" fillId="19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71" fontId="2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7" fontId="9" fillId="19" borderId="0" applyAlignment="1" pivotButton="0" quotePrefix="0" xfId="0">
      <alignment horizontal="right" vertical="center"/>
    </xf>
    <xf numFmtId="167" fontId="20" fillId="19" borderId="0" applyAlignment="1" pivotButton="0" quotePrefix="0" xfId="0">
      <alignment horizontal="right" vertical="center"/>
    </xf>
    <xf numFmtId="176" fontId="20" fillId="19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7" fontId="20" fillId="0" borderId="0" applyAlignment="1" pivotButton="0" quotePrefix="0" xfId="0">
      <alignment horizontal="right" vertical="center"/>
    </xf>
    <xf numFmtId="176" fontId="20" fillId="0" borderId="0" applyAlignment="1" pivotButton="0" quotePrefix="0" xfId="0">
      <alignment horizontal="right" vertical="center"/>
    </xf>
    <xf numFmtId="175" fontId="9" fillId="19" borderId="0" applyAlignment="1" pivotButton="0" quotePrefix="0" xfId="0">
      <alignment horizontal="right" vertical="center"/>
    </xf>
    <xf numFmtId="175" fontId="20" fillId="19" borderId="0" applyAlignment="1" pivotButton="0" quotePrefix="0" xfId="0">
      <alignment horizontal="right" vertical="center"/>
    </xf>
    <xf numFmtId="177" fontId="20" fillId="19" borderId="0" applyAlignment="1" pivotButton="0" quotePrefix="0" xfId="0">
      <alignment horizontal="right" vertical="center"/>
    </xf>
    <xf numFmtId="175" fontId="9" fillId="0" borderId="12" applyAlignment="1" pivotButton="0" quotePrefix="0" xfId="0">
      <alignment horizontal="right" vertical="center"/>
    </xf>
    <xf numFmtId="167" fontId="9" fillId="0" borderId="12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 wrapText="1"/>
    </xf>
    <xf numFmtId="0" fontId="20" fillId="19" borderId="0" pivotButton="0" quotePrefix="0" xfId="0"/>
    <xf numFmtId="0" fontId="10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right" vertical="center"/>
    </xf>
    <xf numFmtId="0" fontId="36" fillId="9" borderId="0" applyAlignment="1" pivotButton="0" quotePrefix="0" xfId="0">
      <alignment horizontal="left" vertical="center"/>
    </xf>
    <xf numFmtId="0" fontId="37" fillId="0" borderId="19" applyAlignment="1" pivotButton="0" quotePrefix="0" xfId="0">
      <alignment horizontal="left" vertical="center"/>
    </xf>
    <xf numFmtId="0" fontId="0" fillId="0" borderId="19" pivotButton="0" quotePrefix="0" xfId="0"/>
    <xf numFmtId="0" fontId="19" fillId="9" borderId="0" pivotButton="0" quotePrefix="0" xfId="0"/>
    <xf numFmtId="0" fontId="16" fillId="0" borderId="0" pivotButton="0" quotePrefix="0" xfId="0"/>
    <xf numFmtId="3" fontId="20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167" fontId="0" fillId="0" borderId="0" pivotButton="0" quotePrefix="0" xfId="0"/>
    <xf numFmtId="0" fontId="3" fillId="9" borderId="0" pivotButton="0" quotePrefix="0" xfId="0"/>
    <xf numFmtId="0" fontId="1" fillId="0" borderId="0" pivotButton="0" quotePrefix="0" xfId="0"/>
    <xf numFmtId="0" fontId="3" fillId="2" borderId="0" pivotButton="0" quotePrefix="0" xfId="0"/>
    <xf numFmtId="1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1" fontId="7" fillId="3" borderId="0" pivotButton="0" quotePrefix="0" xfId="0"/>
    <xf numFmtId="164" fontId="7" fillId="3" borderId="0" pivotButton="0" quotePrefix="0" xfId="0"/>
    <xf numFmtId="49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7">
    <dxf>
      <font>
        <b val="1"/>
        <color rgb="001E7B34"/>
      </font>
    </dxf>
    <dxf>
      <font>
        <b val="1"/>
        <color rgb="00A61B1B"/>
      </font>
    </dxf>
    <dxf>
      <font>
        <b val="1"/>
        <color rgb="001E7B34"/>
      </font>
      <fill>
        <patternFill patternType="solid">
          <fgColor rgb="00D8F0DF"/>
          <bgColor rgb="00D8F0DF"/>
        </patternFill>
      </fill>
    </dxf>
    <dxf>
      <font>
        <b val="1"/>
        <color rgb="008A5A00"/>
      </font>
      <fill>
        <patternFill patternType="solid">
          <fgColor rgb="00FFF1CC"/>
          <bgColor rgb="00FFF1CC"/>
        </patternFill>
      </fill>
    </dxf>
    <dxf>
      <font>
        <b val="1"/>
        <color rgb="00A61B1B"/>
      </font>
      <fill>
        <patternFill patternType="solid">
          <fgColor rgb="00F9D9D9"/>
          <bgColor rgb="00F9D9D9"/>
        </patternFill>
      </fill>
    </dxf>
    <dxf>
      <font>
        <color rgb="001E7B34"/>
      </font>
    </dxf>
    <dxf>
      <font>
        <color rgb="00A6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000" b="1">
                <a:solidFill>
                  <a:srgbClr val="1F2933"/>
                </a:solidFill>
              </a:defRPr>
            </a:pPr>
            <a:r>
              <a:rPr sz="1000" b="1">
                <a:solidFill>
                  <a:srgbClr val="1F2933"/>
                </a:solidFill>
              </a:rPr>
              <a:t>Attendance mix — last 13 weeks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'CALC_WSF'!B104</f>
            </strRef>
          </tx>
          <spPr>
            <a:solidFill>
              <a:srgbClr val="1F5FA8"/>
            </a:solidFill>
            <a:ln>
              <a:solidFill>
                <a:srgbClr val="1F5FA8"/>
              </a:solidFill>
              <a:prstDash val="solid"/>
            </a:ln>
          </spPr>
          <cat>
            <numRef>
              <f>'CALC_WSF'!$A$105:$A$117</f>
            </numRef>
          </cat>
          <val>
            <numRef>
              <f>'CALC_WSF'!$B$105:$B$117</f>
            </numRef>
          </val>
        </ser>
        <ser>
          <idx val="1"/>
          <order val="1"/>
          <tx>
            <strRef>
              <f>'CALC_WSF'!C104</f>
            </strRef>
          </tx>
          <spPr>
            <a:solidFill>
              <a:srgbClr val="83A7CF"/>
            </a:solidFill>
            <a:ln>
              <a:solidFill>
                <a:srgbClr val="83A7CF"/>
              </a:solidFill>
              <a:prstDash val="solid"/>
            </a:ln>
          </spPr>
          <cat>
            <numRef>
              <f>'CALC_WSF'!$A$105:$A$117</f>
            </numRef>
          </cat>
          <val>
            <numRef>
              <f>'CALC_WSF'!$C$105:$C$117</f>
            </numRef>
          </val>
        </ser>
        <ser>
          <idx val="2"/>
          <order val="2"/>
          <tx>
            <strRef>
              <f>'CALC_WSF'!D104</f>
            </strRef>
          </tx>
          <spPr>
            <a:solidFill>
              <a:srgbClr val="E0A526"/>
            </a:solidFill>
            <a:ln>
              <a:solidFill>
                <a:srgbClr val="E0A526"/>
              </a:solidFill>
              <a:prstDash val="solid"/>
            </a:ln>
          </spPr>
          <cat>
            <numRef>
              <f>'CALC_WSF'!$A$105:$A$117</f>
            </numRef>
          </cat>
          <val>
            <numRef>
              <f>'CALC_WSF'!$D$105:$D$117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000" b="1">
                <a:solidFill>
                  <a:srgbClr val="1F2933"/>
                </a:solidFill>
              </a:defRPr>
            </a:pPr>
            <a:r>
              <a:rPr sz="1000" b="1">
                <a:solidFill>
                  <a:srgbClr val="1F2933"/>
                </a:solidFill>
              </a:rPr>
              <a:t>Grand total — last 52 weeks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'CALC_WSF'!B120</f>
            </strRef>
          </tx>
          <spPr>
            <a:solidFill>
              <a:srgbClr val="1F5FA8"/>
            </a:solidFill>
            <a:ln>
              <a:solidFill>
                <a:srgbClr val="1F5FA8"/>
              </a:solidFill>
              <a:prstDash val="solid"/>
            </a:ln>
          </spPr>
          <cat>
            <numRef>
              <f>'CALC_WSF'!$A$121:$A$172</f>
            </numRef>
          </cat>
          <val>
            <numRef>
              <f>'CALC_WSF'!$B$121:$B$172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000" b="1">
                <a:solidFill>
                  <a:srgbClr val="1F2933"/>
                </a:solidFill>
              </a:defRPr>
            </a:pPr>
            <a:r>
              <a:rPr sz="1000" b="1">
                <a:solidFill>
                  <a:srgbClr val="1F2933"/>
                </a:solidFill>
              </a:rPr>
              <a:t>% cells reporting — last 13 weeks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'CALC_WSF'!E104</f>
            </strRef>
          </tx>
          <spPr>
            <a:ln w="28000">
              <a:solidFill>
                <a:srgbClr val="1F5FA8"/>
              </a:solidFill>
              <a:prstDash val="solid"/>
            </a:ln>
          </spPr>
          <marker>
            <symbol val="circle"/>
            <size val="6"/>
            <spPr>
              <a:solidFill>
                <a:srgbClr val="1F5FA8"/>
              </a:solidFill>
              <a:ln>
                <a:solidFill>
                  <a:srgbClr val="1F5FA8"/>
                </a:solidFill>
                <a:prstDash val="solid"/>
              </a:ln>
            </spPr>
          </marker>
          <cat>
            <numRef>
              <f>'CALC_WSF'!$A$105:$A$117</f>
            </numRef>
          </cat>
          <val>
            <numRef>
              <f>'CALC_WSF'!$E$105:$E$117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000" b="1">
                <a:solidFill>
                  <a:srgbClr val="1F2933"/>
                </a:solidFill>
              </a:defRPr>
            </a:pPr>
            <a:r>
              <a:rPr sz="1000" b="1">
                <a:solidFill>
                  <a:srgbClr val="1F2933"/>
                </a:solidFill>
              </a:rPr>
              <a:t>Riders by category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'CALC_TRANSPORT'!B125</f>
            </strRef>
          </tx>
          <spPr>
            <a:solidFill>
              <a:srgbClr val="D9731A"/>
            </a:solidFill>
            <a:ln>
              <a:solidFill>
                <a:srgbClr val="D9731A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'CALC_TRANSPORT'!$B$126:$B$138</f>
            </numRef>
          </val>
        </ser>
        <ser>
          <idx val="1"/>
          <order val="1"/>
          <tx>
            <strRef>
              <f>'CALC_TRANSPORT'!C125</f>
            </strRef>
          </tx>
          <spPr>
            <a:solidFill>
              <a:srgbClr val="EAB281"/>
            </a:solidFill>
            <a:ln>
              <a:solidFill>
                <a:srgbClr val="EAB281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'CALC_TRANSPORT'!$C$126:$C$138</f>
            </numRef>
          </val>
        </ser>
        <ser>
          <idx val="2"/>
          <order val="2"/>
          <tx>
            <strRef>
              <f>'CALC_TRANSPORT'!D125</f>
            </strRef>
          </tx>
          <spPr>
            <a:solidFill>
              <a:srgbClr val="1F5FA8"/>
            </a:solidFill>
            <a:ln>
              <a:solidFill>
                <a:srgbClr val="1F5FA8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'CALC_TRANSPORT'!$D$126:$D$138</f>
            </numRef>
          </val>
        </ser>
        <ser>
          <idx val="3"/>
          <order val="3"/>
          <tx>
            <strRef>
              <f>'CALC_TRANSPORT'!E125</f>
            </strRef>
          </tx>
          <spPr>
            <a:solidFill>
              <a:srgbClr val="7FA7D9"/>
            </a:solidFill>
            <a:ln>
              <a:solidFill>
                <a:srgbClr val="7FA7D9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'CALC_TRANSPORT'!$E$126:$E$138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000" b="1">
                <a:solidFill>
                  <a:srgbClr val="1F2933"/>
                </a:solidFill>
              </a:defRPr>
            </a:pPr>
            <a:r>
              <a:rPr sz="1000" b="1">
                <a:solidFill>
                  <a:srgbClr val="1F2933"/>
                </a:solidFill>
              </a:rPr>
              <a:t>Spend by category (₦)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'CALC_TRANSPORT'!G125</f>
            </strRef>
          </tx>
          <spPr>
            <a:solidFill>
              <a:srgbClr val="D9731A"/>
            </a:solidFill>
            <a:ln>
              <a:solidFill>
                <a:srgbClr val="D9731A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'CALC_TRANSPORT'!$G$126:$G$138</f>
            </numRef>
          </val>
        </ser>
        <ser>
          <idx val="1"/>
          <order val="1"/>
          <tx>
            <strRef>
              <f>'CALC_TRANSPORT'!H125</f>
            </strRef>
          </tx>
          <spPr>
            <a:solidFill>
              <a:srgbClr val="EAB281"/>
            </a:solidFill>
            <a:ln>
              <a:solidFill>
                <a:srgbClr val="EAB281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'CALC_TRANSPORT'!$H$126:$H$138</f>
            </numRef>
          </val>
        </ser>
        <ser>
          <idx val="2"/>
          <order val="2"/>
          <tx>
            <strRef>
              <f>'CALC_TRANSPORT'!I125</f>
            </strRef>
          </tx>
          <spPr>
            <a:solidFill>
              <a:srgbClr val="1F5FA8"/>
            </a:solidFill>
            <a:ln>
              <a:solidFill>
                <a:srgbClr val="1F5FA8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'CALC_TRANSPORT'!$I$126:$I$138</f>
            </numRef>
          </val>
        </ser>
        <ser>
          <idx val="3"/>
          <order val="3"/>
          <tx>
            <strRef>
              <f>'CALC_TRANSPORT'!J125</f>
            </strRef>
          </tx>
          <spPr>
            <a:solidFill>
              <a:srgbClr val="7FA7D9"/>
            </a:solidFill>
            <a:ln>
              <a:solidFill>
                <a:srgbClr val="7FA7D9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'CALC_TRANSPORT'!$J$126:$J$138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000" b="1">
                <a:solidFill>
                  <a:srgbClr val="1F2933"/>
                </a:solidFill>
              </a:defRPr>
            </a:pPr>
            <a:r>
              <a:rPr sz="1000" b="1">
                <a:solidFill>
                  <a:srgbClr val="1F2933"/>
                </a:solidFill>
              </a:rPr>
              <a:t>Seat utilisation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'CALC_TRANSPORT'!K125</f>
            </strRef>
          </tx>
          <spPr>
            <a:solidFill>
              <a:srgbClr val="E08F47"/>
            </a:solidFill>
            <a:ln>
              <a:solidFill>
                <a:srgbClr val="E08F47"/>
              </a:solidFill>
              <a:prstDash val="solid"/>
            </a:ln>
          </spPr>
          <cat>
            <numRef>
              <f>'CALC_TRANSPORT'!$A$126:$A$138</f>
            </numRef>
          </cat>
          <val>
            <numRef>
              <f>'CALC_TRANSPORT'!$K$126:$K$138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468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468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27</row>
      <rowOff>0</rowOff>
    </from>
    <ext cx="3744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39</row>
      <rowOff>0</rowOff>
    </from>
    <ext cx="468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39</row>
      <rowOff>0</rowOff>
    </from>
    <ext cx="468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39</row>
      <rowOff>0</rowOff>
    </from>
    <ext cx="3744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SF" displayName="tblWSF" ref="A1:N2" headerRowCount="1">
  <autoFilter ref="A1:N2"/>
  <tableColumns count="14">
    <tableColumn id="1" name="Week_Ending"/>
    <tableColumn id="2" name="Report_Date"/>
    <tableColumn id="3" name="Area"/>
    <tableColumn id="4" name="Zone"/>
    <tableColumn id="5" name="Cells_Total"/>
    <tableColumn id="6" name="Cells_Reported"/>
    <tableColumn id="7" name="Cells_Not_Reported"/>
    <tableColumn id="8" name="Male"/>
    <tableColumn id="9" name="Female"/>
    <tableColumn id="10" name="Adult_Total"/>
    <tableColumn id="11" name="Children"/>
    <tableColumn id="12" name="Grand_Total"/>
    <tableColumn id="13" name="Source_File"/>
    <tableColumn id="14" name="Loaded_On"/>
  </tableColumns>
  <tableStyleInfo name="TableStyleLight1" showRowStripes="1"/>
</table>
</file>

<file path=xl/tables/table2.xml><?xml version="1.0" encoding="utf-8"?>
<table xmlns="http://schemas.openxmlformats.org/spreadsheetml/2006/main" id="2" name="tblWSFCellsCurrent" displayName="tblWSFCellsCurrent" ref="A1:N2" headerRowCount="1">
  <autoFilter ref="A1:N2"/>
  <tableColumns count="14">
    <tableColumn id="1" name="Week_Ending"/>
    <tableColumn id="2" name="Report_Date"/>
    <tableColumn id="3" name="Area"/>
    <tableColumn id="4" name="Zone"/>
    <tableColumn id="5" name="Cell"/>
    <tableColumn id="6" name="Reported"/>
    <tableColumn id="7" name="Male"/>
    <tableColumn id="8" name="Female"/>
    <tableColumn id="9" name="Adult_Total"/>
    <tableColumn id="10" name="Children"/>
    <tableColumn id="11" name="Grand_Total"/>
    <tableColumn id="12" name="Source_File"/>
    <tableColumn id="13" name="Loaded_On"/>
    <tableColumn id="14" name="List_Helper"/>
  </tableColumns>
  <tableStyleInfo name="TableStyleLight1" showRowStripes="1"/>
</table>
</file>

<file path=xl/tables/table3.xml><?xml version="1.0" encoding="utf-8"?>
<table xmlns="http://schemas.openxmlformats.org/spreadsheetml/2006/main" id="3" name="tblMidweek" displayName="tblMidweek" ref="A1:K2" headerRowCount="1">
  <autoFilter ref="A1:K2"/>
  <tableColumns count="11">
    <tableColumn id="1" name="Week_Ending"/>
    <tableColumn id="2" name="Report_Date"/>
    <tableColumn id="3" name="Area"/>
    <tableColumn id="4" name="Zone"/>
    <tableColumn id="5" name="Male"/>
    <tableColumn id="6" name="Female"/>
    <tableColumn id="7" name="Adult_Total"/>
    <tableColumn id="8" name="Children"/>
    <tableColumn id="9" name="Grand_Total"/>
    <tableColumn id="10" name="Source_File"/>
    <tableColumn id="11" name="Loaded_On"/>
  </tableColumns>
  <tableStyleInfo name="TableStyleLight1" showRowStripes="1"/>
</table>
</file>

<file path=xl/tables/table4.xml><?xml version="1.0" encoding="utf-8"?>
<table xmlns="http://schemas.openxmlformats.org/spreadsheetml/2006/main" id="4" name="tblCHOP" displayName="tblCHOP" ref="A1:K2" headerRowCount="1">
  <autoFilter ref="A1:K2"/>
  <tableColumns count="11">
    <tableColumn id="1" name="Week_Ending"/>
    <tableColumn id="2" name="Report_Date"/>
    <tableColumn id="3" name="Area"/>
    <tableColumn id="4" name="Zone"/>
    <tableColumn id="5" name="Male"/>
    <tableColumn id="6" name="Female"/>
    <tableColumn id="7" name="Adult_Total"/>
    <tableColumn id="8" name="Children"/>
    <tableColumn id="9" name="Grand_Total"/>
    <tableColumn id="10" name="Source_File"/>
    <tableColumn id="11" name="Loaded_On"/>
  </tableColumns>
  <tableStyleInfo name="TableStyleLight1" showRowStripes="1"/>
</table>
</file>

<file path=xl/tables/table5.xml><?xml version="1.0" encoding="utf-8"?>
<table xmlns="http://schemas.openxmlformats.org/spreadsheetml/2006/main" id="5" name="tblCommunity" displayName="tblCommunity" ref="A1:K2" headerRowCount="1">
  <autoFilter ref="A1:K2"/>
  <tableColumns count="11">
    <tableColumn id="1" name="Week_Ending"/>
    <tableColumn id="2" name="Report_Date"/>
    <tableColumn id="3" name="Church"/>
    <tableColumn id="4" name="Service_Type"/>
    <tableColumn id="5" name="Male"/>
    <tableColumn id="6" name="Female"/>
    <tableColumn id="7" name="Adult_Total"/>
    <tableColumn id="8" name="Children"/>
    <tableColumn id="9" name="Grand_Total"/>
    <tableColumn id="10" name="Source_File"/>
    <tableColumn id="11" name="Loaded_On"/>
  </tableColumns>
  <tableStyleInfo name="TableStyleLight1" showRowStripes="1"/>
</table>
</file>

<file path=xl/tables/table6.xml><?xml version="1.0" encoding="utf-8"?>
<table xmlns="http://schemas.openxmlformats.org/spreadsheetml/2006/main" id="6" name="tblTransport" displayName="tblTransport" ref="A1:AC2" headerRowCount="1">
  <autoFilter ref="A1:AC2"/>
  <tableColumns count="29">
    <tableColumn id="1" name="Week_Ending"/>
    <tableColumn id="2" name="Report_Date"/>
    <tableColumn id="3" name="Category"/>
    <tableColumn id="4" name="Vehicle_Type"/>
    <tableColumn id="5" name="Area"/>
    <tableColumn id="6" name="Zone_Code"/>
    <tableColumn id="7" name="Location"/>
    <tableColumn id="8" name="Vehicle_ID"/>
    <tableColumn id="9" name="Buses"/>
    <tableColumn id="10" name="Capacity"/>
    <tableColumn id="11" name="Trips"/>
    <tableColumn id="12" name="Seats_Offered"/>
    <tableColumn id="13" name="Male"/>
    <tableColumn id="14" name="Female"/>
    <tableColumn id="15" name="Adult_Total"/>
    <tableColumn id="16" name="Children"/>
    <tableColumn id="17" name="Grand_Total"/>
    <tableColumn id="18" name="Riders_With_Seats"/>
    <tableColumn id="19" name="Cost"/>
    <tableColumn id="20" name="Paid_By"/>
    <tableColumn id="21" name="Status"/>
    <tableColumn id="22" name="Service"/>
    <tableColumn id="23" name="Remarks_Category"/>
    <tableColumn id="24" name="Remarks"/>
    <tableColumn id="25" name="In_Church"/>
    <tableColumn id="26" name="Source_File"/>
    <tableColumn id="27" name="Loaded_On"/>
    <tableColumn id="28" name="Zone_Key"/>
    <tableColumn id="29" name="Note_Helper"/>
  </tableColumns>
  <tableStyleInfo name="TableStyleLight1" showRowStripes="1"/>
</table>
</file>

<file path=xl/tables/table7.xml><?xml version="1.0" encoding="utf-8"?>
<table xmlns="http://schemas.openxmlformats.org/spreadsheetml/2006/main" id="7" name="tblTransportCosts" displayName="tblTransportCosts" ref="A1:P2" headerRowCount="1">
  <autoFilter ref="A1:P2"/>
  <tableColumns count="16">
    <tableColumn id="1" name="Week_Ending"/>
    <tableColumn id="2" name="Report_Date"/>
    <tableColumn id="3" name="Category"/>
    <tableColumn id="4" name="Area"/>
    <tableColumn id="5" name="Vehicle_ID"/>
    <tableColumn id="6" name="Cost_Type"/>
    <tableColumn id="7" name="Hub_Status"/>
    <tableColumn id="8" name="Trips"/>
    <tableColumn id="9" name="Litres"/>
    <tableColumn id="10" name="Unit_Price"/>
    <tableColumn id="11" name="Amount"/>
    <tableColumn id="12" name="Payable"/>
    <tableColumn id="13" name="Paid_Amount"/>
    <tableColumn id="14" name="Paid_By"/>
    <tableColumn id="15" name="Source_File"/>
    <tableColumn id="16" name="Loaded_On"/>
  </tableColumns>
  <tableStyleInfo name="TableStyleLight1" showRowStripes="1"/>
</table>
</file>

<file path=xl/tables/table8.xml><?xml version="1.0" encoding="utf-8"?>
<table xmlns="http://schemas.openxmlformats.org/spreadsheetml/2006/main" id="8" name="tblTransportBudget" displayName="tblTransportBudget" ref="A1:J2" headerRowCount="1">
  <autoFilter ref="A1:J2"/>
  <tableColumns count="10">
    <tableColumn id="1" name="Week_Ending"/>
    <tableColumn id="2" name="Report_Date"/>
    <tableColumn id="3" name="Area_No"/>
    <tableColumn id="4" name="Area"/>
    <tableColumn id="5" name="Buses_Allocated"/>
    <tableColumn id="6" name="Cost_Per_Bus"/>
    <tableColumn id="7" name="Expected_Spend"/>
    <tableColumn id="8" name="Payable_This_Week"/>
    <tableColumn id="9" name="Source_File"/>
    <tableColumn id="10" name="Loaded_On"/>
  </tableColumns>
  <tableStyleInfo name="TableStyleLight1" showRowStripes="1"/>
</table>
</file>

<file path=xl/tables/table9.xml><?xml version="1.0" encoding="utf-8"?>
<table xmlns="http://schemas.openxmlformats.org/spreadsheetml/2006/main" id="9" name="tblAreas" displayName="tblAreas" ref="A1:E93" headerRowCount="1">
  <autoFilter ref="A1:E93"/>
  <tableColumns count="5">
    <tableColumn id="1" name="Area_ID"/>
    <tableColumn id="2" name="Area_Name"/>
    <tableColumn id="3" name="Active"/>
    <tableColumn id="4" name="Area_No"/>
    <tableColumn id="5" name="Aliases"/>
  </tableColumns>
  <tableStyleInfo name="TableStyleLight1" showRowStripes="1"/>
</table>
</file>

<file path=xl/tables/table10.xml><?xml version="1.0" encoding="utf-8"?>
<table xmlns="http://schemas.openxmlformats.org/spreadsheetml/2006/main" id="10" name="tblZones" displayName="tblZones" ref="A1:E1165" headerRowCount="1">
  <autoFilter ref="A1:E1165"/>
  <tableColumns count="5">
    <tableColumn id="1" name="Zone_ID"/>
    <tableColumn id="2" name="Zone_Name"/>
    <tableColumn id="3" name="Area_Name"/>
    <tableColumn id="4" name="Has_CHOP"/>
    <tableColumn id="5" name="Active"/>
  </tableColumns>
  <tableStyleInfo name="TableStyleLight1" showRowStripes="1"/>
</table>
</file>

<file path=xl/tables/table11.xml><?xml version="1.0" encoding="utf-8"?>
<table xmlns="http://schemas.openxmlformats.org/spreadsheetml/2006/main" id="11" name="tblCells" displayName="tblCells" ref="A1:D2" headerRowCount="1">
  <autoFilter ref="A1:D2"/>
  <tableColumns count="4">
    <tableColumn id="1" name="Cell"/>
    <tableColumn id="2" name="Zone_Name"/>
    <tableColumn id="3" name="Area_Name"/>
    <tableColumn id="4" name="Operational"/>
  </tableColumns>
  <tableStyleInfo name="TableStyleLight1" showRowStripes="1"/>
</table>
</file>

<file path=xl/tables/table12.xml><?xml version="1.0" encoding="utf-8"?>
<table xmlns="http://schemas.openxmlformats.org/spreadsheetml/2006/main" id="12" name="tblCommunityMaster" displayName="tblCommunityMaster" ref="A1:D2" headerRowCount="1">
  <autoFilter ref="A1:D2"/>
  <tableColumns count="4">
    <tableColumn id="1" name="Church_ID"/>
    <tableColumn id="2" name="Church_Name"/>
    <tableColumn id="3" name="Location"/>
    <tableColumn id="4" name="Active"/>
  </tableColumns>
  <tableStyleInfo name="TableStyleLight1" showRowStripes="1"/>
</table>
</file>

<file path=xl/tables/table13.xml><?xml version="1.0" encoding="utf-8"?>
<table xmlns="http://schemas.openxmlformats.org/spreadsheetml/2006/main" id="13" name="tblFleet" displayName="tblFleet" ref="A1:H2" headerRowCount="1">
  <autoFilter ref="A1:H2"/>
  <tableColumns count="8">
    <tableColumn id="1" name="Vehicle_ID"/>
    <tableColumn id="2" name="Category"/>
    <tableColumn id="3" name="Capacity"/>
    <tableColumn id="4" name="Owner"/>
    <tableColumn id="5" name="Status"/>
    <tableColumn id="6" name="Area_Name"/>
    <tableColumn id="7" name="Zone_Name"/>
    <tableColumn id="8" name="Hired_By_Type"/>
  </tableColumns>
  <tableStyleInfo name="TableStyleLight1" showRowStripes="1"/>
</table>
</file>

<file path=xl/tables/table14.xml><?xml version="1.0" encoding="utf-8"?>
<table xmlns="http://schemas.openxmlformats.org/spreadsheetml/2006/main" id="14" name="tblCalendar" displayName="tblCalendar" ref="A1:G372" headerRowCount="1">
  <autoFilter ref="A1:G372"/>
  <tableColumns count="7">
    <tableColumn id="1" name="Week_Ending"/>
    <tableColumn id="2" name="Week_No"/>
    <tableColumn id="3" name="Month"/>
    <tableColumn id="4" name="Month_Name"/>
    <tableColumn id="5" name="Quarter"/>
    <tableColumn id="6" name="Year"/>
    <tableColumn id="7" name="Year_Month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OME!A1" TargetMode="External" Id="rId1" /><Relationship Type="http://schemas.openxmlformats.org/officeDocument/2006/relationships/hyperlink" Target="#'MASTER DASHBOARD'!A1" TargetMode="External" Id="rId2" /><Relationship Type="http://schemas.openxmlformats.org/officeDocument/2006/relationships/hyperlink" Target="#'WSF DASHBOARD'!A1" TargetMode="External" Id="rId3" /><Relationship Type="http://schemas.openxmlformats.org/officeDocument/2006/relationships/hyperlink" Target="#'MIDWEEK DASHBOARD'!A1" TargetMode="External" Id="rId4" /><Relationship Type="http://schemas.openxmlformats.org/officeDocument/2006/relationships/hyperlink" Target="#'MASTER DASHBOARD'!A1" TargetMode="External" Id="rId5" /><Relationship Type="http://schemas.openxmlformats.org/officeDocument/2006/relationships/hyperlink" Target="#'WSF DASHBOARD'!A1" TargetMode="External" Id="rId6" /><Relationship Type="http://schemas.openxmlformats.org/officeDocument/2006/relationships/hyperlink" Target="#'MIDWEEK DASHBOARD'!A1" TargetMode="External" Id="rId7" /><Relationship Type="http://schemas.openxmlformats.org/officeDocument/2006/relationships/hyperlink" Target="#'CHOP DASHBOARD'!A1" TargetMode="External" Id="rId8" /><Relationship Type="http://schemas.openxmlformats.org/officeDocument/2006/relationships/hyperlink" Target="#'COMMUNITY CHURCH DASHBOARD'!A1" TargetMode="External" Id="rId9" /><Relationship Type="http://schemas.openxmlformats.org/officeDocument/2006/relationships/hyperlink" Target="#'TRANSPORT DASHBOARD'!A1" TargetMode="External" Id="rId10" /><Relationship Type="http://schemas.openxmlformats.org/officeDocument/2006/relationships/hyperlink" Target="#'CHOP DASHBOARD'!A1" TargetMode="External" Id="rId11" /><Relationship Type="http://schemas.openxmlformats.org/officeDocument/2006/relationships/hyperlink" Target="#'COMMUNITY CHURCH DASHBOARD'!A1" TargetMode="External" Id="rId12" /><Relationship Type="http://schemas.openxmlformats.org/officeDocument/2006/relationships/hyperlink" Target="#'TRANSPORT DASHBOARD'!A1" TargetMode="External" Id="rId13" /><Relationship Type="http://schemas.openxmlformats.org/officeDocument/2006/relationships/hyperlink" Target="#'AREA SCORECARD'!A1" TargetMode="External" Id="rId14" /><Relationship Type="http://schemas.openxmlformats.org/officeDocument/2006/relationships/hyperlink" Target="#'ZONE SCORECARD'!A1" TargetMode="External" Id="rId15" /><Relationship Type="http://schemas.openxmlformats.org/officeDocument/2006/relationships/hyperlink" Target="#'DATA QUALITY'!A1" TargetMode="External" Id="rId16" /><Relationship Type="http://schemas.openxmlformats.org/officeDocument/2006/relationships/hyperlink" Target="#'AREA SCORECARD'!A1" TargetMode="External" Id="rId17" /><Relationship Type="http://schemas.openxmlformats.org/officeDocument/2006/relationships/hyperlink" Target="#'ZONE SCORECARD'!A1" TargetMode="External" Id="rId18" /><Relationship Type="http://schemas.openxmlformats.org/officeDocument/2006/relationships/hyperlink" Target="#'DATA QUALITY'!A1" TargetMode="External" Id="rId19" /></Relationships>
</file>

<file path=xl/worksheets/_rels/sheet2.xml.rels><Relationships xmlns="http://schemas.openxmlformats.org/package/2006/relationships"><Relationship Type="http://schemas.openxmlformats.org/officeDocument/2006/relationships/hyperlink" Target="#HOME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HOME!A1" TargetMode="External" Id="rId1" /><Relationship Type="http://schemas.openxmlformats.org/officeDocument/2006/relationships/drawing" Target="/xl/drawings/drawing1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HOME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HOME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HOME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HOME!A1" TargetMode="External" Id="rId1" /><Relationship Type="http://schemas.openxmlformats.org/officeDocument/2006/relationships/drawing" Target="/xl/drawings/drawing2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HOME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HOME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HOME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tabColor rgb="001B2A41"/>
    <outlinePr summaryBelow="1" summaryRight="1"/>
    <pageSetUpPr fitToPage="1"/>
  </sheetPr>
  <dimension ref="A1:N31"/>
  <sheetViews>
    <sheetView showGridLines="0" tabSelected="1" zoomScale="9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" customWidth="1" min="14" max="14"/>
  </cols>
  <sheetData>
    <row r="1" ht="34" customHeight="1">
      <c r="A1" s="1" t="n"/>
      <c r="B1" s="2" t="inlineStr">
        <is>
          <t>OPERATIONS REPORTING &amp; ANALYSIS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inlineStr">
        <is>
          <t>⌂ HOME</t>
        </is>
      </c>
      <c r="M1" s="1" t="n"/>
      <c r="N1" s="1" t="n"/>
    </row>
    <row r="2">
      <c r="A2" s="1" t="n"/>
      <c r="B2" s="4" t="inlineStr">
        <is>
          <t>Central · 92 Areas · Zones · Cells · Community Churches · Transport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22" customHeight="1">
      <c r="B4" s="5" t="inlineStr">
        <is>
          <t>Dashboards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6" ht="26" customHeight="1">
      <c r="B6" s="7" t="inlineStr">
        <is>
          <t>MASTER DASHBOARD</t>
        </is>
      </c>
      <c r="C6" s="1" t="n"/>
      <c r="D6" s="1" t="n"/>
      <c r="E6" s="1" t="n"/>
      <c r="F6" s="8" t="inlineStr">
        <is>
          <t>WSF DASHBOARD</t>
        </is>
      </c>
      <c r="G6" s="9" t="n"/>
      <c r="H6" s="9" t="n"/>
      <c r="I6" s="9" t="n"/>
      <c r="J6" s="10" t="inlineStr">
        <is>
          <t>MIDWEEK DASHBOARD</t>
        </is>
      </c>
      <c r="K6" s="11" t="n"/>
      <c r="L6" s="11" t="n"/>
      <c r="M6" s="11" t="n"/>
    </row>
    <row r="7" ht="16" customHeight="1">
      <c r="B7" s="12" t="inlineStr">
        <is>
          <t>All streams side by side</t>
        </is>
      </c>
      <c r="C7" s="1" t="n"/>
      <c r="D7" s="1" t="n"/>
      <c r="E7" s="1" t="n"/>
      <c r="F7" s="13" t="inlineStr">
        <is>
          <t>Saturday cell services</t>
        </is>
      </c>
      <c r="G7" s="9" t="n"/>
      <c r="H7" s="9" t="n"/>
      <c r="I7" s="9" t="n"/>
      <c r="J7" s="14" t="inlineStr">
        <is>
          <t>Zonal midweek services</t>
        </is>
      </c>
      <c r="K7" s="11" t="n"/>
      <c r="L7" s="11" t="n"/>
      <c r="M7" s="11" t="n"/>
    </row>
    <row r="10" ht="26" customHeight="1">
      <c r="B10" s="15" t="inlineStr">
        <is>
          <t>CHOP DASHBOARD</t>
        </is>
      </c>
      <c r="C10" s="16" t="n"/>
      <c r="D10" s="16" t="n"/>
      <c r="E10" s="16" t="n"/>
      <c r="F10" s="17" t="inlineStr">
        <is>
          <t>COMMUNITY CHURCH DASHBOARD</t>
        </is>
      </c>
      <c r="G10" s="18" t="n"/>
      <c r="H10" s="18" t="n"/>
      <c r="I10" s="18" t="n"/>
      <c r="J10" s="19" t="inlineStr">
        <is>
          <t>TRANSPORT DASHBOARD</t>
        </is>
      </c>
      <c r="K10" s="20" t="n"/>
      <c r="L10" s="20" t="n"/>
      <c r="M10" s="20" t="n"/>
    </row>
    <row r="11" ht="16" customHeight="1">
      <c r="B11" s="21" t="inlineStr">
        <is>
          <t>Covenant Hour of Prayer</t>
        </is>
      </c>
      <c r="C11" s="16" t="n"/>
      <c r="D11" s="16" t="n"/>
      <c r="E11" s="16" t="n"/>
      <c r="F11" s="22" t="inlineStr">
        <is>
          <t>Sunday service first</t>
        </is>
      </c>
      <c r="G11" s="18" t="n"/>
      <c r="H11" s="18" t="n"/>
      <c r="I11" s="18" t="n"/>
      <c r="J11" s="23" t="inlineStr">
        <is>
          <t>Operations, finance, optimisation</t>
        </is>
      </c>
      <c r="K11" s="20" t="n"/>
      <c r="L11" s="20" t="n"/>
      <c r="M11" s="20" t="n"/>
    </row>
    <row r="14" ht="26" customHeight="1">
      <c r="B14" s="7" t="inlineStr">
        <is>
          <t>AREA SCORECARD</t>
        </is>
      </c>
      <c r="C14" s="1" t="n"/>
      <c r="D14" s="1" t="n"/>
      <c r="E14" s="1" t="n"/>
      <c r="F14" s="7" t="inlineStr">
        <is>
          <t>ZONE SCORECARD</t>
        </is>
      </c>
      <c r="G14" s="1" t="n"/>
      <c r="H14" s="1" t="n"/>
      <c r="I14" s="1" t="n"/>
      <c r="J14" s="24" t="inlineStr">
        <is>
          <t>DATA QUALITY</t>
        </is>
      </c>
      <c r="K14" s="25" t="n"/>
      <c r="L14" s="25" t="n"/>
      <c r="M14" s="25" t="n"/>
    </row>
    <row r="15" ht="16" customHeight="1">
      <c r="B15" s="12" t="inlineStr">
        <is>
          <t>One Area across every stream</t>
        </is>
      </c>
      <c r="C15" s="1" t="n"/>
      <c r="D15" s="1" t="n"/>
      <c r="E15" s="1" t="n"/>
      <c r="F15" s="12" t="inlineStr">
        <is>
          <t>One Zone across every stream</t>
        </is>
      </c>
      <c r="G15" s="1" t="n"/>
      <c r="H15" s="1" t="n"/>
      <c r="I15" s="1" t="n"/>
      <c r="J15" s="26" t="inlineStr">
        <is>
          <t>Rejected rows and missing weeks</t>
        </is>
      </c>
      <c r="K15" s="25" t="n"/>
      <c r="L15" s="25" t="n"/>
      <c r="M15" s="25" t="n"/>
    </row>
    <row r="19" ht="22" customHeight="1">
      <c r="B19" s="5" t="inlineStr">
        <is>
          <t>Data status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B20" s="27" t="inlineStr">
        <is>
          <t>Last data loaded</t>
        </is>
      </c>
      <c r="E20" s="28">
        <f>IF(MAX(DATA_WSF!$N:$N,DATA_MIDWEEK!$K:$K,DATA_CHOP!$K:$K,DATA_COMMUNITY!$K:$K,DATA_TRANSPORT!$AA:$AA,DATA_TRANSPORT_COSTS!$P:$P,DATA_TRANSPORT_BUDGET!$J:$J)=0,"No data yet",MAX(DATA_WSF!$N:$N,DATA_MIDWEEK!$K:$K,DATA_CHOP!$K:$K,DATA_COMMUNITY!$K:$K,DATA_TRANSPORT!$AA:$AA,DATA_TRANSPORT_COSTS!$P:$P,DATA_TRANSPORT_BUDGET!$J:$J))</f>
        <v/>
      </c>
      <c r="J20" s="27" t="inlineStr">
        <is>
          <t>How to use</t>
        </is>
      </c>
    </row>
    <row r="21" ht="36" customHeight="1">
      <c r="J21" s="29" t="inlineStr">
        <is>
          <t>1.  Choose a dashboard above. Every dashboard has the same control strip at the top.</t>
        </is>
      </c>
    </row>
    <row r="22" ht="36" customHeight="1">
      <c r="B22" s="30" t="inlineStr">
        <is>
          <t>Stream</t>
        </is>
      </c>
      <c r="C22" s="1" t="n"/>
      <c r="D22" s="1" t="n"/>
      <c r="E22" s="30" t="inlineStr">
        <is>
          <t>Latest week</t>
        </is>
      </c>
      <c r="F22" s="1" t="n"/>
      <c r="G22" s="30" t="inlineStr">
        <is>
          <t>Rows in workbook</t>
        </is>
      </c>
      <c r="H22" s="1" t="n"/>
      <c r="J22" s="29" t="inlineStr">
        <is>
          <t>2.  SCOPE: Global for everything, Area for one Area, Zone for one Zone.</t>
        </is>
      </c>
    </row>
    <row r="23" ht="36" customHeight="1">
      <c r="B23" s="31" t="inlineStr">
        <is>
          <t>WSF</t>
        </is>
      </c>
      <c r="E23" s="32">
        <f>IF(MAX(DATA_WSF!$A:$A)=0,"–",MAX(DATA_WSF!$A:$A))</f>
        <v/>
      </c>
      <c r="G23" s="33">
        <f>COUNT(DATA_WSF!$A:$A)</f>
        <v/>
      </c>
      <c r="J23" s="29" t="inlineStr">
        <is>
          <t>3.  SEARCH: type part of a name (e.g. 'ikeja'), then open SELECT: it lists only the matching Areas or Zones.</t>
        </is>
      </c>
    </row>
    <row r="24" ht="36" customHeight="1">
      <c r="B24" s="31" t="inlineStr">
        <is>
          <t>Midweek</t>
        </is>
      </c>
      <c r="E24" s="32">
        <f>IF(MAX(DATA_MIDWEEK!$A:$A)=0,"–",MAX(DATA_MIDWEEK!$A:$A))</f>
        <v/>
      </c>
      <c r="G24" s="33">
        <f>COUNT(DATA_MIDWEEK!$A:$A)</f>
        <v/>
      </c>
      <c r="J24" s="29" t="inlineStr">
        <is>
          <t>4.  WEEK ENDING: 'Latest' follows new data automatically; pick an older week to look back.</t>
        </is>
      </c>
    </row>
    <row r="25" ht="36" customHeight="1">
      <c r="B25" s="31" t="inlineStr">
        <is>
          <t>CHOP</t>
        </is>
      </c>
      <c r="E25" s="32">
        <f>IF(MAX(DATA_CHOP!$A:$A)=0,"–",MAX(DATA_CHOP!$A:$A))</f>
        <v/>
      </c>
      <c r="G25" s="33">
        <f>COUNT(DATA_CHOP!$A:$A)</f>
        <v/>
      </c>
      <c r="J25" s="29" t="inlineStr">
        <is>
          <t>5.  COMPARE (WEEKS): the averaging window, 1 to 52 weeks. '–' means there is no data for that figure.</t>
        </is>
      </c>
    </row>
    <row r="26" ht="36" customHeight="1">
      <c r="B26" s="31" t="inlineStr">
        <is>
          <t>Community Church</t>
        </is>
      </c>
      <c r="E26" s="32">
        <f>IF(MAX(DATA_COMMUNITY!$A:$A)=0,"–",MAX(DATA_COMMUNITY!$A:$A))</f>
        <v/>
      </c>
      <c r="G26" s="33">
        <f>COUNT(DATA_COMMUNITY!$A:$A)</f>
        <v/>
      </c>
      <c r="J26" s="29" t="inlineStr">
        <is>
          <t>6.  New data never goes into these sheets by hand: drop the files in the inbox folder and run ingest.py (see README).</t>
        </is>
      </c>
    </row>
    <row r="27">
      <c r="B27" s="31" t="inlineStr">
        <is>
          <t>Transport bus runs</t>
        </is>
      </c>
      <c r="E27" s="32">
        <f>IF(MAX(DATA_TRANSPORT!$A:$A)=0,"–",MAX(DATA_TRANSPORT!$A:$A))</f>
        <v/>
      </c>
      <c r="G27" s="33">
        <f>COUNT(DATA_TRANSPORT!$A:$A)</f>
        <v/>
      </c>
    </row>
    <row r="28">
      <c r="B28" s="31" t="inlineStr">
        <is>
          <t>Transport coaster fuel</t>
        </is>
      </c>
      <c r="E28" s="32">
        <f>IF(MAX(DATA_TRANSPORT_COSTS!$A:$A)=0,"–",MAX(DATA_TRANSPORT_COSTS!$A:$A))</f>
        <v/>
      </c>
      <c r="G28" s="33">
        <f>COUNT(DATA_TRANSPORT_COSTS!$A:$A)</f>
        <v/>
      </c>
    </row>
    <row r="29">
      <c r="B29" s="31" t="inlineStr">
        <is>
          <t>Transport FT budget</t>
        </is>
      </c>
      <c r="E29" s="32">
        <f>IF(MAX(DATA_TRANSPORT_BUDGET!$A:$A)=0,"–",MAX(DATA_TRANSPORT_BUDGET!$A:$A))</f>
        <v/>
      </c>
      <c r="G29" s="33">
        <f>COUNT(DATA_TRANSPORT_BUDGET!$A:$A)</f>
        <v/>
      </c>
    </row>
    <row r="30">
      <c r="B30" s="34" t="inlineStr">
        <is>
          <t>Build in progress: the WSF and TRANSPORT dashboards, data tables, masters, Calendar, SETTINGS and DATA QUALITY are complete. Midweek, CHOP, Community, the scorecards and the Master dashboard follow as their sample files arrive.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</row>
    <row r="31"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</row>
  </sheetData>
  <mergeCells count="49">
    <mergeCell ref="J22:M22"/>
    <mergeCell ref="B23:D23"/>
    <mergeCell ref="E24:F24"/>
    <mergeCell ref="B6:E6"/>
    <mergeCell ref="G27:H27"/>
    <mergeCell ref="B15:E15"/>
    <mergeCell ref="E23:F23"/>
    <mergeCell ref="G23:H23"/>
    <mergeCell ref="J21:M21"/>
    <mergeCell ref="B30:M31"/>
    <mergeCell ref="B29:D29"/>
    <mergeCell ref="B10:E10"/>
    <mergeCell ref="F14:I14"/>
    <mergeCell ref="B28:D28"/>
    <mergeCell ref="J23:M23"/>
    <mergeCell ref="E29:F29"/>
    <mergeCell ref="F11:I11"/>
    <mergeCell ref="E28:F28"/>
    <mergeCell ref="B7:E7"/>
    <mergeCell ref="G28:H28"/>
    <mergeCell ref="J14:M14"/>
    <mergeCell ref="F10:I10"/>
    <mergeCell ref="B24:D24"/>
    <mergeCell ref="B20:D20"/>
    <mergeCell ref="F6:I6"/>
    <mergeCell ref="J10:M10"/>
    <mergeCell ref="G24:H24"/>
    <mergeCell ref="F7:I7"/>
    <mergeCell ref="B26:D26"/>
    <mergeCell ref="E27:F27"/>
    <mergeCell ref="B11:E11"/>
    <mergeCell ref="J6:M6"/>
    <mergeCell ref="F15:I15"/>
    <mergeCell ref="J24:M24"/>
    <mergeCell ref="J15:M15"/>
    <mergeCell ref="E26:F26"/>
    <mergeCell ref="B25:D25"/>
    <mergeCell ref="G26:H26"/>
    <mergeCell ref="B14:E14"/>
    <mergeCell ref="G29:H29"/>
    <mergeCell ref="J26:M26"/>
    <mergeCell ref="E25:F25"/>
    <mergeCell ref="G25:H25"/>
    <mergeCell ref="J11:M11"/>
    <mergeCell ref="B27:D27"/>
    <mergeCell ref="J20:M20"/>
    <mergeCell ref="J7:M7"/>
    <mergeCell ref="J25:M25"/>
    <mergeCell ref="E20:G20"/>
  </mergeCells>
  <hyperlinks>
    <hyperlink xmlns:r="http://schemas.openxmlformats.org/officeDocument/2006/relationships" ref="L1" r:id="rId1"/>
    <hyperlink xmlns:r="http://schemas.openxmlformats.org/officeDocument/2006/relationships" ref="B6" r:id="rId2"/>
    <hyperlink xmlns:r="http://schemas.openxmlformats.org/officeDocument/2006/relationships" ref="F6" r:id="rId3"/>
    <hyperlink xmlns:r="http://schemas.openxmlformats.org/officeDocument/2006/relationships" ref="J6" r:id="rId4"/>
    <hyperlink xmlns:r="http://schemas.openxmlformats.org/officeDocument/2006/relationships" ref="B7" r:id="rId5"/>
    <hyperlink xmlns:r="http://schemas.openxmlformats.org/officeDocument/2006/relationships" ref="F7" r:id="rId6"/>
    <hyperlink xmlns:r="http://schemas.openxmlformats.org/officeDocument/2006/relationships" ref="J7" r:id="rId7"/>
    <hyperlink xmlns:r="http://schemas.openxmlformats.org/officeDocument/2006/relationships" ref="B10" r:id="rId8"/>
    <hyperlink xmlns:r="http://schemas.openxmlformats.org/officeDocument/2006/relationships" ref="F10" r:id="rId9"/>
    <hyperlink xmlns:r="http://schemas.openxmlformats.org/officeDocument/2006/relationships" ref="J10" r:id="rId10"/>
    <hyperlink xmlns:r="http://schemas.openxmlformats.org/officeDocument/2006/relationships" ref="B11" r:id="rId11"/>
    <hyperlink xmlns:r="http://schemas.openxmlformats.org/officeDocument/2006/relationships" ref="F11" r:id="rId12"/>
    <hyperlink xmlns:r="http://schemas.openxmlformats.org/officeDocument/2006/relationships" ref="J11" r:id="rId13"/>
    <hyperlink xmlns:r="http://schemas.openxmlformats.org/officeDocument/2006/relationships" ref="B14" r:id="rId14"/>
    <hyperlink xmlns:r="http://schemas.openxmlformats.org/officeDocument/2006/relationships" ref="F14" r:id="rId15"/>
    <hyperlink xmlns:r="http://schemas.openxmlformats.org/officeDocument/2006/relationships" ref="J14" r:id="rId16"/>
    <hyperlink xmlns:r="http://schemas.openxmlformats.org/officeDocument/2006/relationships" ref="B15" r:id="rId17"/>
    <hyperlink xmlns:r="http://schemas.openxmlformats.org/officeDocument/2006/relationships" ref="F15" r:id="rId18"/>
    <hyperlink xmlns:r="http://schemas.openxmlformats.org/officeDocument/2006/relationships" ref="J15" r:id="rId19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B2A41"/>
    <outlinePr summaryBelow="1" summaryRight="1"/>
    <pageSetUpPr fitToPage="1"/>
  </sheetPr>
  <dimension ref="A1:P6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34" customHeight="1">
      <c r="A1" s="1" t="n"/>
      <c r="B1" s="2" t="inlineStr">
        <is>
          <t>MASTER 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3" t="inlineStr">
        <is>
          <t>⌂ HOME</t>
        </is>
      </c>
      <c r="O1" s="1" t="n"/>
      <c r="P1" s="1" t="n"/>
    </row>
    <row r="2">
      <c r="A2" s="1" t="n"/>
      <c r="B2" s="4" t="inlineStr">
        <is>
          <t>Global view of every stream side by side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B4" s="36" t="inlineStr">
        <is>
          <t>Stage 2: this dashboard is built after the WSF DASHBOARD is reviewed, using the same control strip, KPI cards, time analysis, rankings and non-reporting layout. Its data is already loaded in the all DATA_* sheet.</t>
        </is>
      </c>
    </row>
    <row r="5"/>
    <row r="6"/>
  </sheetData>
  <mergeCells count="1">
    <mergeCell ref="B4:O6"/>
  </mergeCells>
  <hyperlinks>
    <hyperlink xmlns:r="http://schemas.openxmlformats.org/officeDocument/2006/relationships" ref="N1" r:id="rId1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1F5FA8"/>
    <outlinePr summaryBelow="1" summaryRight="1"/>
    <pageSetUpPr fitToPage="1"/>
  </sheetPr>
  <dimension ref="A1:P109"/>
  <sheetViews>
    <sheetView showGridLines="0" tabSelected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34" customHeight="1">
      <c r="A1" s="9" t="n"/>
      <c r="B1" s="37" t="inlineStr">
        <is>
          <t>WSF DASHBOARD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38" t="inlineStr">
        <is>
          <t>⌂ HOME</t>
        </is>
      </c>
      <c r="O1" s="9" t="n"/>
      <c r="P1" s="9" t="n"/>
    </row>
    <row r="2">
      <c r="A2" s="9" t="n"/>
      <c r="B2" s="39" t="inlineStr">
        <is>
          <t>Worship Service Fellowship · Saturday cell services · attendance and cell reporting compliance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6" customHeight="1">
      <c r="B3" s="40" t="inlineStr">
        <is>
          <t>SCOPE</t>
        </is>
      </c>
      <c r="C3" s="40" t="inlineStr">
        <is>
          <t>SEARCH  (type part of a name)</t>
        </is>
      </c>
      <c r="E3" s="40" t="inlineStr">
        <is>
          <t>SELECT AREA / ZONE  ▼</t>
        </is>
      </c>
      <c r="H3" s="40" t="inlineStr">
        <is>
          <t>STREAM</t>
        </is>
      </c>
      <c r="I3" s="40" t="inlineStr">
        <is>
          <t>WEEK ENDING  ▼</t>
        </is>
      </c>
      <c r="K3" s="40" t="inlineStr">
        <is>
          <t>COMPARE (WEEKS)</t>
        </is>
      </c>
      <c r="L3" s="40" t="inlineStr">
        <is>
          <t>SHOWING</t>
        </is>
      </c>
    </row>
    <row r="4" ht="24" customHeight="1">
      <c r="B4" s="41" t="inlineStr">
        <is>
          <t>Global</t>
        </is>
      </c>
      <c r="C4" s="42" t="n"/>
      <c r="D4" s="43" t="n"/>
      <c r="E4" s="42" t="n"/>
      <c r="F4" s="43" t="n"/>
      <c r="G4" s="43" t="n"/>
      <c r="H4" s="44" t="inlineStr">
        <is>
          <t>WSF</t>
        </is>
      </c>
      <c r="I4" s="45" t="inlineStr">
        <is>
          <t>Latest</t>
        </is>
      </c>
      <c r="J4" s="43" t="n"/>
      <c r="K4" s="41" t="n">
        <v>4</v>
      </c>
      <c r="L4" s="46">
        <f>CALC_WSF!$B$16&amp;IF(CALC_WSF!$B$10=0,"","  ·  w/e "&amp;TEXT(CALC_WSF!$B$10,"dd mmm yyyy"))&amp;"  ·  "&amp;CALC_WSF!$B$11&amp;"-wk window"</f>
        <v/>
      </c>
    </row>
    <row r="5" ht="18" customHeight="1">
      <c r="B5" s="47">
        <f>IF(CALC_WSF!$B$9=0,"No WSF data loaded yet. Put files in the inbox folder and run ingest.py.",IF(NOT(CALC_WSF!$B$5),"⚠  Pick "&amp;IF(CALC_WSF!$B$3="Area","an Area","a Zone")&amp;" from SELECT (type part of the name in SEARCH first to narrow the list).",IF(CALC_WSF!$Q$21=0,"No WSF reports in this scope for the selected week.","Numbers compare the selected week with the previous week and with the average of the "&amp;CALC_WSF!$B$11&amp;" weeks before it.")))</f>
        <v/>
      </c>
    </row>
    <row r="7">
      <c r="B7" s="48" t="inlineStr">
        <is>
          <t>GRAND TOTAL ATTENDANCE</t>
        </is>
      </c>
      <c r="C7" s="49" t="n"/>
      <c r="D7" s="48" t="inlineStr">
        <is>
          <t>ADULTS (M + F)</t>
        </is>
      </c>
      <c r="E7" s="49" t="n"/>
      <c r="F7" s="48" t="inlineStr">
        <is>
          <t>CHILDREN</t>
        </is>
      </c>
      <c r="G7" s="49" t="n"/>
      <c r="H7" s="48" t="inlineStr">
        <is>
          <t>% CELLS REPORTING</t>
        </is>
      </c>
      <c r="I7" s="49" t="n"/>
      <c r="J7" s="48" t="inlineStr">
        <is>
          <t>CELLS REPORTED</t>
        </is>
      </c>
      <c r="K7" s="49" t="n"/>
      <c r="L7" s="48" t="inlineStr">
        <is>
          <t>AVG PER REPORTING CELL</t>
        </is>
      </c>
      <c r="M7" s="49" t="n"/>
      <c r="N7" s="48" t="inlineStr">
        <is>
          <t>ZONES WITH NO CELL REPORT</t>
        </is>
      </c>
      <c r="O7" s="49" t="n"/>
    </row>
    <row r="8" ht="34" customHeight="1">
      <c r="B8" s="50">
        <f>IF(CALC_WSF!$B$90="","–",CALC_WSF!$B$90)</f>
        <v/>
      </c>
      <c r="C8" s="51" t="n"/>
      <c r="D8" s="50">
        <f>IF(CALC_WSF!$B$91="","–",CALC_WSF!$B$91)</f>
        <v/>
      </c>
      <c r="E8" s="51" t="n"/>
      <c r="F8" s="50">
        <f>IF(CALC_WSF!$B$94="","–",CALC_WSF!$B$94)</f>
        <v/>
      </c>
      <c r="G8" s="51" t="n"/>
      <c r="H8" s="52">
        <f>IF(CALC_WSF!$B$98="","–",CALC_WSF!$B$98)</f>
        <v/>
      </c>
      <c r="I8" s="51" t="n"/>
      <c r="J8" s="50">
        <f>IF(CALC_WSF!$B$96="","–",CALC_WSF!$B$96)</f>
        <v/>
      </c>
      <c r="K8" s="51" t="n"/>
      <c r="L8" s="53">
        <f>IF(CALC_WSF!$B$100="","–",CALC_WSF!$B$100)</f>
        <v/>
      </c>
      <c r="M8" s="51" t="n"/>
      <c r="N8" s="50">
        <f>IF(CALC_WSF!$Q$21=0,"–",CALC_WSF!$B$17)</f>
        <v/>
      </c>
      <c r="O8" s="51" t="n"/>
    </row>
    <row r="9">
      <c r="B9" s="54">
        <f>IF(CALC_WSF!$E$90="","– vs prev wk",IF(CALC_WSF!$E$90&gt;=0,"▲ ","▼ ")&amp;TEXT(ABS(CALC_WSF!$E$90),"0.0%")&amp;" vs prev wk")</f>
        <v/>
      </c>
      <c r="C9" s="51" t="n"/>
      <c r="D9" s="54">
        <f>IF(CALC_WSF!$E$91="","– vs prev wk",IF(CALC_WSF!$E$91&gt;=0,"▲ ","▼ ")&amp;TEXT(ABS(CALC_WSF!$E$91),"0.0%")&amp;" vs prev wk")</f>
        <v/>
      </c>
      <c r="E9" s="51" t="n"/>
      <c r="F9" s="54">
        <f>IF(CALC_WSF!$E$94="","– vs prev wk",IF(CALC_WSF!$E$94&gt;=0,"▲ ","▼ ")&amp;TEXT(ABS(CALC_WSF!$E$94),"0.0%")&amp;" vs prev wk")</f>
        <v/>
      </c>
      <c r="G9" s="51" t="n"/>
      <c r="H9" s="54">
        <f>IF(CALC_WSF!$D$98="","– vs prev wk",IF(CALC_WSF!$D$98&gt;=0,"▲ ","▼ ")&amp;TEXT(ABS(CALC_WSF!$D$98)*100,"0.0")&amp;" pts vs prev wk")</f>
        <v/>
      </c>
      <c r="I9" s="51" t="n"/>
      <c r="J9" s="54">
        <f>IF(CALC_WSF!$E$96="","– vs prev wk",IF(CALC_WSF!$E$96&gt;=0,"▲ ","▼ ")&amp;TEXT(ABS(CALC_WSF!$E$96),"0.0%")&amp;" vs prev wk")</f>
        <v/>
      </c>
      <c r="K9" s="51" t="n"/>
      <c r="L9" s="54">
        <f>IF(CALC_WSF!$E$100="","– vs prev wk",IF(CALC_WSF!$E$100&gt;=0,"▲ ","▼ ")&amp;TEXT(ABS(CALC_WSF!$E$100),"0.0%")&amp;" vs prev wk")</f>
        <v/>
      </c>
      <c r="M9" s="51" t="n"/>
      <c r="N9" s="54">
        <f>IF(CALC_WSF!$Q$21=0,"","of "&amp;TEXT(COUNTIFS(DATA_WSF!$A:$A,CALC_WSF!$B$10,DATA_WSF!$C:$C,CALC_WSF!$B$6,DATA_WSF!$D:$D,CALC_WSF!$B$7),"#,##0")&amp;" zones")</f>
        <v/>
      </c>
      <c r="O9" s="51" t="n"/>
    </row>
    <row r="10">
      <c r="B10" s="55">
        <f>"Avg last "&amp;CALC_WSF!$B$11&amp;" wks: "&amp;IF(CALC_WSF!$F$90="","–",TEXT(CALC_WSF!$F$90,"#,##0"))</f>
        <v/>
      </c>
      <c r="C10" s="51" t="n"/>
      <c r="D10" s="55">
        <f>"Avg last "&amp;CALC_WSF!$B$11&amp;" wks: "&amp;IF(CALC_WSF!$F$91="","–",TEXT(CALC_WSF!$F$91,"#,##0"))</f>
        <v/>
      </c>
      <c r="E10" s="51" t="n"/>
      <c r="F10" s="55">
        <f>"Avg last "&amp;CALC_WSF!$B$11&amp;" wks: "&amp;IF(CALC_WSF!$F$94="","–",TEXT(CALC_WSF!$F$94,"#,##0"))</f>
        <v/>
      </c>
      <c r="G10" s="51" t="n"/>
      <c r="H10" s="55">
        <f>"Avg last "&amp;CALC_WSF!$B$11&amp;" wks: "&amp;IF(CALC_WSF!$F$98="","–",TEXT(CALC_WSF!$F$98,"0.0%"))</f>
        <v/>
      </c>
      <c r="I10" s="51" t="n"/>
      <c r="J10" s="55">
        <f>"Avg last "&amp;CALC_WSF!$B$11&amp;" wks: "&amp;IF(CALC_WSF!$F$96="","–",TEXT(CALC_WSF!$F$96,"#,##0"))</f>
        <v/>
      </c>
      <c r="K10" s="51" t="n"/>
      <c r="L10" s="55">
        <f>"Avg last "&amp;CALC_WSF!$B$11&amp;" wks: "&amp;IF(CALC_WSF!$F$100="","–",TEXT(CALC_WSF!$F$100,"#,##0.0"))</f>
        <v/>
      </c>
      <c r="M10" s="51" t="n"/>
      <c r="N10" s="55">
        <f>"Zones where not one cell reported"</f>
        <v/>
      </c>
      <c r="O10" s="51" t="n"/>
    </row>
    <row r="12" ht="22" customHeight="1">
      <c r="B12" s="56" t="inlineStr">
        <is>
          <t>Time analysis — selected week against previous week, the N-week average and period-to-date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</row>
    <row r="13" ht="28" customHeight="1">
      <c r="B13" s="58" t="inlineStr">
        <is>
          <t>KPI</t>
        </is>
      </c>
      <c r="C13" s="9" t="n"/>
      <c r="D13" s="59" t="inlineStr">
        <is>
          <t>Selected week</t>
        </is>
      </c>
      <c r="E13" s="59" t="inlineStr">
        <is>
          <t>Previous week</t>
        </is>
      </c>
      <c r="F13" s="59" t="inlineStr">
        <is>
          <t>Change</t>
        </is>
      </c>
      <c r="G13" s="59" t="inlineStr">
        <is>
          <t>% change</t>
        </is>
      </c>
      <c r="H13" s="59">
        <f>"Avg last "&amp;CALC_WSF!$B$11&amp;" wks"</f>
        <v/>
      </c>
      <c r="I13" s="59">
        <f>"vs "&amp;CALC_WSF!$B$11&amp;"-wk avg"</f>
        <v/>
      </c>
      <c r="J13" s="59" t="inlineStr">
        <is>
          <t>MTD total</t>
        </is>
      </c>
      <c r="K13" s="59" t="inlineStr">
        <is>
          <t>QTD total</t>
        </is>
      </c>
      <c r="L13" s="59" t="inlineStr">
        <is>
          <t>YTD total</t>
        </is>
      </c>
      <c r="M13" s="59" t="inlineStr">
        <is>
          <t>Wkly avg (month)</t>
        </is>
      </c>
      <c r="N13" s="59" t="inlineStr">
        <is>
          <t>Wkly avg (qtr)</t>
        </is>
      </c>
      <c r="O13" s="59" t="inlineStr">
        <is>
          <t>Wkly avg (year)</t>
        </is>
      </c>
    </row>
    <row r="14">
      <c r="B14" s="60" t="inlineStr">
        <is>
          <t>Grand total attendance</t>
        </is>
      </c>
      <c r="C14" s="61" t="n"/>
      <c r="D14" s="62">
        <f>IF(CALC_WSF!$B$90="","–",CALC_WSF!$B$90)</f>
        <v/>
      </c>
      <c r="E14" s="63">
        <f>IF(CALC_WSF!$C$90="","–",CALC_WSF!$C$90)</f>
        <v/>
      </c>
      <c r="F14" s="64">
        <f>IF(CALC_WSF!$D$90="","–",CALC_WSF!$D$90)</f>
        <v/>
      </c>
      <c r="G14" s="65">
        <f>IF(CALC_WSF!$E$90="","–",CALC_WSF!$E$90)</f>
        <v/>
      </c>
      <c r="H14" s="63">
        <f>IF(CALC_WSF!$F$90="","–",CALC_WSF!$F$90)</f>
        <v/>
      </c>
      <c r="I14" s="65">
        <f>IF(CALC_WSF!$G$90="","–",CALC_WSF!$G$90)</f>
        <v/>
      </c>
      <c r="J14" s="63">
        <f>IF(CALC_WSF!$H$90="","–",CALC_WSF!$H$90)</f>
        <v/>
      </c>
      <c r="K14" s="63">
        <f>IF(CALC_WSF!$I$90="","–",CALC_WSF!$I$90)</f>
        <v/>
      </c>
      <c r="L14" s="63">
        <f>IF(CALC_WSF!$J$90="","–",CALC_WSF!$J$90)</f>
        <v/>
      </c>
      <c r="M14" s="63">
        <f>IF(CALC_WSF!$K$90="","–",CALC_WSF!$K$90)</f>
        <v/>
      </c>
      <c r="N14" s="63">
        <f>IF(CALC_WSF!$L$90="","–",CALC_WSF!$L$90)</f>
        <v/>
      </c>
      <c r="O14" s="63">
        <f>IF(CALC_WSF!$M$90="","–",CALC_WSF!$M$90)</f>
        <v/>
      </c>
    </row>
    <row r="15">
      <c r="B15" s="66" t="inlineStr">
        <is>
          <t>Adult total (Male + Female)</t>
        </is>
      </c>
      <c r="D15" s="67">
        <f>IF(CALC_WSF!$B$91="","–",CALC_WSF!$B$91)</f>
        <v/>
      </c>
      <c r="E15" s="68">
        <f>IF(CALC_WSF!$C$91="","–",CALC_WSF!$C$91)</f>
        <v/>
      </c>
      <c r="F15" s="69">
        <f>IF(CALC_WSF!$D$91="","–",CALC_WSF!$D$91)</f>
        <v/>
      </c>
      <c r="G15" s="70">
        <f>IF(CALC_WSF!$E$91="","–",CALC_WSF!$E$91)</f>
        <v/>
      </c>
      <c r="H15" s="68">
        <f>IF(CALC_WSF!$F$91="","–",CALC_WSF!$F$91)</f>
        <v/>
      </c>
      <c r="I15" s="70">
        <f>IF(CALC_WSF!$G$91="","–",CALC_WSF!$G$91)</f>
        <v/>
      </c>
      <c r="J15" s="68">
        <f>IF(CALC_WSF!$H$91="","–",CALC_WSF!$H$91)</f>
        <v/>
      </c>
      <c r="K15" s="68">
        <f>IF(CALC_WSF!$I$91="","–",CALC_WSF!$I$91)</f>
        <v/>
      </c>
      <c r="L15" s="68">
        <f>IF(CALC_WSF!$J$91="","–",CALC_WSF!$J$91)</f>
        <v/>
      </c>
      <c r="M15" s="68">
        <f>IF(CALC_WSF!$K$91="","–",CALC_WSF!$K$91)</f>
        <v/>
      </c>
      <c r="N15" s="68">
        <f>IF(CALC_WSF!$L$91="","–",CALC_WSF!$L$91)</f>
        <v/>
      </c>
      <c r="O15" s="68">
        <f>IF(CALC_WSF!$M$91="","–",CALC_WSF!$M$91)</f>
        <v/>
      </c>
    </row>
    <row r="16">
      <c r="B16" s="71" t="inlineStr">
        <is>
          <t>Male</t>
        </is>
      </c>
      <c r="C16" s="61" t="n"/>
      <c r="D16" s="62">
        <f>IF(CALC_WSF!$B$92="","–",CALC_WSF!$B$92)</f>
        <v/>
      </c>
      <c r="E16" s="63">
        <f>IF(CALC_WSF!$C$92="","–",CALC_WSF!$C$92)</f>
        <v/>
      </c>
      <c r="F16" s="64">
        <f>IF(CALC_WSF!$D$92="","–",CALC_WSF!$D$92)</f>
        <v/>
      </c>
      <c r="G16" s="65">
        <f>IF(CALC_WSF!$E$92="","–",CALC_WSF!$E$92)</f>
        <v/>
      </c>
      <c r="H16" s="63">
        <f>IF(CALC_WSF!$F$92="","–",CALC_WSF!$F$92)</f>
        <v/>
      </c>
      <c r="I16" s="65">
        <f>IF(CALC_WSF!$G$92="","–",CALC_WSF!$G$92)</f>
        <v/>
      </c>
      <c r="J16" s="63">
        <f>IF(CALC_WSF!$H$92="","–",CALC_WSF!$H$92)</f>
        <v/>
      </c>
      <c r="K16" s="63">
        <f>IF(CALC_WSF!$I$92="","–",CALC_WSF!$I$92)</f>
        <v/>
      </c>
      <c r="L16" s="63">
        <f>IF(CALC_WSF!$J$92="","–",CALC_WSF!$J$92)</f>
        <v/>
      </c>
      <c r="M16" s="63">
        <f>IF(CALC_WSF!$K$92="","–",CALC_WSF!$K$92)</f>
        <v/>
      </c>
      <c r="N16" s="63">
        <f>IF(CALC_WSF!$L$92="","–",CALC_WSF!$L$92)</f>
        <v/>
      </c>
      <c r="O16" s="63">
        <f>IF(CALC_WSF!$M$92="","–",CALC_WSF!$M$92)</f>
        <v/>
      </c>
    </row>
    <row r="17">
      <c r="B17" s="66" t="inlineStr">
        <is>
          <t>Female</t>
        </is>
      </c>
      <c r="D17" s="67">
        <f>IF(CALC_WSF!$B$93="","–",CALC_WSF!$B$93)</f>
        <v/>
      </c>
      <c r="E17" s="68">
        <f>IF(CALC_WSF!$C$93="","–",CALC_WSF!$C$93)</f>
        <v/>
      </c>
      <c r="F17" s="69">
        <f>IF(CALC_WSF!$D$93="","–",CALC_WSF!$D$93)</f>
        <v/>
      </c>
      <c r="G17" s="70">
        <f>IF(CALC_WSF!$E$93="","–",CALC_WSF!$E$93)</f>
        <v/>
      </c>
      <c r="H17" s="68">
        <f>IF(CALC_WSF!$F$93="","–",CALC_WSF!$F$93)</f>
        <v/>
      </c>
      <c r="I17" s="70">
        <f>IF(CALC_WSF!$G$93="","–",CALC_WSF!$G$93)</f>
        <v/>
      </c>
      <c r="J17" s="68">
        <f>IF(CALC_WSF!$H$93="","–",CALC_WSF!$H$93)</f>
        <v/>
      </c>
      <c r="K17" s="68">
        <f>IF(CALC_WSF!$I$93="","–",CALC_WSF!$I$93)</f>
        <v/>
      </c>
      <c r="L17" s="68">
        <f>IF(CALC_WSF!$J$93="","–",CALC_WSF!$J$93)</f>
        <v/>
      </c>
      <c r="M17" s="68">
        <f>IF(CALC_WSF!$K$93="","–",CALC_WSF!$K$93)</f>
        <v/>
      </c>
      <c r="N17" s="68">
        <f>IF(CALC_WSF!$L$93="","–",CALC_WSF!$L$93)</f>
        <v/>
      </c>
      <c r="O17" s="68">
        <f>IF(CALC_WSF!$M$93="","–",CALC_WSF!$M$93)</f>
        <v/>
      </c>
    </row>
    <row r="18">
      <c r="B18" s="71" t="inlineStr">
        <is>
          <t>Children</t>
        </is>
      </c>
      <c r="C18" s="61" t="n"/>
      <c r="D18" s="62">
        <f>IF(CALC_WSF!$B$94="","–",CALC_WSF!$B$94)</f>
        <v/>
      </c>
      <c r="E18" s="63">
        <f>IF(CALC_WSF!$C$94="","–",CALC_WSF!$C$94)</f>
        <v/>
      </c>
      <c r="F18" s="64">
        <f>IF(CALC_WSF!$D$94="","–",CALC_WSF!$D$94)</f>
        <v/>
      </c>
      <c r="G18" s="65">
        <f>IF(CALC_WSF!$E$94="","–",CALC_WSF!$E$94)</f>
        <v/>
      </c>
      <c r="H18" s="63">
        <f>IF(CALC_WSF!$F$94="","–",CALC_WSF!$F$94)</f>
        <v/>
      </c>
      <c r="I18" s="65">
        <f>IF(CALC_WSF!$G$94="","–",CALC_WSF!$G$94)</f>
        <v/>
      </c>
      <c r="J18" s="63">
        <f>IF(CALC_WSF!$H$94="","–",CALC_WSF!$H$94)</f>
        <v/>
      </c>
      <c r="K18" s="63">
        <f>IF(CALC_WSF!$I$94="","–",CALC_WSF!$I$94)</f>
        <v/>
      </c>
      <c r="L18" s="63">
        <f>IF(CALC_WSF!$J$94="","–",CALC_WSF!$J$94)</f>
        <v/>
      </c>
      <c r="M18" s="63">
        <f>IF(CALC_WSF!$K$94="","–",CALC_WSF!$K$94)</f>
        <v/>
      </c>
      <c r="N18" s="63">
        <f>IF(CALC_WSF!$L$94="","–",CALC_WSF!$L$94)</f>
        <v/>
      </c>
      <c r="O18" s="63">
        <f>IF(CALC_WSF!$M$94="","–",CALC_WSF!$M$94)</f>
        <v/>
      </c>
    </row>
    <row r="19">
      <c r="B19" s="66" t="inlineStr">
        <is>
          <t>Operational cells</t>
        </is>
      </c>
      <c r="D19" s="67">
        <f>IF(CALC_WSF!$B$95="","–",CALC_WSF!$B$95)</f>
        <v/>
      </c>
      <c r="E19" s="68">
        <f>IF(CALC_WSF!$C$95="","–",CALC_WSF!$C$95)</f>
        <v/>
      </c>
      <c r="F19" s="69">
        <f>IF(CALC_WSF!$D$95="","–",CALC_WSF!$D$95)</f>
        <v/>
      </c>
      <c r="G19" s="70">
        <f>IF(CALC_WSF!$E$95="","–",CALC_WSF!$E$95)</f>
        <v/>
      </c>
      <c r="H19" s="68">
        <f>IF(CALC_WSF!$F$95="","–",CALC_WSF!$F$95)</f>
        <v/>
      </c>
      <c r="I19" s="70">
        <f>IF(CALC_WSF!$G$95="","–",CALC_WSF!$G$95)</f>
        <v/>
      </c>
      <c r="J19" s="68">
        <f>IF(CALC_WSF!$H$95="","–",CALC_WSF!$H$95)</f>
        <v/>
      </c>
      <c r="K19" s="68">
        <f>IF(CALC_WSF!$I$95="","–",CALC_WSF!$I$95)</f>
        <v/>
      </c>
      <c r="L19" s="68">
        <f>IF(CALC_WSF!$J$95="","–",CALC_WSF!$J$95)</f>
        <v/>
      </c>
      <c r="M19" s="68">
        <f>IF(CALC_WSF!$K$95="","–",CALC_WSF!$K$95)</f>
        <v/>
      </c>
      <c r="N19" s="68">
        <f>IF(CALC_WSF!$L$95="","–",CALC_WSF!$L$95)</f>
        <v/>
      </c>
      <c r="O19" s="68">
        <f>IF(CALC_WSF!$M$95="","–",CALC_WSF!$M$95)</f>
        <v/>
      </c>
    </row>
    <row r="20">
      <c r="B20" s="71" t="inlineStr">
        <is>
          <t>Cells that reported</t>
        </is>
      </c>
      <c r="C20" s="61" t="n"/>
      <c r="D20" s="62">
        <f>IF(CALC_WSF!$B$96="","–",CALC_WSF!$B$96)</f>
        <v/>
      </c>
      <c r="E20" s="63">
        <f>IF(CALC_WSF!$C$96="","–",CALC_WSF!$C$96)</f>
        <v/>
      </c>
      <c r="F20" s="64">
        <f>IF(CALC_WSF!$D$96="","–",CALC_WSF!$D$96)</f>
        <v/>
      </c>
      <c r="G20" s="65">
        <f>IF(CALC_WSF!$E$96="","–",CALC_WSF!$E$96)</f>
        <v/>
      </c>
      <c r="H20" s="63">
        <f>IF(CALC_WSF!$F$96="","–",CALC_WSF!$F$96)</f>
        <v/>
      </c>
      <c r="I20" s="65">
        <f>IF(CALC_WSF!$G$96="","–",CALC_WSF!$G$96)</f>
        <v/>
      </c>
      <c r="J20" s="63">
        <f>IF(CALC_WSF!$H$96="","–",CALC_WSF!$H$96)</f>
        <v/>
      </c>
      <c r="K20" s="63">
        <f>IF(CALC_WSF!$I$96="","–",CALC_WSF!$I$96)</f>
        <v/>
      </c>
      <c r="L20" s="63">
        <f>IF(CALC_WSF!$J$96="","–",CALC_WSF!$J$96)</f>
        <v/>
      </c>
      <c r="M20" s="63">
        <f>IF(CALC_WSF!$K$96="","–",CALC_WSF!$K$96)</f>
        <v/>
      </c>
      <c r="N20" s="63">
        <f>IF(CALC_WSF!$L$96="","–",CALC_WSF!$L$96)</f>
        <v/>
      </c>
      <c r="O20" s="63">
        <f>IF(CALC_WSF!$M$96="","–",CALC_WSF!$M$96)</f>
        <v/>
      </c>
    </row>
    <row r="21">
      <c r="B21" s="66" t="inlineStr">
        <is>
          <t>Cells with no report</t>
        </is>
      </c>
      <c r="D21" s="67">
        <f>IF(CALC_WSF!$B$97="","–",CALC_WSF!$B$97)</f>
        <v/>
      </c>
      <c r="E21" s="68">
        <f>IF(CALC_WSF!$C$97="","–",CALC_WSF!$C$97)</f>
        <v/>
      </c>
      <c r="F21" s="69">
        <f>IF(CALC_WSF!$D$97="","–",CALC_WSF!$D$97)</f>
        <v/>
      </c>
      <c r="G21" s="70">
        <f>IF(CALC_WSF!$E$97="","–",CALC_WSF!$E$97)</f>
        <v/>
      </c>
      <c r="H21" s="68">
        <f>IF(CALC_WSF!$F$97="","–",CALC_WSF!$F$97)</f>
        <v/>
      </c>
      <c r="I21" s="70">
        <f>IF(CALC_WSF!$G$97="","–",CALC_WSF!$G$97)</f>
        <v/>
      </c>
      <c r="J21" s="68">
        <f>IF(CALC_WSF!$H$97="","–",CALC_WSF!$H$97)</f>
        <v/>
      </c>
      <c r="K21" s="68">
        <f>IF(CALC_WSF!$I$97="","–",CALC_WSF!$I$97)</f>
        <v/>
      </c>
      <c r="L21" s="68">
        <f>IF(CALC_WSF!$J$97="","–",CALC_WSF!$J$97)</f>
        <v/>
      </c>
      <c r="M21" s="68">
        <f>IF(CALC_WSF!$K$97="","–",CALC_WSF!$K$97)</f>
        <v/>
      </c>
      <c r="N21" s="68">
        <f>IF(CALC_WSF!$L$97="","–",CALC_WSF!$L$97)</f>
        <v/>
      </c>
      <c r="O21" s="68">
        <f>IF(CALC_WSF!$M$97="","–",CALC_WSF!$M$97)</f>
        <v/>
      </c>
    </row>
    <row r="22">
      <c r="B22" s="60" t="inlineStr">
        <is>
          <t>% cells reporting</t>
        </is>
      </c>
      <c r="C22" s="61" t="n"/>
      <c r="D22" s="72">
        <f>IF(CALC_WSF!$B$98="","–",CALC_WSF!$B$98)</f>
        <v/>
      </c>
      <c r="E22" s="73">
        <f>IF(CALC_WSF!$C$98="","–",CALC_WSF!$C$98)</f>
        <v/>
      </c>
      <c r="F22" s="74">
        <f>IF(CALC_WSF!$D$98="","–",CALC_WSF!$D$98*100)</f>
        <v/>
      </c>
      <c r="G22" s="65">
        <f>IF(CALC_WSF!$E$98="","–",CALC_WSF!$E$98)</f>
        <v/>
      </c>
      <c r="H22" s="73">
        <f>IF(CALC_WSF!$F$98="","–",CALC_WSF!$F$98)</f>
        <v/>
      </c>
      <c r="I22" s="65">
        <f>IF(CALC_WSF!$G$98="","–",CALC_WSF!$G$98)</f>
        <v/>
      </c>
      <c r="J22" s="73">
        <f>IF(CALC_WSF!$H$98="","–",CALC_WSF!$H$98)</f>
        <v/>
      </c>
      <c r="K22" s="73">
        <f>IF(CALC_WSF!$I$98="","–",CALC_WSF!$I$98)</f>
        <v/>
      </c>
      <c r="L22" s="73">
        <f>IF(CALC_WSF!$J$98="","–",CALC_WSF!$J$98)</f>
        <v/>
      </c>
      <c r="M22" s="73">
        <f>IF(CALC_WSF!$K$98="","–",CALC_WSF!$K$98)</f>
        <v/>
      </c>
      <c r="N22" s="73">
        <f>IF(CALC_WSF!$L$98="","–",CALC_WSF!$L$98)</f>
        <v/>
      </c>
      <c r="O22" s="73">
        <f>IF(CALC_WSF!$M$98="","–",CALC_WSF!$M$98)</f>
        <v/>
      </c>
    </row>
    <row r="23">
      <c r="B23" s="66" t="inlineStr">
        <is>
          <t>Reporting : non-reporting</t>
        </is>
      </c>
      <c r="D23" s="75">
        <f>IF(CALC_WSF!$B$99="","–",CALC_WSF!$B$99)</f>
        <v/>
      </c>
      <c r="E23" s="76">
        <f>IF(CALC_WSF!$C$99="","–",CALC_WSF!$C$99)</f>
        <v/>
      </c>
      <c r="F23" s="77">
        <f>IF(CALC_WSF!$D$99="","–",CALC_WSF!$D$99)</f>
        <v/>
      </c>
      <c r="G23" s="70">
        <f>IF(CALC_WSF!$E$99="","–",CALC_WSF!$E$99)</f>
        <v/>
      </c>
      <c r="H23" s="76">
        <f>IF(CALC_WSF!$F$99="","–",CALC_WSF!$F$99)</f>
        <v/>
      </c>
      <c r="I23" s="70">
        <f>IF(CALC_WSF!$G$99="","–",CALC_WSF!$G$99)</f>
        <v/>
      </c>
      <c r="J23" s="76">
        <f>IF(CALC_WSF!$H$99="","–",CALC_WSF!$H$99)</f>
        <v/>
      </c>
      <c r="K23" s="76">
        <f>IF(CALC_WSF!$I$99="","–",CALC_WSF!$I$99)</f>
        <v/>
      </c>
      <c r="L23" s="76">
        <f>IF(CALC_WSF!$J$99="","–",CALC_WSF!$J$99)</f>
        <v/>
      </c>
      <c r="M23" s="76">
        <f>IF(CALC_WSF!$K$99="","–",CALC_WSF!$K$99)</f>
        <v/>
      </c>
      <c r="N23" s="76">
        <f>IF(CALC_WSF!$L$99="","–",CALC_WSF!$L$99)</f>
        <v/>
      </c>
      <c r="O23" s="76">
        <f>IF(CALC_WSF!$M$99="","–",CALC_WSF!$M$99)</f>
        <v/>
      </c>
    </row>
    <row r="24">
      <c r="B24" s="71" t="inlineStr">
        <is>
          <t>Avg attendance per reporting cell</t>
        </is>
      </c>
      <c r="C24" s="61" t="n"/>
      <c r="D24" s="78">
        <f>IF(CALC_WSF!$B$100="","–",CALC_WSF!$B$100)</f>
        <v/>
      </c>
      <c r="E24" s="79">
        <f>IF(CALC_WSF!$C$100="","–",CALC_WSF!$C$100)</f>
        <v/>
      </c>
      <c r="F24" s="80">
        <f>IF(CALC_WSF!$D$100="","–",CALC_WSF!$D$100)</f>
        <v/>
      </c>
      <c r="G24" s="65">
        <f>IF(CALC_WSF!$E$100="","–",CALC_WSF!$E$100)</f>
        <v/>
      </c>
      <c r="H24" s="79">
        <f>IF(CALC_WSF!$F$100="","–",CALC_WSF!$F$100)</f>
        <v/>
      </c>
      <c r="I24" s="65">
        <f>IF(CALC_WSF!$G$100="","–",CALC_WSF!$G$100)</f>
        <v/>
      </c>
      <c r="J24" s="79">
        <f>IF(CALC_WSF!$H$100="","–",CALC_WSF!$H$100)</f>
        <v/>
      </c>
      <c r="K24" s="79">
        <f>IF(CALC_WSF!$I$100="","–",CALC_WSF!$I$100)</f>
        <v/>
      </c>
      <c r="L24" s="79">
        <f>IF(CALC_WSF!$J$100="","–",CALC_WSF!$J$100)</f>
        <v/>
      </c>
      <c r="M24" s="79">
        <f>IF(CALC_WSF!$K$100="","–",CALC_WSF!$K$100)</f>
        <v/>
      </c>
      <c r="N24" s="79">
        <f>IF(CALC_WSF!$L$100="","–",CALC_WSF!$L$100)</f>
        <v/>
      </c>
      <c r="O24" s="79">
        <f>IF(CALC_WSF!$M$100="","–",CALC_WSF!$M$100)</f>
        <v/>
      </c>
    </row>
    <row r="25">
      <c r="B25" s="81" t="inlineStr">
        <is>
          <t>Averages use only weeks that have data. MTD/QTD/YTD run to the selected week; for ratio rows the period columns show the ratio of the period's totals. Cell counts in period columns are cell-weeks.</t>
        </is>
      </c>
    </row>
    <row r="27" ht="22" customHeight="1">
      <c r="B27" s="56" t="inlineStr">
        <is>
          <t>Trends</t>
        </is>
      </c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</row>
    <row r="44" ht="22" customHeight="1">
      <c r="B44" s="56" t="inlineStr">
        <is>
          <t>Area rankings — selected week</t>
        </is>
      </c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82" t="inlineStr">
        <is>
          <t>Growth = selected week vs previous week</t>
        </is>
      </c>
    </row>
    <row r="45">
      <c r="B45" s="59" t="inlineStr">
        <is>
          <t>Top 10 · attendance</t>
        </is>
      </c>
      <c r="C45" s="9" t="n"/>
      <c r="D45" s="59" t="inlineStr">
        <is>
          <t>Bottom 10 · attendance</t>
        </is>
      </c>
      <c r="E45" s="9" t="n"/>
      <c r="F45" s="59" t="inlineStr">
        <is>
          <t>Top 10 · % reporting</t>
        </is>
      </c>
      <c r="G45" s="9" t="n"/>
      <c r="H45" s="59" t="inlineStr">
        <is>
          <t>Bottom 10 · % reporting</t>
        </is>
      </c>
      <c r="I45" s="9" t="n"/>
      <c r="J45" s="59" t="inlineStr">
        <is>
          <t>Top 10 · growth</t>
        </is>
      </c>
      <c r="K45" s="9" t="n"/>
      <c r="L45" s="59" t="inlineStr">
        <is>
          <t>Bottom 10 · growth</t>
        </is>
      </c>
      <c r="M45" s="9" t="n"/>
      <c r="N45" s="59" t="inlineStr">
        <is>
          <t>Selected Area rank</t>
        </is>
      </c>
      <c r="O45" s="9" t="n"/>
    </row>
    <row r="46">
      <c r="B46" s="83">
        <f>IF(CALC_WSF!$B$3="Zone","n/a at Zone scope",IF(CALC_WSF!$AJ$3="","–",1&amp;". "&amp;CALC_WSF!$AJ$3))</f>
        <v/>
      </c>
      <c r="C46" s="84">
        <f>IF(OR(CALC_WSF!$B$3="Zone",CALC_WSF!$AJ$3=""),"",CALC_WSF!$AK$3)</f>
        <v/>
      </c>
      <c r="D46" s="83">
        <f>IF(CALC_WSF!$B$3="Zone","n/a at Zone scope",IF(CALC_WSF!$AL$3="","–",1&amp;". "&amp;CALC_WSF!$AL$3))</f>
        <v/>
      </c>
      <c r="E46" s="84">
        <f>IF(OR(CALC_WSF!$B$3="Zone",CALC_WSF!$AL$3=""),"",CALC_WSF!$AM$3)</f>
        <v/>
      </c>
      <c r="F46" s="83">
        <f>IF(CALC_WSF!$B$3="Zone","n/a at Zone scope",IF(CALC_WSF!$AN$3="","–",1&amp;". "&amp;CALC_WSF!$AN$3))</f>
        <v/>
      </c>
      <c r="G46" s="85">
        <f>IF(OR(CALC_WSF!$B$3="Zone",CALC_WSF!$AN$3=""),"",CALC_WSF!$AO$3)</f>
        <v/>
      </c>
      <c r="H46" s="83">
        <f>IF(CALC_WSF!$B$3="Zone","n/a at Zone scope",IF(CALC_WSF!$AP$3="","–",1&amp;". "&amp;CALC_WSF!$AP$3))</f>
        <v/>
      </c>
      <c r="I46" s="85">
        <f>IF(OR(CALC_WSF!$B$3="Zone",CALC_WSF!$AP$3=""),"",CALC_WSF!$AQ$3)</f>
        <v/>
      </c>
      <c r="J46" s="83">
        <f>IF(CALC_WSF!$B$3="Zone","n/a at Zone scope",IF(CALC_WSF!$AR$3="","–",1&amp;". "&amp;CALC_WSF!$AR$3))</f>
        <v/>
      </c>
      <c r="K46" s="86">
        <f>IF(OR(CALC_WSF!$B$3="Zone",CALC_WSF!$AR$3=""),"",CALC_WSF!$AS$3)</f>
        <v/>
      </c>
      <c r="L46" s="83">
        <f>IF(CALC_WSF!$B$3="Zone","n/a at Zone scope",IF(CALC_WSF!$AT$3="","–",1&amp;". "&amp;CALC_WSF!$AT$3))</f>
        <v/>
      </c>
      <c r="M46" s="86">
        <f>IF(OR(CALC_WSF!$B$3="Zone",CALC_WSF!$AT$3=""),"",CALC_WSF!$AU$3)</f>
        <v/>
      </c>
      <c r="N46" s="87" t="inlineStr">
        <is>
          <t>Attendance</t>
        </is>
      </c>
      <c r="O46" s="88">
        <f>IF(CALC_WSF!$B$3&lt;&gt;"Area","n/a",IF(CALC_WSF!$AJ$15="","–",CALC_WSF!$AJ$15&amp;" of "&amp;CALC_WSF!$AJ$18))</f>
        <v/>
      </c>
    </row>
    <row r="47">
      <c r="B47" s="83">
        <f>IF(CALC_WSF!$B$3="Zone","",IF(CALC_WSF!$AJ$4="","",2&amp;". "&amp;CALC_WSF!$AJ$4))</f>
        <v/>
      </c>
      <c r="C47" s="84">
        <f>IF(OR(CALC_WSF!$B$3="Zone",CALC_WSF!$AJ$4=""),"",CALC_WSF!$AK$4)</f>
        <v/>
      </c>
      <c r="D47" s="83">
        <f>IF(CALC_WSF!$B$3="Zone","",IF(CALC_WSF!$AL$4="","",2&amp;". "&amp;CALC_WSF!$AL$4))</f>
        <v/>
      </c>
      <c r="E47" s="84">
        <f>IF(OR(CALC_WSF!$B$3="Zone",CALC_WSF!$AL$4=""),"",CALC_WSF!$AM$4)</f>
        <v/>
      </c>
      <c r="F47" s="83">
        <f>IF(CALC_WSF!$B$3="Zone","",IF(CALC_WSF!$AN$4="","",2&amp;". "&amp;CALC_WSF!$AN$4))</f>
        <v/>
      </c>
      <c r="G47" s="85">
        <f>IF(OR(CALC_WSF!$B$3="Zone",CALC_WSF!$AN$4=""),"",CALC_WSF!$AO$4)</f>
        <v/>
      </c>
      <c r="H47" s="83">
        <f>IF(CALC_WSF!$B$3="Zone","",IF(CALC_WSF!$AP$4="","",2&amp;". "&amp;CALC_WSF!$AP$4))</f>
        <v/>
      </c>
      <c r="I47" s="85">
        <f>IF(OR(CALC_WSF!$B$3="Zone",CALC_WSF!$AP$4=""),"",CALC_WSF!$AQ$4)</f>
        <v/>
      </c>
      <c r="J47" s="83">
        <f>IF(CALC_WSF!$B$3="Zone","",IF(CALC_WSF!$AR$4="","",2&amp;". "&amp;CALC_WSF!$AR$4))</f>
        <v/>
      </c>
      <c r="K47" s="86">
        <f>IF(OR(CALC_WSF!$B$3="Zone",CALC_WSF!$AR$4=""),"",CALC_WSF!$AS$4)</f>
        <v/>
      </c>
      <c r="L47" s="83">
        <f>IF(CALC_WSF!$B$3="Zone","",IF(CALC_WSF!$AT$4="","",2&amp;". "&amp;CALC_WSF!$AT$4))</f>
        <v/>
      </c>
      <c r="M47" s="86">
        <f>IF(OR(CALC_WSF!$B$3="Zone",CALC_WSF!$AT$4=""),"",CALC_WSF!$AU$4)</f>
        <v/>
      </c>
      <c r="N47" s="87" t="inlineStr">
        <is>
          <t>% reporting</t>
        </is>
      </c>
      <c r="O47" s="88">
        <f>IF(CALC_WSF!$B$3&lt;&gt;"Area","n/a",IF(CALC_WSF!$AJ$16="","–",CALC_WSF!$AJ$16&amp;" of "&amp;CALC_WSF!$AJ$18))</f>
        <v/>
      </c>
    </row>
    <row r="48">
      <c r="B48" s="83">
        <f>IF(CALC_WSF!$B$3="Zone","",IF(CALC_WSF!$AJ$5="","",3&amp;". "&amp;CALC_WSF!$AJ$5))</f>
        <v/>
      </c>
      <c r="C48" s="84">
        <f>IF(OR(CALC_WSF!$B$3="Zone",CALC_WSF!$AJ$5=""),"",CALC_WSF!$AK$5)</f>
        <v/>
      </c>
      <c r="D48" s="83">
        <f>IF(CALC_WSF!$B$3="Zone","",IF(CALC_WSF!$AL$5="","",3&amp;". "&amp;CALC_WSF!$AL$5))</f>
        <v/>
      </c>
      <c r="E48" s="84">
        <f>IF(OR(CALC_WSF!$B$3="Zone",CALC_WSF!$AL$5=""),"",CALC_WSF!$AM$5)</f>
        <v/>
      </c>
      <c r="F48" s="83">
        <f>IF(CALC_WSF!$B$3="Zone","",IF(CALC_WSF!$AN$5="","",3&amp;". "&amp;CALC_WSF!$AN$5))</f>
        <v/>
      </c>
      <c r="G48" s="85">
        <f>IF(OR(CALC_WSF!$B$3="Zone",CALC_WSF!$AN$5=""),"",CALC_WSF!$AO$5)</f>
        <v/>
      </c>
      <c r="H48" s="83">
        <f>IF(CALC_WSF!$B$3="Zone","",IF(CALC_WSF!$AP$5="","",3&amp;". "&amp;CALC_WSF!$AP$5))</f>
        <v/>
      </c>
      <c r="I48" s="85">
        <f>IF(OR(CALC_WSF!$B$3="Zone",CALC_WSF!$AP$5=""),"",CALC_WSF!$AQ$5)</f>
        <v/>
      </c>
      <c r="J48" s="83">
        <f>IF(CALC_WSF!$B$3="Zone","",IF(CALC_WSF!$AR$5="","",3&amp;". "&amp;CALC_WSF!$AR$5))</f>
        <v/>
      </c>
      <c r="K48" s="86">
        <f>IF(OR(CALC_WSF!$B$3="Zone",CALC_WSF!$AR$5=""),"",CALC_WSF!$AS$5)</f>
        <v/>
      </c>
      <c r="L48" s="83">
        <f>IF(CALC_WSF!$B$3="Zone","",IF(CALC_WSF!$AT$5="","",3&amp;". "&amp;CALC_WSF!$AT$5))</f>
        <v/>
      </c>
      <c r="M48" s="86">
        <f>IF(OR(CALC_WSF!$B$3="Zone",CALC_WSF!$AT$5=""),"",CALC_WSF!$AU$5)</f>
        <v/>
      </c>
      <c r="N48" s="87" t="inlineStr">
        <is>
          <t>Growth</t>
        </is>
      </c>
      <c r="O48" s="88">
        <f>IF(CALC_WSF!$B$3&lt;&gt;"Area","n/a",IF(CALC_WSF!$AJ$17="","–",CALC_WSF!$AJ$17&amp;" of "&amp;CALC_WSF!$AJ$18))</f>
        <v/>
      </c>
    </row>
    <row r="49">
      <c r="B49" s="83">
        <f>IF(CALC_WSF!$B$3="Zone","",IF(CALC_WSF!$AJ$6="","",4&amp;". "&amp;CALC_WSF!$AJ$6))</f>
        <v/>
      </c>
      <c r="C49" s="84">
        <f>IF(OR(CALC_WSF!$B$3="Zone",CALC_WSF!$AJ$6=""),"",CALC_WSF!$AK$6)</f>
        <v/>
      </c>
      <c r="D49" s="83">
        <f>IF(CALC_WSF!$B$3="Zone","",IF(CALC_WSF!$AL$6="","",4&amp;". "&amp;CALC_WSF!$AL$6))</f>
        <v/>
      </c>
      <c r="E49" s="84">
        <f>IF(OR(CALC_WSF!$B$3="Zone",CALC_WSF!$AL$6=""),"",CALC_WSF!$AM$6)</f>
        <v/>
      </c>
      <c r="F49" s="83">
        <f>IF(CALC_WSF!$B$3="Zone","",IF(CALC_WSF!$AN$6="","",4&amp;". "&amp;CALC_WSF!$AN$6))</f>
        <v/>
      </c>
      <c r="G49" s="85">
        <f>IF(OR(CALC_WSF!$B$3="Zone",CALC_WSF!$AN$6=""),"",CALC_WSF!$AO$6)</f>
        <v/>
      </c>
      <c r="H49" s="83">
        <f>IF(CALC_WSF!$B$3="Zone","",IF(CALC_WSF!$AP$6="","",4&amp;". "&amp;CALC_WSF!$AP$6))</f>
        <v/>
      </c>
      <c r="I49" s="85">
        <f>IF(OR(CALC_WSF!$B$3="Zone",CALC_WSF!$AP$6=""),"",CALC_WSF!$AQ$6)</f>
        <v/>
      </c>
      <c r="J49" s="83">
        <f>IF(CALC_WSF!$B$3="Zone","",IF(CALC_WSF!$AR$6="","",4&amp;". "&amp;CALC_WSF!$AR$6))</f>
        <v/>
      </c>
      <c r="K49" s="86">
        <f>IF(OR(CALC_WSF!$B$3="Zone",CALC_WSF!$AR$6=""),"",CALC_WSF!$AS$6)</f>
        <v/>
      </c>
      <c r="L49" s="83">
        <f>IF(CALC_WSF!$B$3="Zone","",IF(CALC_WSF!$AT$6="","",4&amp;". "&amp;CALC_WSF!$AT$6))</f>
        <v/>
      </c>
      <c r="M49" s="86">
        <f>IF(OR(CALC_WSF!$B$3="Zone",CALC_WSF!$AT$6=""),"",CALC_WSF!$AU$6)</f>
        <v/>
      </c>
    </row>
    <row r="50">
      <c r="B50" s="83">
        <f>IF(CALC_WSF!$B$3="Zone","",IF(CALC_WSF!$AJ$7="","",5&amp;". "&amp;CALC_WSF!$AJ$7))</f>
        <v/>
      </c>
      <c r="C50" s="84">
        <f>IF(OR(CALC_WSF!$B$3="Zone",CALC_WSF!$AJ$7=""),"",CALC_WSF!$AK$7)</f>
        <v/>
      </c>
      <c r="D50" s="83">
        <f>IF(CALC_WSF!$B$3="Zone","",IF(CALC_WSF!$AL$7="","",5&amp;". "&amp;CALC_WSF!$AL$7))</f>
        <v/>
      </c>
      <c r="E50" s="84">
        <f>IF(OR(CALC_WSF!$B$3="Zone",CALC_WSF!$AL$7=""),"",CALC_WSF!$AM$7)</f>
        <v/>
      </c>
      <c r="F50" s="83">
        <f>IF(CALC_WSF!$B$3="Zone","",IF(CALC_WSF!$AN$7="","",5&amp;". "&amp;CALC_WSF!$AN$7))</f>
        <v/>
      </c>
      <c r="G50" s="85">
        <f>IF(OR(CALC_WSF!$B$3="Zone",CALC_WSF!$AN$7=""),"",CALC_WSF!$AO$7)</f>
        <v/>
      </c>
      <c r="H50" s="83">
        <f>IF(CALC_WSF!$B$3="Zone","",IF(CALC_WSF!$AP$7="","",5&amp;". "&amp;CALC_WSF!$AP$7))</f>
        <v/>
      </c>
      <c r="I50" s="85">
        <f>IF(OR(CALC_WSF!$B$3="Zone",CALC_WSF!$AP$7=""),"",CALC_WSF!$AQ$7)</f>
        <v/>
      </c>
      <c r="J50" s="83">
        <f>IF(CALC_WSF!$B$3="Zone","",IF(CALC_WSF!$AR$7="","",5&amp;". "&amp;CALC_WSF!$AR$7))</f>
        <v/>
      </c>
      <c r="K50" s="86">
        <f>IF(OR(CALC_WSF!$B$3="Zone",CALC_WSF!$AR$7=""),"",CALC_WSF!$AS$7)</f>
        <v/>
      </c>
      <c r="L50" s="83">
        <f>IF(CALC_WSF!$B$3="Zone","",IF(CALC_WSF!$AT$7="","",5&amp;". "&amp;CALC_WSF!$AT$7))</f>
        <v/>
      </c>
      <c r="M50" s="86">
        <f>IF(OR(CALC_WSF!$B$3="Zone",CALC_WSF!$AT$7=""),"",CALC_WSF!$AU$7)</f>
        <v/>
      </c>
      <c r="N50" s="89" t="inlineStr">
        <is>
          <t>Shown when Scope = Area. Rank 1 = highest.</t>
        </is>
      </c>
    </row>
    <row r="51">
      <c r="B51" s="83">
        <f>IF(CALC_WSF!$B$3="Zone","",IF(CALC_WSF!$AJ$8="","",6&amp;". "&amp;CALC_WSF!$AJ$8))</f>
        <v/>
      </c>
      <c r="C51" s="84">
        <f>IF(OR(CALC_WSF!$B$3="Zone",CALC_WSF!$AJ$8=""),"",CALC_WSF!$AK$8)</f>
        <v/>
      </c>
      <c r="D51" s="83">
        <f>IF(CALC_WSF!$B$3="Zone","",IF(CALC_WSF!$AL$8="","",6&amp;". "&amp;CALC_WSF!$AL$8))</f>
        <v/>
      </c>
      <c r="E51" s="84">
        <f>IF(OR(CALC_WSF!$B$3="Zone",CALC_WSF!$AL$8=""),"",CALC_WSF!$AM$8)</f>
        <v/>
      </c>
      <c r="F51" s="83">
        <f>IF(CALC_WSF!$B$3="Zone","",IF(CALC_WSF!$AN$8="","",6&amp;". "&amp;CALC_WSF!$AN$8))</f>
        <v/>
      </c>
      <c r="G51" s="85">
        <f>IF(OR(CALC_WSF!$B$3="Zone",CALC_WSF!$AN$8=""),"",CALC_WSF!$AO$8)</f>
        <v/>
      </c>
      <c r="H51" s="83">
        <f>IF(CALC_WSF!$B$3="Zone","",IF(CALC_WSF!$AP$8="","",6&amp;". "&amp;CALC_WSF!$AP$8))</f>
        <v/>
      </c>
      <c r="I51" s="85">
        <f>IF(OR(CALC_WSF!$B$3="Zone",CALC_WSF!$AP$8=""),"",CALC_WSF!$AQ$8)</f>
        <v/>
      </c>
      <c r="J51" s="83">
        <f>IF(CALC_WSF!$B$3="Zone","",IF(CALC_WSF!$AR$8="","",6&amp;". "&amp;CALC_WSF!$AR$8))</f>
        <v/>
      </c>
      <c r="K51" s="86">
        <f>IF(OR(CALC_WSF!$B$3="Zone",CALC_WSF!$AR$8=""),"",CALC_WSF!$AS$8)</f>
        <v/>
      </c>
      <c r="L51" s="83">
        <f>IF(CALC_WSF!$B$3="Zone","",IF(CALC_WSF!$AT$8="","",6&amp;". "&amp;CALC_WSF!$AT$8))</f>
        <v/>
      </c>
      <c r="M51" s="86">
        <f>IF(OR(CALC_WSF!$B$3="Zone",CALC_WSF!$AT$8=""),"",CALC_WSF!$AU$8)</f>
        <v/>
      </c>
    </row>
    <row r="52">
      <c r="B52" s="83">
        <f>IF(CALC_WSF!$B$3="Zone","",IF(CALC_WSF!$AJ$9="","",7&amp;". "&amp;CALC_WSF!$AJ$9))</f>
        <v/>
      </c>
      <c r="C52" s="84">
        <f>IF(OR(CALC_WSF!$B$3="Zone",CALC_WSF!$AJ$9=""),"",CALC_WSF!$AK$9)</f>
        <v/>
      </c>
      <c r="D52" s="83">
        <f>IF(CALC_WSF!$B$3="Zone","",IF(CALC_WSF!$AL$9="","",7&amp;". "&amp;CALC_WSF!$AL$9))</f>
        <v/>
      </c>
      <c r="E52" s="84">
        <f>IF(OR(CALC_WSF!$B$3="Zone",CALC_WSF!$AL$9=""),"",CALC_WSF!$AM$9)</f>
        <v/>
      </c>
      <c r="F52" s="83">
        <f>IF(CALC_WSF!$B$3="Zone","",IF(CALC_WSF!$AN$9="","",7&amp;". "&amp;CALC_WSF!$AN$9))</f>
        <v/>
      </c>
      <c r="G52" s="85">
        <f>IF(OR(CALC_WSF!$B$3="Zone",CALC_WSF!$AN$9=""),"",CALC_WSF!$AO$9)</f>
        <v/>
      </c>
      <c r="H52" s="83">
        <f>IF(CALC_WSF!$B$3="Zone","",IF(CALC_WSF!$AP$9="","",7&amp;". "&amp;CALC_WSF!$AP$9))</f>
        <v/>
      </c>
      <c r="I52" s="85">
        <f>IF(OR(CALC_WSF!$B$3="Zone",CALC_WSF!$AP$9=""),"",CALC_WSF!$AQ$9)</f>
        <v/>
      </c>
      <c r="J52" s="83">
        <f>IF(CALC_WSF!$B$3="Zone","",IF(CALC_WSF!$AR$9="","",7&amp;". "&amp;CALC_WSF!$AR$9))</f>
        <v/>
      </c>
      <c r="K52" s="86">
        <f>IF(OR(CALC_WSF!$B$3="Zone",CALC_WSF!$AR$9=""),"",CALC_WSF!$AS$9)</f>
        <v/>
      </c>
      <c r="L52" s="83">
        <f>IF(CALC_WSF!$B$3="Zone","",IF(CALC_WSF!$AT$9="","",7&amp;". "&amp;CALC_WSF!$AT$9))</f>
        <v/>
      </c>
      <c r="M52" s="86">
        <f>IF(OR(CALC_WSF!$B$3="Zone",CALC_WSF!$AT$9=""),"",CALC_WSF!$AU$9)</f>
        <v/>
      </c>
    </row>
    <row r="53">
      <c r="B53" s="83">
        <f>IF(CALC_WSF!$B$3="Zone","",IF(CALC_WSF!$AJ$10="","",8&amp;". "&amp;CALC_WSF!$AJ$10))</f>
        <v/>
      </c>
      <c r="C53" s="84">
        <f>IF(OR(CALC_WSF!$B$3="Zone",CALC_WSF!$AJ$10=""),"",CALC_WSF!$AK$10)</f>
        <v/>
      </c>
      <c r="D53" s="83">
        <f>IF(CALC_WSF!$B$3="Zone","",IF(CALC_WSF!$AL$10="","",8&amp;". "&amp;CALC_WSF!$AL$10))</f>
        <v/>
      </c>
      <c r="E53" s="84">
        <f>IF(OR(CALC_WSF!$B$3="Zone",CALC_WSF!$AL$10=""),"",CALC_WSF!$AM$10)</f>
        <v/>
      </c>
      <c r="F53" s="83">
        <f>IF(CALC_WSF!$B$3="Zone","",IF(CALC_WSF!$AN$10="","",8&amp;". "&amp;CALC_WSF!$AN$10))</f>
        <v/>
      </c>
      <c r="G53" s="85">
        <f>IF(OR(CALC_WSF!$B$3="Zone",CALC_WSF!$AN$10=""),"",CALC_WSF!$AO$10)</f>
        <v/>
      </c>
      <c r="H53" s="83">
        <f>IF(CALC_WSF!$B$3="Zone","",IF(CALC_WSF!$AP$10="","",8&amp;". "&amp;CALC_WSF!$AP$10))</f>
        <v/>
      </c>
      <c r="I53" s="85">
        <f>IF(OR(CALC_WSF!$B$3="Zone",CALC_WSF!$AP$10=""),"",CALC_WSF!$AQ$10)</f>
        <v/>
      </c>
      <c r="J53" s="83">
        <f>IF(CALC_WSF!$B$3="Zone","",IF(CALC_WSF!$AR$10="","",8&amp;". "&amp;CALC_WSF!$AR$10))</f>
        <v/>
      </c>
      <c r="K53" s="86">
        <f>IF(OR(CALC_WSF!$B$3="Zone",CALC_WSF!$AR$10=""),"",CALC_WSF!$AS$10)</f>
        <v/>
      </c>
      <c r="L53" s="83">
        <f>IF(CALC_WSF!$B$3="Zone","",IF(CALC_WSF!$AT$10="","",8&amp;". "&amp;CALC_WSF!$AT$10))</f>
        <v/>
      </c>
      <c r="M53" s="86">
        <f>IF(OR(CALC_WSF!$B$3="Zone",CALC_WSF!$AT$10=""),"",CALC_WSF!$AU$10)</f>
        <v/>
      </c>
    </row>
    <row r="54">
      <c r="B54" s="83">
        <f>IF(CALC_WSF!$B$3="Zone","",IF(CALC_WSF!$AJ$11="","",9&amp;". "&amp;CALC_WSF!$AJ$11))</f>
        <v/>
      </c>
      <c r="C54" s="84">
        <f>IF(OR(CALC_WSF!$B$3="Zone",CALC_WSF!$AJ$11=""),"",CALC_WSF!$AK$11)</f>
        <v/>
      </c>
      <c r="D54" s="83">
        <f>IF(CALC_WSF!$B$3="Zone","",IF(CALC_WSF!$AL$11="","",9&amp;". "&amp;CALC_WSF!$AL$11))</f>
        <v/>
      </c>
      <c r="E54" s="84">
        <f>IF(OR(CALC_WSF!$B$3="Zone",CALC_WSF!$AL$11=""),"",CALC_WSF!$AM$11)</f>
        <v/>
      </c>
      <c r="F54" s="83">
        <f>IF(CALC_WSF!$B$3="Zone","",IF(CALC_WSF!$AN$11="","",9&amp;". "&amp;CALC_WSF!$AN$11))</f>
        <v/>
      </c>
      <c r="G54" s="85">
        <f>IF(OR(CALC_WSF!$B$3="Zone",CALC_WSF!$AN$11=""),"",CALC_WSF!$AO$11)</f>
        <v/>
      </c>
      <c r="H54" s="83">
        <f>IF(CALC_WSF!$B$3="Zone","",IF(CALC_WSF!$AP$11="","",9&amp;". "&amp;CALC_WSF!$AP$11))</f>
        <v/>
      </c>
      <c r="I54" s="85">
        <f>IF(OR(CALC_WSF!$B$3="Zone",CALC_WSF!$AP$11=""),"",CALC_WSF!$AQ$11)</f>
        <v/>
      </c>
      <c r="J54" s="83">
        <f>IF(CALC_WSF!$B$3="Zone","",IF(CALC_WSF!$AR$11="","",9&amp;". "&amp;CALC_WSF!$AR$11))</f>
        <v/>
      </c>
      <c r="K54" s="86">
        <f>IF(OR(CALC_WSF!$B$3="Zone",CALC_WSF!$AR$11=""),"",CALC_WSF!$AS$11)</f>
        <v/>
      </c>
      <c r="L54" s="83">
        <f>IF(CALC_WSF!$B$3="Zone","",IF(CALC_WSF!$AT$11="","",9&amp;". "&amp;CALC_WSF!$AT$11))</f>
        <v/>
      </c>
      <c r="M54" s="86">
        <f>IF(OR(CALC_WSF!$B$3="Zone",CALC_WSF!$AT$11=""),"",CALC_WSF!$AU$11)</f>
        <v/>
      </c>
    </row>
    <row r="55">
      <c r="B55" s="83">
        <f>IF(CALC_WSF!$B$3="Zone","",IF(CALC_WSF!$AJ$12="","",10&amp;". "&amp;CALC_WSF!$AJ$12))</f>
        <v/>
      </c>
      <c r="C55" s="84">
        <f>IF(OR(CALC_WSF!$B$3="Zone",CALC_WSF!$AJ$12=""),"",CALC_WSF!$AK$12)</f>
        <v/>
      </c>
      <c r="D55" s="83">
        <f>IF(CALC_WSF!$B$3="Zone","",IF(CALC_WSF!$AL$12="","",10&amp;". "&amp;CALC_WSF!$AL$12))</f>
        <v/>
      </c>
      <c r="E55" s="84">
        <f>IF(OR(CALC_WSF!$B$3="Zone",CALC_WSF!$AL$12=""),"",CALC_WSF!$AM$12)</f>
        <v/>
      </c>
      <c r="F55" s="83">
        <f>IF(CALC_WSF!$B$3="Zone","",IF(CALC_WSF!$AN$12="","",10&amp;". "&amp;CALC_WSF!$AN$12))</f>
        <v/>
      </c>
      <c r="G55" s="85">
        <f>IF(OR(CALC_WSF!$B$3="Zone",CALC_WSF!$AN$12=""),"",CALC_WSF!$AO$12)</f>
        <v/>
      </c>
      <c r="H55" s="83">
        <f>IF(CALC_WSF!$B$3="Zone","",IF(CALC_WSF!$AP$12="","",10&amp;". "&amp;CALC_WSF!$AP$12))</f>
        <v/>
      </c>
      <c r="I55" s="85">
        <f>IF(OR(CALC_WSF!$B$3="Zone",CALC_WSF!$AP$12=""),"",CALC_WSF!$AQ$12)</f>
        <v/>
      </c>
      <c r="J55" s="83">
        <f>IF(CALC_WSF!$B$3="Zone","",IF(CALC_WSF!$AR$12="","",10&amp;". "&amp;CALC_WSF!$AR$12))</f>
        <v/>
      </c>
      <c r="K55" s="86">
        <f>IF(OR(CALC_WSF!$B$3="Zone",CALC_WSF!$AR$12=""),"",CALC_WSF!$AS$12)</f>
        <v/>
      </c>
      <c r="L55" s="83">
        <f>IF(CALC_WSF!$B$3="Zone","",IF(CALC_WSF!$AT$12="","",10&amp;". "&amp;CALC_WSF!$AT$12))</f>
        <v/>
      </c>
      <c r="M55" s="86">
        <f>IF(OR(CALC_WSF!$B$3="Zone",CALC_WSF!$AT$12=""),"",CALC_WSF!$AU$12)</f>
        <v/>
      </c>
    </row>
    <row r="57" ht="22" customHeight="1">
      <c r="B57" s="56" t="inlineStr">
        <is>
          <t>Who didn't report — cells with no WSF return for the selected week</t>
        </is>
      </c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</row>
    <row r="58">
      <c r="B58" s="90">
        <f>IF(NOT(CALC_WSF!$AX$2),"Cell-level detail is kept in the workbook for the latest "&amp;8&amp;" weeks only; older weeks are in the archive folder (WSF_cells_YYYY.csv).",TEXT(CALC_WSF!$AX$1,"#,##0")&amp;" cells did not report in this scope"&amp;IF(CALC_WSF!$AX$1&gt;50," — showing the first 50. Narrow with Scope = Area or Zone.",".")&amp;"  Zones where no cell reported: "&amp;TEXT(CALC_WSF!$B$17,"#,##0")&amp;".")</f>
        <v/>
      </c>
    </row>
    <row r="59">
      <c r="B59" s="58" t="inlineStr">
        <is>
          <t>Area</t>
        </is>
      </c>
      <c r="C59" s="9" t="n"/>
      <c r="D59" s="9" t="n"/>
      <c r="E59" s="58" t="inlineStr">
        <is>
          <t>Zone</t>
        </is>
      </c>
      <c r="F59" s="9" t="n"/>
      <c r="G59" s="9" t="n"/>
      <c r="H59" s="9" t="n"/>
      <c r="I59" s="58" t="inlineStr">
        <is>
          <t>Cell</t>
        </is>
      </c>
      <c r="J59" s="9" t="n"/>
      <c r="K59" s="58" t="inlineStr">
        <is>
          <t>Week ending</t>
        </is>
      </c>
      <c r="L59" s="9" t="n"/>
    </row>
    <row r="60">
      <c r="B60" s="91">
        <f>CALC_WSF!$AX$4</f>
        <v/>
      </c>
      <c r="C60" s="61" t="n"/>
      <c r="D60" s="61" t="n"/>
      <c r="E60" s="91">
        <f>CALC_WSF!$AY$4</f>
        <v/>
      </c>
      <c r="F60" s="61" t="n"/>
      <c r="G60" s="61" t="n"/>
      <c r="H60" s="61" t="n"/>
      <c r="I60" s="91">
        <f>CALC_WSF!$AZ$4</f>
        <v/>
      </c>
      <c r="J60" s="61" t="n"/>
      <c r="K60" s="92">
        <f>IF(CALC_WSF!$AW$4="","",CALC_WSF!$B$10)</f>
        <v/>
      </c>
      <c r="L60" s="61" t="n"/>
    </row>
    <row r="61">
      <c r="B61" s="87">
        <f>CALC_WSF!$AX$5</f>
        <v/>
      </c>
      <c r="E61" s="87">
        <f>CALC_WSF!$AY$5</f>
        <v/>
      </c>
      <c r="I61" s="87">
        <f>CALC_WSF!$AZ$5</f>
        <v/>
      </c>
      <c r="K61" s="93">
        <f>IF(CALC_WSF!$AW$5="","",CALC_WSF!$B$10)</f>
        <v/>
      </c>
    </row>
    <row r="62">
      <c r="B62" s="91">
        <f>CALC_WSF!$AX$6</f>
        <v/>
      </c>
      <c r="C62" s="61" t="n"/>
      <c r="D62" s="61" t="n"/>
      <c r="E62" s="91">
        <f>CALC_WSF!$AY$6</f>
        <v/>
      </c>
      <c r="F62" s="61" t="n"/>
      <c r="G62" s="61" t="n"/>
      <c r="H62" s="61" t="n"/>
      <c r="I62" s="91">
        <f>CALC_WSF!$AZ$6</f>
        <v/>
      </c>
      <c r="J62" s="61" t="n"/>
      <c r="K62" s="92">
        <f>IF(CALC_WSF!$AW$6="","",CALC_WSF!$B$10)</f>
        <v/>
      </c>
      <c r="L62" s="61" t="n"/>
    </row>
    <row r="63">
      <c r="B63" s="87">
        <f>CALC_WSF!$AX$7</f>
        <v/>
      </c>
      <c r="E63" s="87">
        <f>CALC_WSF!$AY$7</f>
        <v/>
      </c>
      <c r="I63" s="87">
        <f>CALC_WSF!$AZ$7</f>
        <v/>
      </c>
      <c r="K63" s="93">
        <f>IF(CALC_WSF!$AW$7="","",CALC_WSF!$B$10)</f>
        <v/>
      </c>
    </row>
    <row r="64">
      <c r="B64" s="91">
        <f>CALC_WSF!$AX$8</f>
        <v/>
      </c>
      <c r="C64" s="61" t="n"/>
      <c r="D64" s="61" t="n"/>
      <c r="E64" s="91">
        <f>CALC_WSF!$AY$8</f>
        <v/>
      </c>
      <c r="F64" s="61" t="n"/>
      <c r="G64" s="61" t="n"/>
      <c r="H64" s="61" t="n"/>
      <c r="I64" s="91">
        <f>CALC_WSF!$AZ$8</f>
        <v/>
      </c>
      <c r="J64" s="61" t="n"/>
      <c r="K64" s="92">
        <f>IF(CALC_WSF!$AW$8="","",CALC_WSF!$B$10)</f>
        <v/>
      </c>
      <c r="L64" s="61" t="n"/>
    </row>
    <row r="65">
      <c r="B65" s="87">
        <f>CALC_WSF!$AX$9</f>
        <v/>
      </c>
      <c r="E65" s="87">
        <f>CALC_WSF!$AY$9</f>
        <v/>
      </c>
      <c r="I65" s="87">
        <f>CALC_WSF!$AZ$9</f>
        <v/>
      </c>
      <c r="K65" s="93">
        <f>IF(CALC_WSF!$AW$9="","",CALC_WSF!$B$10)</f>
        <v/>
      </c>
    </row>
    <row r="66">
      <c r="B66" s="91">
        <f>CALC_WSF!$AX$10</f>
        <v/>
      </c>
      <c r="C66" s="61" t="n"/>
      <c r="D66" s="61" t="n"/>
      <c r="E66" s="91">
        <f>CALC_WSF!$AY$10</f>
        <v/>
      </c>
      <c r="F66" s="61" t="n"/>
      <c r="G66" s="61" t="n"/>
      <c r="H66" s="61" t="n"/>
      <c r="I66" s="91">
        <f>CALC_WSF!$AZ$10</f>
        <v/>
      </c>
      <c r="J66" s="61" t="n"/>
      <c r="K66" s="92">
        <f>IF(CALC_WSF!$AW$10="","",CALC_WSF!$B$10)</f>
        <v/>
      </c>
      <c r="L66" s="61" t="n"/>
    </row>
    <row r="67">
      <c r="B67" s="87">
        <f>CALC_WSF!$AX$11</f>
        <v/>
      </c>
      <c r="E67" s="87">
        <f>CALC_WSF!$AY$11</f>
        <v/>
      </c>
      <c r="I67" s="87">
        <f>CALC_WSF!$AZ$11</f>
        <v/>
      </c>
      <c r="K67" s="93">
        <f>IF(CALC_WSF!$AW$11="","",CALC_WSF!$B$10)</f>
        <v/>
      </c>
    </row>
    <row r="68">
      <c r="B68" s="91">
        <f>CALC_WSF!$AX$12</f>
        <v/>
      </c>
      <c r="C68" s="61" t="n"/>
      <c r="D68" s="61" t="n"/>
      <c r="E68" s="91">
        <f>CALC_WSF!$AY$12</f>
        <v/>
      </c>
      <c r="F68" s="61" t="n"/>
      <c r="G68" s="61" t="n"/>
      <c r="H68" s="61" t="n"/>
      <c r="I68" s="91">
        <f>CALC_WSF!$AZ$12</f>
        <v/>
      </c>
      <c r="J68" s="61" t="n"/>
      <c r="K68" s="92">
        <f>IF(CALC_WSF!$AW$12="","",CALC_WSF!$B$10)</f>
        <v/>
      </c>
      <c r="L68" s="61" t="n"/>
    </row>
    <row r="69">
      <c r="B69" s="87">
        <f>CALC_WSF!$AX$13</f>
        <v/>
      </c>
      <c r="E69" s="87">
        <f>CALC_WSF!$AY$13</f>
        <v/>
      </c>
      <c r="I69" s="87">
        <f>CALC_WSF!$AZ$13</f>
        <v/>
      </c>
      <c r="K69" s="93">
        <f>IF(CALC_WSF!$AW$13="","",CALC_WSF!$B$10)</f>
        <v/>
      </c>
    </row>
    <row r="70">
      <c r="B70" s="91">
        <f>CALC_WSF!$AX$14</f>
        <v/>
      </c>
      <c r="C70" s="61" t="n"/>
      <c r="D70" s="61" t="n"/>
      <c r="E70" s="91">
        <f>CALC_WSF!$AY$14</f>
        <v/>
      </c>
      <c r="F70" s="61" t="n"/>
      <c r="G70" s="61" t="n"/>
      <c r="H70" s="61" t="n"/>
      <c r="I70" s="91">
        <f>CALC_WSF!$AZ$14</f>
        <v/>
      </c>
      <c r="J70" s="61" t="n"/>
      <c r="K70" s="92">
        <f>IF(CALC_WSF!$AW$14="","",CALC_WSF!$B$10)</f>
        <v/>
      </c>
      <c r="L70" s="61" t="n"/>
    </row>
    <row r="71">
      <c r="B71" s="87">
        <f>CALC_WSF!$AX$15</f>
        <v/>
      </c>
      <c r="E71" s="87">
        <f>CALC_WSF!$AY$15</f>
        <v/>
      </c>
      <c r="I71" s="87">
        <f>CALC_WSF!$AZ$15</f>
        <v/>
      </c>
      <c r="K71" s="93">
        <f>IF(CALC_WSF!$AW$15="","",CALC_WSF!$B$10)</f>
        <v/>
      </c>
    </row>
    <row r="72">
      <c r="B72" s="91">
        <f>CALC_WSF!$AX$16</f>
        <v/>
      </c>
      <c r="C72" s="61" t="n"/>
      <c r="D72" s="61" t="n"/>
      <c r="E72" s="91">
        <f>CALC_WSF!$AY$16</f>
        <v/>
      </c>
      <c r="F72" s="61" t="n"/>
      <c r="G72" s="61" t="n"/>
      <c r="H72" s="61" t="n"/>
      <c r="I72" s="91">
        <f>CALC_WSF!$AZ$16</f>
        <v/>
      </c>
      <c r="J72" s="61" t="n"/>
      <c r="K72" s="92">
        <f>IF(CALC_WSF!$AW$16="","",CALC_WSF!$B$10)</f>
        <v/>
      </c>
      <c r="L72" s="61" t="n"/>
    </row>
    <row r="73">
      <c r="B73" s="87">
        <f>CALC_WSF!$AX$17</f>
        <v/>
      </c>
      <c r="E73" s="87">
        <f>CALC_WSF!$AY$17</f>
        <v/>
      </c>
      <c r="I73" s="87">
        <f>CALC_WSF!$AZ$17</f>
        <v/>
      </c>
      <c r="K73" s="93">
        <f>IF(CALC_WSF!$AW$17="","",CALC_WSF!$B$10)</f>
        <v/>
      </c>
    </row>
    <row r="74">
      <c r="B74" s="91">
        <f>CALC_WSF!$AX$18</f>
        <v/>
      </c>
      <c r="C74" s="61" t="n"/>
      <c r="D74" s="61" t="n"/>
      <c r="E74" s="91">
        <f>CALC_WSF!$AY$18</f>
        <v/>
      </c>
      <c r="F74" s="61" t="n"/>
      <c r="G74" s="61" t="n"/>
      <c r="H74" s="61" t="n"/>
      <c r="I74" s="91">
        <f>CALC_WSF!$AZ$18</f>
        <v/>
      </c>
      <c r="J74" s="61" t="n"/>
      <c r="K74" s="92">
        <f>IF(CALC_WSF!$AW$18="","",CALC_WSF!$B$10)</f>
        <v/>
      </c>
      <c r="L74" s="61" t="n"/>
    </row>
    <row r="75">
      <c r="B75" s="87">
        <f>CALC_WSF!$AX$19</f>
        <v/>
      </c>
      <c r="E75" s="87">
        <f>CALC_WSF!$AY$19</f>
        <v/>
      </c>
      <c r="I75" s="87">
        <f>CALC_WSF!$AZ$19</f>
        <v/>
      </c>
      <c r="K75" s="93">
        <f>IF(CALC_WSF!$AW$19="","",CALC_WSF!$B$10)</f>
        <v/>
      </c>
    </row>
    <row r="76">
      <c r="B76" s="91">
        <f>CALC_WSF!$AX$20</f>
        <v/>
      </c>
      <c r="C76" s="61" t="n"/>
      <c r="D76" s="61" t="n"/>
      <c r="E76" s="91">
        <f>CALC_WSF!$AY$20</f>
        <v/>
      </c>
      <c r="F76" s="61" t="n"/>
      <c r="G76" s="61" t="n"/>
      <c r="H76" s="61" t="n"/>
      <c r="I76" s="91">
        <f>CALC_WSF!$AZ$20</f>
        <v/>
      </c>
      <c r="J76" s="61" t="n"/>
      <c r="K76" s="92">
        <f>IF(CALC_WSF!$AW$20="","",CALC_WSF!$B$10)</f>
        <v/>
      </c>
      <c r="L76" s="61" t="n"/>
    </row>
    <row r="77">
      <c r="B77" s="87">
        <f>CALC_WSF!$AX$21</f>
        <v/>
      </c>
      <c r="E77" s="87">
        <f>CALC_WSF!$AY$21</f>
        <v/>
      </c>
      <c r="I77" s="87">
        <f>CALC_WSF!$AZ$21</f>
        <v/>
      </c>
      <c r="K77" s="93">
        <f>IF(CALC_WSF!$AW$21="","",CALC_WSF!$B$10)</f>
        <v/>
      </c>
    </row>
    <row r="78">
      <c r="B78" s="91">
        <f>CALC_WSF!$AX$22</f>
        <v/>
      </c>
      <c r="C78" s="61" t="n"/>
      <c r="D78" s="61" t="n"/>
      <c r="E78" s="91">
        <f>CALC_WSF!$AY$22</f>
        <v/>
      </c>
      <c r="F78" s="61" t="n"/>
      <c r="G78" s="61" t="n"/>
      <c r="H78" s="61" t="n"/>
      <c r="I78" s="91">
        <f>CALC_WSF!$AZ$22</f>
        <v/>
      </c>
      <c r="J78" s="61" t="n"/>
      <c r="K78" s="92">
        <f>IF(CALC_WSF!$AW$22="","",CALC_WSF!$B$10)</f>
        <v/>
      </c>
      <c r="L78" s="61" t="n"/>
    </row>
    <row r="79">
      <c r="B79" s="87">
        <f>CALC_WSF!$AX$23</f>
        <v/>
      </c>
      <c r="E79" s="87">
        <f>CALC_WSF!$AY$23</f>
        <v/>
      </c>
      <c r="I79" s="87">
        <f>CALC_WSF!$AZ$23</f>
        <v/>
      </c>
      <c r="K79" s="93">
        <f>IF(CALC_WSF!$AW$23="","",CALC_WSF!$B$10)</f>
        <v/>
      </c>
    </row>
    <row r="80">
      <c r="B80" s="91">
        <f>CALC_WSF!$AX$24</f>
        <v/>
      </c>
      <c r="C80" s="61" t="n"/>
      <c r="D80" s="61" t="n"/>
      <c r="E80" s="91">
        <f>CALC_WSF!$AY$24</f>
        <v/>
      </c>
      <c r="F80" s="61" t="n"/>
      <c r="G80" s="61" t="n"/>
      <c r="H80" s="61" t="n"/>
      <c r="I80" s="91">
        <f>CALC_WSF!$AZ$24</f>
        <v/>
      </c>
      <c r="J80" s="61" t="n"/>
      <c r="K80" s="92">
        <f>IF(CALC_WSF!$AW$24="","",CALC_WSF!$B$10)</f>
        <v/>
      </c>
      <c r="L80" s="61" t="n"/>
    </row>
    <row r="81">
      <c r="B81" s="87">
        <f>CALC_WSF!$AX$25</f>
        <v/>
      </c>
      <c r="E81" s="87">
        <f>CALC_WSF!$AY$25</f>
        <v/>
      </c>
      <c r="I81" s="87">
        <f>CALC_WSF!$AZ$25</f>
        <v/>
      </c>
      <c r="K81" s="93">
        <f>IF(CALC_WSF!$AW$25="","",CALC_WSF!$B$10)</f>
        <v/>
      </c>
    </row>
    <row r="82">
      <c r="B82" s="91">
        <f>CALC_WSF!$AX$26</f>
        <v/>
      </c>
      <c r="C82" s="61" t="n"/>
      <c r="D82" s="61" t="n"/>
      <c r="E82" s="91">
        <f>CALC_WSF!$AY$26</f>
        <v/>
      </c>
      <c r="F82" s="61" t="n"/>
      <c r="G82" s="61" t="n"/>
      <c r="H82" s="61" t="n"/>
      <c r="I82" s="91">
        <f>CALC_WSF!$AZ$26</f>
        <v/>
      </c>
      <c r="J82" s="61" t="n"/>
      <c r="K82" s="92">
        <f>IF(CALC_WSF!$AW$26="","",CALC_WSF!$B$10)</f>
        <v/>
      </c>
      <c r="L82" s="61" t="n"/>
    </row>
    <row r="83">
      <c r="B83" s="87">
        <f>CALC_WSF!$AX$27</f>
        <v/>
      </c>
      <c r="E83" s="87">
        <f>CALC_WSF!$AY$27</f>
        <v/>
      </c>
      <c r="I83" s="87">
        <f>CALC_WSF!$AZ$27</f>
        <v/>
      </c>
      <c r="K83" s="93">
        <f>IF(CALC_WSF!$AW$27="","",CALC_WSF!$B$10)</f>
        <v/>
      </c>
    </row>
    <row r="84">
      <c r="B84" s="91">
        <f>CALC_WSF!$AX$28</f>
        <v/>
      </c>
      <c r="C84" s="61" t="n"/>
      <c r="D84" s="61" t="n"/>
      <c r="E84" s="91">
        <f>CALC_WSF!$AY$28</f>
        <v/>
      </c>
      <c r="F84" s="61" t="n"/>
      <c r="G84" s="61" t="n"/>
      <c r="H84" s="61" t="n"/>
      <c r="I84" s="91">
        <f>CALC_WSF!$AZ$28</f>
        <v/>
      </c>
      <c r="J84" s="61" t="n"/>
      <c r="K84" s="92">
        <f>IF(CALC_WSF!$AW$28="","",CALC_WSF!$B$10)</f>
        <v/>
      </c>
      <c r="L84" s="61" t="n"/>
    </row>
    <row r="85">
      <c r="B85" s="87">
        <f>CALC_WSF!$AX$29</f>
        <v/>
      </c>
      <c r="E85" s="87">
        <f>CALC_WSF!$AY$29</f>
        <v/>
      </c>
      <c r="I85" s="87">
        <f>CALC_WSF!$AZ$29</f>
        <v/>
      </c>
      <c r="K85" s="93">
        <f>IF(CALC_WSF!$AW$29="","",CALC_WSF!$B$10)</f>
        <v/>
      </c>
    </row>
    <row r="86">
      <c r="B86" s="91">
        <f>CALC_WSF!$AX$30</f>
        <v/>
      </c>
      <c r="C86" s="61" t="n"/>
      <c r="D86" s="61" t="n"/>
      <c r="E86" s="91">
        <f>CALC_WSF!$AY$30</f>
        <v/>
      </c>
      <c r="F86" s="61" t="n"/>
      <c r="G86" s="61" t="n"/>
      <c r="H86" s="61" t="n"/>
      <c r="I86" s="91">
        <f>CALC_WSF!$AZ$30</f>
        <v/>
      </c>
      <c r="J86" s="61" t="n"/>
      <c r="K86" s="92">
        <f>IF(CALC_WSF!$AW$30="","",CALC_WSF!$B$10)</f>
        <v/>
      </c>
      <c r="L86" s="61" t="n"/>
    </row>
    <row r="87">
      <c r="B87" s="87">
        <f>CALC_WSF!$AX$31</f>
        <v/>
      </c>
      <c r="E87" s="87">
        <f>CALC_WSF!$AY$31</f>
        <v/>
      </c>
      <c r="I87" s="87">
        <f>CALC_WSF!$AZ$31</f>
        <v/>
      </c>
      <c r="K87" s="93">
        <f>IF(CALC_WSF!$AW$31="","",CALC_WSF!$B$10)</f>
        <v/>
      </c>
    </row>
    <row r="88">
      <c r="B88" s="91">
        <f>CALC_WSF!$AX$32</f>
        <v/>
      </c>
      <c r="C88" s="61" t="n"/>
      <c r="D88" s="61" t="n"/>
      <c r="E88" s="91">
        <f>CALC_WSF!$AY$32</f>
        <v/>
      </c>
      <c r="F88" s="61" t="n"/>
      <c r="G88" s="61" t="n"/>
      <c r="H88" s="61" t="n"/>
      <c r="I88" s="91">
        <f>CALC_WSF!$AZ$32</f>
        <v/>
      </c>
      <c r="J88" s="61" t="n"/>
      <c r="K88" s="92">
        <f>IF(CALC_WSF!$AW$32="","",CALC_WSF!$B$10)</f>
        <v/>
      </c>
      <c r="L88" s="61" t="n"/>
    </row>
    <row r="89">
      <c r="B89" s="87">
        <f>CALC_WSF!$AX$33</f>
        <v/>
      </c>
      <c r="E89" s="87">
        <f>CALC_WSF!$AY$33</f>
        <v/>
      </c>
      <c r="I89" s="87">
        <f>CALC_WSF!$AZ$33</f>
        <v/>
      </c>
      <c r="K89" s="93">
        <f>IF(CALC_WSF!$AW$33="","",CALC_WSF!$B$10)</f>
        <v/>
      </c>
    </row>
    <row r="90">
      <c r="B90" s="91">
        <f>CALC_WSF!$AX$34</f>
        <v/>
      </c>
      <c r="C90" s="61" t="n"/>
      <c r="D90" s="61" t="n"/>
      <c r="E90" s="91">
        <f>CALC_WSF!$AY$34</f>
        <v/>
      </c>
      <c r="F90" s="61" t="n"/>
      <c r="G90" s="61" t="n"/>
      <c r="H90" s="61" t="n"/>
      <c r="I90" s="91">
        <f>CALC_WSF!$AZ$34</f>
        <v/>
      </c>
      <c r="J90" s="61" t="n"/>
      <c r="K90" s="92">
        <f>IF(CALC_WSF!$AW$34="","",CALC_WSF!$B$10)</f>
        <v/>
      </c>
      <c r="L90" s="61" t="n"/>
    </row>
    <row r="91">
      <c r="B91" s="87">
        <f>CALC_WSF!$AX$35</f>
        <v/>
      </c>
      <c r="E91" s="87">
        <f>CALC_WSF!$AY$35</f>
        <v/>
      </c>
      <c r="I91" s="87">
        <f>CALC_WSF!$AZ$35</f>
        <v/>
      </c>
      <c r="K91" s="93">
        <f>IF(CALC_WSF!$AW$35="","",CALC_WSF!$B$10)</f>
        <v/>
      </c>
    </row>
    <row r="92">
      <c r="B92" s="91">
        <f>CALC_WSF!$AX$36</f>
        <v/>
      </c>
      <c r="C92" s="61" t="n"/>
      <c r="D92" s="61" t="n"/>
      <c r="E92" s="91">
        <f>CALC_WSF!$AY$36</f>
        <v/>
      </c>
      <c r="F92" s="61" t="n"/>
      <c r="G92" s="61" t="n"/>
      <c r="H92" s="61" t="n"/>
      <c r="I92" s="91">
        <f>CALC_WSF!$AZ$36</f>
        <v/>
      </c>
      <c r="J92" s="61" t="n"/>
      <c r="K92" s="92">
        <f>IF(CALC_WSF!$AW$36="","",CALC_WSF!$B$10)</f>
        <v/>
      </c>
      <c r="L92" s="61" t="n"/>
    </row>
    <row r="93">
      <c r="B93" s="87">
        <f>CALC_WSF!$AX$37</f>
        <v/>
      </c>
      <c r="E93" s="87">
        <f>CALC_WSF!$AY$37</f>
        <v/>
      </c>
      <c r="I93" s="87">
        <f>CALC_WSF!$AZ$37</f>
        <v/>
      </c>
      <c r="K93" s="93">
        <f>IF(CALC_WSF!$AW$37="","",CALC_WSF!$B$10)</f>
        <v/>
      </c>
    </row>
    <row r="94">
      <c r="B94" s="91">
        <f>CALC_WSF!$AX$38</f>
        <v/>
      </c>
      <c r="C94" s="61" t="n"/>
      <c r="D94" s="61" t="n"/>
      <c r="E94" s="91">
        <f>CALC_WSF!$AY$38</f>
        <v/>
      </c>
      <c r="F94" s="61" t="n"/>
      <c r="G94" s="61" t="n"/>
      <c r="H94" s="61" t="n"/>
      <c r="I94" s="91">
        <f>CALC_WSF!$AZ$38</f>
        <v/>
      </c>
      <c r="J94" s="61" t="n"/>
      <c r="K94" s="92">
        <f>IF(CALC_WSF!$AW$38="","",CALC_WSF!$B$10)</f>
        <v/>
      </c>
      <c r="L94" s="61" t="n"/>
    </row>
    <row r="95">
      <c r="B95" s="87">
        <f>CALC_WSF!$AX$39</f>
        <v/>
      </c>
      <c r="E95" s="87">
        <f>CALC_WSF!$AY$39</f>
        <v/>
      </c>
      <c r="I95" s="87">
        <f>CALC_WSF!$AZ$39</f>
        <v/>
      </c>
      <c r="K95" s="93">
        <f>IF(CALC_WSF!$AW$39="","",CALC_WSF!$B$10)</f>
        <v/>
      </c>
    </row>
    <row r="96">
      <c r="B96" s="91">
        <f>CALC_WSF!$AX$40</f>
        <v/>
      </c>
      <c r="C96" s="61" t="n"/>
      <c r="D96" s="61" t="n"/>
      <c r="E96" s="91">
        <f>CALC_WSF!$AY$40</f>
        <v/>
      </c>
      <c r="F96" s="61" t="n"/>
      <c r="G96" s="61" t="n"/>
      <c r="H96" s="61" t="n"/>
      <c r="I96" s="91">
        <f>CALC_WSF!$AZ$40</f>
        <v/>
      </c>
      <c r="J96" s="61" t="n"/>
      <c r="K96" s="92">
        <f>IF(CALC_WSF!$AW$40="","",CALC_WSF!$B$10)</f>
        <v/>
      </c>
      <c r="L96" s="61" t="n"/>
    </row>
    <row r="97">
      <c r="B97" s="87">
        <f>CALC_WSF!$AX$41</f>
        <v/>
      </c>
      <c r="E97" s="87">
        <f>CALC_WSF!$AY$41</f>
        <v/>
      </c>
      <c r="I97" s="87">
        <f>CALC_WSF!$AZ$41</f>
        <v/>
      </c>
      <c r="K97" s="93">
        <f>IF(CALC_WSF!$AW$41="","",CALC_WSF!$B$10)</f>
        <v/>
      </c>
    </row>
    <row r="98">
      <c r="B98" s="91">
        <f>CALC_WSF!$AX$42</f>
        <v/>
      </c>
      <c r="C98" s="61" t="n"/>
      <c r="D98" s="61" t="n"/>
      <c r="E98" s="91">
        <f>CALC_WSF!$AY$42</f>
        <v/>
      </c>
      <c r="F98" s="61" t="n"/>
      <c r="G98" s="61" t="n"/>
      <c r="H98" s="61" t="n"/>
      <c r="I98" s="91">
        <f>CALC_WSF!$AZ$42</f>
        <v/>
      </c>
      <c r="J98" s="61" t="n"/>
      <c r="K98" s="92">
        <f>IF(CALC_WSF!$AW$42="","",CALC_WSF!$B$10)</f>
        <v/>
      </c>
      <c r="L98" s="61" t="n"/>
    </row>
    <row r="99">
      <c r="B99" s="87">
        <f>CALC_WSF!$AX$43</f>
        <v/>
      </c>
      <c r="E99" s="87">
        <f>CALC_WSF!$AY$43</f>
        <v/>
      </c>
      <c r="I99" s="87">
        <f>CALC_WSF!$AZ$43</f>
        <v/>
      </c>
      <c r="K99" s="93">
        <f>IF(CALC_WSF!$AW$43="","",CALC_WSF!$B$10)</f>
        <v/>
      </c>
    </row>
    <row r="100">
      <c r="B100" s="91">
        <f>CALC_WSF!$AX$44</f>
        <v/>
      </c>
      <c r="C100" s="61" t="n"/>
      <c r="D100" s="61" t="n"/>
      <c r="E100" s="91">
        <f>CALC_WSF!$AY$44</f>
        <v/>
      </c>
      <c r="F100" s="61" t="n"/>
      <c r="G100" s="61" t="n"/>
      <c r="H100" s="61" t="n"/>
      <c r="I100" s="91">
        <f>CALC_WSF!$AZ$44</f>
        <v/>
      </c>
      <c r="J100" s="61" t="n"/>
      <c r="K100" s="92">
        <f>IF(CALC_WSF!$AW$44="","",CALC_WSF!$B$10)</f>
        <v/>
      </c>
      <c r="L100" s="61" t="n"/>
    </row>
    <row r="101">
      <c r="B101" s="87">
        <f>CALC_WSF!$AX$45</f>
        <v/>
      </c>
      <c r="E101" s="87">
        <f>CALC_WSF!$AY$45</f>
        <v/>
      </c>
      <c r="I101" s="87">
        <f>CALC_WSF!$AZ$45</f>
        <v/>
      </c>
      <c r="K101" s="93">
        <f>IF(CALC_WSF!$AW$45="","",CALC_WSF!$B$10)</f>
        <v/>
      </c>
    </row>
    <row r="102">
      <c r="B102" s="91">
        <f>CALC_WSF!$AX$46</f>
        <v/>
      </c>
      <c r="C102" s="61" t="n"/>
      <c r="D102" s="61" t="n"/>
      <c r="E102" s="91">
        <f>CALC_WSF!$AY$46</f>
        <v/>
      </c>
      <c r="F102" s="61" t="n"/>
      <c r="G102" s="61" t="n"/>
      <c r="H102" s="61" t="n"/>
      <c r="I102" s="91">
        <f>CALC_WSF!$AZ$46</f>
        <v/>
      </c>
      <c r="J102" s="61" t="n"/>
      <c r="K102" s="92">
        <f>IF(CALC_WSF!$AW$46="","",CALC_WSF!$B$10)</f>
        <v/>
      </c>
      <c r="L102" s="61" t="n"/>
    </row>
    <row r="103">
      <c r="B103" s="87">
        <f>CALC_WSF!$AX$47</f>
        <v/>
      </c>
      <c r="E103" s="87">
        <f>CALC_WSF!$AY$47</f>
        <v/>
      </c>
      <c r="I103" s="87">
        <f>CALC_WSF!$AZ$47</f>
        <v/>
      </c>
      <c r="K103" s="93">
        <f>IF(CALC_WSF!$AW$47="","",CALC_WSF!$B$10)</f>
        <v/>
      </c>
    </row>
    <row r="104">
      <c r="B104" s="91">
        <f>CALC_WSF!$AX$48</f>
        <v/>
      </c>
      <c r="C104" s="61" t="n"/>
      <c r="D104" s="61" t="n"/>
      <c r="E104" s="91">
        <f>CALC_WSF!$AY$48</f>
        <v/>
      </c>
      <c r="F104" s="61" t="n"/>
      <c r="G104" s="61" t="n"/>
      <c r="H104" s="61" t="n"/>
      <c r="I104" s="91">
        <f>CALC_WSF!$AZ$48</f>
        <v/>
      </c>
      <c r="J104" s="61" t="n"/>
      <c r="K104" s="92">
        <f>IF(CALC_WSF!$AW$48="","",CALC_WSF!$B$10)</f>
        <v/>
      </c>
      <c r="L104" s="61" t="n"/>
    </row>
    <row r="105">
      <c r="B105" s="87">
        <f>CALC_WSF!$AX$49</f>
        <v/>
      </c>
      <c r="E105" s="87">
        <f>CALC_WSF!$AY$49</f>
        <v/>
      </c>
      <c r="I105" s="87">
        <f>CALC_WSF!$AZ$49</f>
        <v/>
      </c>
      <c r="K105" s="93">
        <f>IF(CALC_WSF!$AW$49="","",CALC_WSF!$B$10)</f>
        <v/>
      </c>
    </row>
    <row r="106">
      <c r="B106" s="91">
        <f>CALC_WSF!$AX$50</f>
        <v/>
      </c>
      <c r="C106" s="61" t="n"/>
      <c r="D106" s="61" t="n"/>
      <c r="E106" s="91">
        <f>CALC_WSF!$AY$50</f>
        <v/>
      </c>
      <c r="F106" s="61" t="n"/>
      <c r="G106" s="61" t="n"/>
      <c r="H106" s="61" t="n"/>
      <c r="I106" s="91">
        <f>CALC_WSF!$AZ$50</f>
        <v/>
      </c>
      <c r="J106" s="61" t="n"/>
      <c r="K106" s="92">
        <f>IF(CALC_WSF!$AW$50="","",CALC_WSF!$B$10)</f>
        <v/>
      </c>
      <c r="L106" s="61" t="n"/>
    </row>
    <row r="107">
      <c r="B107" s="87">
        <f>CALC_WSF!$AX$51</f>
        <v/>
      </c>
      <c r="E107" s="87">
        <f>CALC_WSF!$AY$51</f>
        <v/>
      </c>
      <c r="I107" s="87">
        <f>CALC_WSF!$AZ$51</f>
        <v/>
      </c>
      <c r="K107" s="93">
        <f>IF(CALC_WSF!$AW$51="","",CALC_WSF!$B$10)</f>
        <v/>
      </c>
    </row>
    <row r="108">
      <c r="B108" s="91">
        <f>CALC_WSF!$AX$52</f>
        <v/>
      </c>
      <c r="C108" s="61" t="n"/>
      <c r="D108" s="61" t="n"/>
      <c r="E108" s="91">
        <f>CALC_WSF!$AY$52</f>
        <v/>
      </c>
      <c r="F108" s="61" t="n"/>
      <c r="G108" s="61" t="n"/>
      <c r="H108" s="61" t="n"/>
      <c r="I108" s="91">
        <f>CALC_WSF!$AZ$52</f>
        <v/>
      </c>
      <c r="J108" s="61" t="n"/>
      <c r="K108" s="92">
        <f>IF(CALC_WSF!$AW$52="","",CALC_WSF!$B$10)</f>
        <v/>
      </c>
      <c r="L108" s="61" t="n"/>
    </row>
    <row r="109">
      <c r="B109" s="87">
        <f>CALC_WSF!$AX$53</f>
        <v/>
      </c>
      <c r="E109" s="87">
        <f>CALC_WSF!$AY$53</f>
        <v/>
      </c>
      <c r="I109" s="87">
        <f>CALC_WSF!$AZ$53</f>
        <v/>
      </c>
      <c r="K109" s="93">
        <f>IF(CALC_WSF!$AW$53="","",CALC_WSF!$B$10)</f>
        <v/>
      </c>
    </row>
  </sheetData>
  <mergeCells count="263">
    <mergeCell ref="B60:D60"/>
    <mergeCell ref="I81:J81"/>
    <mergeCell ref="E61:H61"/>
    <mergeCell ref="I95:J95"/>
    <mergeCell ref="H10:I10"/>
    <mergeCell ref="I89:J89"/>
    <mergeCell ref="K95:L95"/>
    <mergeCell ref="J10:K10"/>
    <mergeCell ref="K89:L89"/>
    <mergeCell ref="I104:J104"/>
    <mergeCell ref="B25:O25"/>
    <mergeCell ref="B22:C22"/>
    <mergeCell ref="K104:L104"/>
    <mergeCell ref="N50:O52"/>
    <mergeCell ref="H9:I9"/>
    <mergeCell ref="D45:E45"/>
    <mergeCell ref="K88:L88"/>
    <mergeCell ref="J9:K9"/>
    <mergeCell ref="E97:H97"/>
    <mergeCell ref="B58:O58"/>
    <mergeCell ref="I106:J106"/>
    <mergeCell ref="B21:C21"/>
    <mergeCell ref="E109:H109"/>
    <mergeCell ref="B108:D108"/>
    <mergeCell ref="I76:J76"/>
    <mergeCell ref="K81:L81"/>
    <mergeCell ref="K76:L76"/>
    <mergeCell ref="B84:D84"/>
    <mergeCell ref="E96:H96"/>
    <mergeCell ref="K90:L90"/>
    <mergeCell ref="B14:C14"/>
    <mergeCell ref="E62:H62"/>
    <mergeCell ref="B92:D92"/>
    <mergeCell ref="J45:K45"/>
    <mergeCell ref="I66:J66"/>
    <mergeCell ref="E71:H71"/>
    <mergeCell ref="L45:M45"/>
    <mergeCell ref="I71:J71"/>
    <mergeCell ref="K99:L99"/>
    <mergeCell ref="B13:C13"/>
    <mergeCell ref="E98:H98"/>
    <mergeCell ref="K67:L67"/>
    <mergeCell ref="B80:D80"/>
    <mergeCell ref="D7:E7"/>
    <mergeCell ref="B94:D94"/>
    <mergeCell ref="E64:H64"/>
    <mergeCell ref="E79:H79"/>
    <mergeCell ref="H45:I45"/>
    <mergeCell ref="L3:O3"/>
    <mergeCell ref="E73:H73"/>
    <mergeCell ref="E88:H88"/>
    <mergeCell ref="E82:H82"/>
    <mergeCell ref="B62:D62"/>
    <mergeCell ref="I83:J83"/>
    <mergeCell ref="E63:H63"/>
    <mergeCell ref="B72:D72"/>
    <mergeCell ref="B24:C24"/>
    <mergeCell ref="E65:H65"/>
    <mergeCell ref="K101:L101"/>
    <mergeCell ref="E74:H74"/>
    <mergeCell ref="E105:H105"/>
    <mergeCell ref="I94:J94"/>
    <mergeCell ref="E99:H99"/>
    <mergeCell ref="L4:O4"/>
    <mergeCell ref="B96:D96"/>
    <mergeCell ref="B70:D70"/>
    <mergeCell ref="B105:D105"/>
    <mergeCell ref="I69:J69"/>
    <mergeCell ref="I84:J84"/>
    <mergeCell ref="C3:D3"/>
    <mergeCell ref="K69:L69"/>
    <mergeCell ref="K78:L78"/>
    <mergeCell ref="K92:L92"/>
    <mergeCell ref="B16:C16"/>
    <mergeCell ref="B98:D98"/>
    <mergeCell ref="D10:E10"/>
    <mergeCell ref="L7:M7"/>
    <mergeCell ref="I77:J77"/>
    <mergeCell ref="F10:G10"/>
    <mergeCell ref="N7:O7"/>
    <mergeCell ref="E101:H101"/>
    <mergeCell ref="I86:J86"/>
    <mergeCell ref="E91:H91"/>
    <mergeCell ref="B107:D107"/>
    <mergeCell ref="I80:J80"/>
    <mergeCell ref="E85:H85"/>
    <mergeCell ref="B73:D73"/>
    <mergeCell ref="K80:L80"/>
    <mergeCell ref="B88:D88"/>
    <mergeCell ref="E100:H100"/>
    <mergeCell ref="B82:D82"/>
    <mergeCell ref="B18:C18"/>
    <mergeCell ref="I61:J61"/>
    <mergeCell ref="I70:J70"/>
    <mergeCell ref="E75:H75"/>
    <mergeCell ref="K64:L64"/>
    <mergeCell ref="C4:D4"/>
    <mergeCell ref="K79:L79"/>
    <mergeCell ref="E93:H93"/>
    <mergeCell ref="E102:H102"/>
    <mergeCell ref="B99:D99"/>
    <mergeCell ref="I72:J72"/>
    <mergeCell ref="K63:L63"/>
    <mergeCell ref="K72:L72"/>
    <mergeCell ref="F45:G45"/>
    <mergeCell ref="B74:D74"/>
    <mergeCell ref="B68:D68"/>
    <mergeCell ref="B83:D83"/>
    <mergeCell ref="K106:L106"/>
    <mergeCell ref="E67:H67"/>
    <mergeCell ref="I96:J96"/>
    <mergeCell ref="K96:L96"/>
    <mergeCell ref="K105:L105"/>
    <mergeCell ref="B76:D76"/>
    <mergeCell ref="B85:D85"/>
    <mergeCell ref="I98:J98"/>
    <mergeCell ref="K98:L98"/>
    <mergeCell ref="I107:J107"/>
    <mergeCell ref="E87:H87"/>
    <mergeCell ref="B75:D75"/>
    <mergeCell ref="B100:D100"/>
    <mergeCell ref="K107:L107"/>
    <mergeCell ref="D9:E9"/>
    <mergeCell ref="B109:D109"/>
    <mergeCell ref="F9:G9"/>
    <mergeCell ref="I88:J88"/>
    <mergeCell ref="I82:J82"/>
    <mergeCell ref="B59:D59"/>
    <mergeCell ref="K82:L82"/>
    <mergeCell ref="B15:C15"/>
    <mergeCell ref="B102:D102"/>
    <mergeCell ref="K66:L66"/>
    <mergeCell ref="I59:J59"/>
    <mergeCell ref="B5:O5"/>
    <mergeCell ref="E90:H90"/>
    <mergeCell ref="I99:J99"/>
    <mergeCell ref="K93:L93"/>
    <mergeCell ref="E104:H104"/>
    <mergeCell ref="I60:J60"/>
    <mergeCell ref="I74:J74"/>
    <mergeCell ref="K74:L74"/>
    <mergeCell ref="K68:L68"/>
    <mergeCell ref="K83:L83"/>
    <mergeCell ref="B7:C7"/>
    <mergeCell ref="E76:H76"/>
    <mergeCell ref="B78:D78"/>
    <mergeCell ref="B87:D87"/>
    <mergeCell ref="F7:G7"/>
    <mergeCell ref="K60:L60"/>
    <mergeCell ref="E66:H66"/>
    <mergeCell ref="K109:L109"/>
    <mergeCell ref="I103:J103"/>
    <mergeCell ref="E68:H68"/>
    <mergeCell ref="B65:D65"/>
    <mergeCell ref="I97:J97"/>
    <mergeCell ref="B17:C17"/>
    <mergeCell ref="L8:M8"/>
    <mergeCell ref="N8:O8"/>
    <mergeCell ref="F8:G8"/>
    <mergeCell ref="I87:J87"/>
    <mergeCell ref="E92:H92"/>
    <mergeCell ref="B63:D63"/>
    <mergeCell ref="B19:C19"/>
    <mergeCell ref="I62:J62"/>
    <mergeCell ref="L10:M10"/>
    <mergeCell ref="E107:H107"/>
    <mergeCell ref="N10:O10"/>
    <mergeCell ref="K71:L71"/>
    <mergeCell ref="B9:C9"/>
    <mergeCell ref="E77:H77"/>
    <mergeCell ref="B91:D91"/>
    <mergeCell ref="E94:H94"/>
    <mergeCell ref="K97:L97"/>
    <mergeCell ref="E103:H103"/>
    <mergeCell ref="L9:M9"/>
    <mergeCell ref="I64:J64"/>
    <mergeCell ref="I79:J79"/>
    <mergeCell ref="N9:O9"/>
    <mergeCell ref="E84:H84"/>
    <mergeCell ref="I73:J73"/>
    <mergeCell ref="E78:H78"/>
    <mergeCell ref="B66:D66"/>
    <mergeCell ref="K73:L73"/>
    <mergeCell ref="K65:L65"/>
    <mergeCell ref="B20:C20"/>
    <mergeCell ref="B93:D93"/>
    <mergeCell ref="B45:C45"/>
    <mergeCell ref="I63:J63"/>
    <mergeCell ref="E108:H108"/>
    <mergeCell ref="E4:G4"/>
    <mergeCell ref="E86:H86"/>
    <mergeCell ref="N45:O45"/>
    <mergeCell ref="B77:D77"/>
    <mergeCell ref="E80:H80"/>
    <mergeCell ref="E95:H95"/>
    <mergeCell ref="E89:H89"/>
    <mergeCell ref="B86:D86"/>
    <mergeCell ref="I65:J65"/>
    <mergeCell ref="I90:J90"/>
    <mergeCell ref="I105:J105"/>
    <mergeCell ref="E70:H70"/>
    <mergeCell ref="B67:D67"/>
    <mergeCell ref="B61:D61"/>
    <mergeCell ref="B101:D101"/>
    <mergeCell ref="K108:L108"/>
    <mergeCell ref="E72:H72"/>
    <mergeCell ref="E81:H81"/>
    <mergeCell ref="B69:D69"/>
    <mergeCell ref="I101:J101"/>
    <mergeCell ref="B103:D103"/>
    <mergeCell ref="I91:J91"/>
    <mergeCell ref="I85:J85"/>
    <mergeCell ref="K91:L91"/>
    <mergeCell ref="I100:J100"/>
    <mergeCell ref="K85:L85"/>
    <mergeCell ref="K100:L100"/>
    <mergeCell ref="K94:L94"/>
    <mergeCell ref="B23:C23"/>
    <mergeCell ref="I75:J75"/>
    <mergeCell ref="E106:H106"/>
    <mergeCell ref="K75:L75"/>
    <mergeCell ref="K84:L84"/>
    <mergeCell ref="I93:J93"/>
    <mergeCell ref="B8:C8"/>
    <mergeCell ref="I102:J102"/>
    <mergeCell ref="B64:D64"/>
    <mergeCell ref="I3:J3"/>
    <mergeCell ref="B95:D95"/>
    <mergeCell ref="B89:D89"/>
    <mergeCell ref="K102:L102"/>
    <mergeCell ref="K59:L59"/>
    <mergeCell ref="I68:J68"/>
    <mergeCell ref="B104:D104"/>
    <mergeCell ref="K77:L77"/>
    <mergeCell ref="E83:H83"/>
    <mergeCell ref="I92:J92"/>
    <mergeCell ref="B79:D79"/>
    <mergeCell ref="H7:I7"/>
    <mergeCell ref="K86:L86"/>
    <mergeCell ref="B10:C10"/>
    <mergeCell ref="J7:K7"/>
    <mergeCell ref="I67:J67"/>
    <mergeCell ref="B97:D97"/>
    <mergeCell ref="E3:G3"/>
    <mergeCell ref="K61:L61"/>
    <mergeCell ref="B106:D106"/>
    <mergeCell ref="K70:L70"/>
    <mergeCell ref="B81:D81"/>
    <mergeCell ref="D8:E8"/>
    <mergeCell ref="B90:D90"/>
    <mergeCell ref="E60:H60"/>
    <mergeCell ref="I4:J4"/>
    <mergeCell ref="E69:H69"/>
    <mergeCell ref="I108:J108"/>
    <mergeCell ref="I78:J78"/>
    <mergeCell ref="I109:J109"/>
    <mergeCell ref="B71:D71"/>
    <mergeCell ref="K103:L103"/>
    <mergeCell ref="E59:H59"/>
    <mergeCell ref="H8:I8"/>
    <mergeCell ref="K62:L62"/>
    <mergeCell ref="J8:K8"/>
    <mergeCell ref="K87:L87"/>
  </mergeCells>
  <conditionalFormatting sqref="B9">
    <cfRule type="expression" priority="1" dxfId="0">
      <formula>LEFT(B9,1)="▲"</formula>
    </cfRule>
    <cfRule type="expression" priority="2" dxfId="1">
      <formula>LEFT(B9,1)="▼"</formula>
    </cfRule>
  </conditionalFormatting>
  <conditionalFormatting sqref="D9">
    <cfRule type="expression" priority="3" dxfId="0">
      <formula>LEFT(D9,1)="▲"</formula>
    </cfRule>
    <cfRule type="expression" priority="4" dxfId="1">
      <formula>LEFT(D9,1)="▼"</formula>
    </cfRule>
  </conditionalFormatting>
  <conditionalFormatting sqref="F9">
    <cfRule type="expression" priority="5" dxfId="0">
      <formula>LEFT(F9,1)="▲"</formula>
    </cfRule>
    <cfRule type="expression" priority="6" dxfId="1">
      <formula>LEFT(F9,1)="▼"</formula>
    </cfRule>
  </conditionalFormatting>
  <conditionalFormatting sqref="H9">
    <cfRule type="expression" priority="7" dxfId="0">
      <formula>LEFT(H9,1)="▲"</formula>
    </cfRule>
    <cfRule type="expression" priority="8" dxfId="1">
      <formula>LEFT(H9,1)="▼"</formula>
    </cfRule>
  </conditionalFormatting>
  <conditionalFormatting sqref="H8">
    <cfRule type="expression" priority="9" dxfId="2">
      <formula>AND(ISNUMBER(H8),H8&gt;=RAG_Green)</formula>
    </cfRule>
    <cfRule type="expression" priority="10" dxfId="3">
      <formula>AND(ISNUMBER(H8),H8&gt;=RAG_Amber,H8&lt;RAG_Green)</formula>
    </cfRule>
    <cfRule type="expression" priority="11" dxfId="4">
      <formula>AND(ISNUMBER(H8),H8&lt;RAG_Amber)</formula>
    </cfRule>
  </conditionalFormatting>
  <conditionalFormatting sqref="J9">
    <cfRule type="expression" priority="12" dxfId="0">
      <formula>LEFT(J9,1)="▲"</formula>
    </cfRule>
    <cfRule type="expression" priority="13" dxfId="1">
      <formula>LEFT(J9,1)="▼"</formula>
    </cfRule>
  </conditionalFormatting>
  <conditionalFormatting sqref="L9">
    <cfRule type="expression" priority="14" dxfId="0">
      <formula>LEFT(L9,1)="▲"</formula>
    </cfRule>
    <cfRule type="expression" priority="15" dxfId="1">
      <formula>LEFT(L9,1)="▼"</formula>
    </cfRule>
  </conditionalFormatting>
  <conditionalFormatting sqref="N9">
    <cfRule type="expression" priority="16" dxfId="0">
      <formula>LEFT(N9,1)="▲"</formula>
    </cfRule>
    <cfRule type="expression" priority="17" dxfId="1">
      <formula>LEFT(N9,1)="▼"</formula>
    </cfRule>
  </conditionalFormatting>
  <conditionalFormatting sqref="F14">
    <cfRule type="expression" priority="18" dxfId="5">
      <formula>AND(ISNUMBER(F14),F14&gt;0)</formula>
    </cfRule>
    <cfRule type="expression" priority="19" dxfId="6">
      <formula>AND(ISNUMBER(F14),F14&lt;0)</formula>
    </cfRule>
  </conditionalFormatting>
  <conditionalFormatting sqref="G14">
    <cfRule type="expression" priority="20" dxfId="5">
      <formula>AND(ISNUMBER(G14),G14&gt;0)</formula>
    </cfRule>
    <cfRule type="expression" priority="21" dxfId="6">
      <formula>AND(ISNUMBER(G14),G14&lt;0)</formula>
    </cfRule>
  </conditionalFormatting>
  <conditionalFormatting sqref="I14">
    <cfRule type="expression" priority="22" dxfId="5">
      <formula>AND(ISNUMBER(I14),I14&gt;0)</formula>
    </cfRule>
    <cfRule type="expression" priority="23" dxfId="6">
      <formula>AND(ISNUMBER(I14),I14&lt;0)</formula>
    </cfRule>
  </conditionalFormatting>
  <conditionalFormatting sqref="F15">
    <cfRule type="expression" priority="24" dxfId="5">
      <formula>AND(ISNUMBER(F15),F15&gt;0)</formula>
    </cfRule>
    <cfRule type="expression" priority="25" dxfId="6">
      <formula>AND(ISNUMBER(F15),F15&lt;0)</formula>
    </cfRule>
  </conditionalFormatting>
  <conditionalFormatting sqref="G15">
    <cfRule type="expression" priority="26" dxfId="5">
      <formula>AND(ISNUMBER(G15),G15&gt;0)</formula>
    </cfRule>
    <cfRule type="expression" priority="27" dxfId="6">
      <formula>AND(ISNUMBER(G15),G15&lt;0)</formula>
    </cfRule>
  </conditionalFormatting>
  <conditionalFormatting sqref="I15">
    <cfRule type="expression" priority="28" dxfId="5">
      <formula>AND(ISNUMBER(I15),I15&gt;0)</formula>
    </cfRule>
    <cfRule type="expression" priority="29" dxfId="6">
      <formula>AND(ISNUMBER(I15),I15&lt;0)</formula>
    </cfRule>
  </conditionalFormatting>
  <conditionalFormatting sqref="F16">
    <cfRule type="expression" priority="30" dxfId="5">
      <formula>AND(ISNUMBER(F16),F16&gt;0)</formula>
    </cfRule>
    <cfRule type="expression" priority="31" dxfId="6">
      <formula>AND(ISNUMBER(F16),F16&lt;0)</formula>
    </cfRule>
  </conditionalFormatting>
  <conditionalFormatting sqref="G16">
    <cfRule type="expression" priority="32" dxfId="5">
      <formula>AND(ISNUMBER(G16),G16&gt;0)</formula>
    </cfRule>
    <cfRule type="expression" priority="33" dxfId="6">
      <formula>AND(ISNUMBER(G16),G16&lt;0)</formula>
    </cfRule>
  </conditionalFormatting>
  <conditionalFormatting sqref="I16">
    <cfRule type="expression" priority="34" dxfId="5">
      <formula>AND(ISNUMBER(I16),I16&gt;0)</formula>
    </cfRule>
    <cfRule type="expression" priority="35" dxfId="6">
      <formula>AND(ISNUMBER(I16),I16&lt;0)</formula>
    </cfRule>
  </conditionalFormatting>
  <conditionalFormatting sqref="F17">
    <cfRule type="expression" priority="36" dxfId="5">
      <formula>AND(ISNUMBER(F17),F17&gt;0)</formula>
    </cfRule>
    <cfRule type="expression" priority="37" dxfId="6">
      <formula>AND(ISNUMBER(F17),F17&lt;0)</formula>
    </cfRule>
  </conditionalFormatting>
  <conditionalFormatting sqref="G17">
    <cfRule type="expression" priority="38" dxfId="5">
      <formula>AND(ISNUMBER(G17),G17&gt;0)</formula>
    </cfRule>
    <cfRule type="expression" priority="39" dxfId="6">
      <formula>AND(ISNUMBER(G17),G17&lt;0)</formula>
    </cfRule>
  </conditionalFormatting>
  <conditionalFormatting sqref="I17">
    <cfRule type="expression" priority="40" dxfId="5">
      <formula>AND(ISNUMBER(I17),I17&gt;0)</formula>
    </cfRule>
    <cfRule type="expression" priority="41" dxfId="6">
      <formula>AND(ISNUMBER(I17),I17&lt;0)</formula>
    </cfRule>
  </conditionalFormatting>
  <conditionalFormatting sqref="F18">
    <cfRule type="expression" priority="42" dxfId="5">
      <formula>AND(ISNUMBER(F18),F18&gt;0)</formula>
    </cfRule>
    <cfRule type="expression" priority="43" dxfId="6">
      <formula>AND(ISNUMBER(F18),F18&lt;0)</formula>
    </cfRule>
  </conditionalFormatting>
  <conditionalFormatting sqref="G18">
    <cfRule type="expression" priority="44" dxfId="5">
      <formula>AND(ISNUMBER(G18),G18&gt;0)</formula>
    </cfRule>
    <cfRule type="expression" priority="45" dxfId="6">
      <formula>AND(ISNUMBER(G18),G18&lt;0)</formula>
    </cfRule>
  </conditionalFormatting>
  <conditionalFormatting sqref="I18">
    <cfRule type="expression" priority="46" dxfId="5">
      <formula>AND(ISNUMBER(I18),I18&gt;0)</formula>
    </cfRule>
    <cfRule type="expression" priority="47" dxfId="6">
      <formula>AND(ISNUMBER(I18),I18&lt;0)</formula>
    </cfRule>
  </conditionalFormatting>
  <conditionalFormatting sqref="F19">
    <cfRule type="expression" priority="48" dxfId="5">
      <formula>AND(ISNUMBER(F19),F19&gt;0)</formula>
    </cfRule>
    <cfRule type="expression" priority="49" dxfId="6">
      <formula>AND(ISNUMBER(F19),F19&lt;0)</formula>
    </cfRule>
  </conditionalFormatting>
  <conditionalFormatting sqref="G19">
    <cfRule type="expression" priority="50" dxfId="5">
      <formula>AND(ISNUMBER(G19),G19&gt;0)</formula>
    </cfRule>
    <cfRule type="expression" priority="51" dxfId="6">
      <formula>AND(ISNUMBER(G19),G19&lt;0)</formula>
    </cfRule>
  </conditionalFormatting>
  <conditionalFormatting sqref="I19">
    <cfRule type="expression" priority="52" dxfId="5">
      <formula>AND(ISNUMBER(I19),I19&gt;0)</formula>
    </cfRule>
    <cfRule type="expression" priority="53" dxfId="6">
      <formula>AND(ISNUMBER(I19),I19&lt;0)</formula>
    </cfRule>
  </conditionalFormatting>
  <conditionalFormatting sqref="F20">
    <cfRule type="expression" priority="54" dxfId="5">
      <formula>AND(ISNUMBER(F20),F20&gt;0)</formula>
    </cfRule>
    <cfRule type="expression" priority="55" dxfId="6">
      <formula>AND(ISNUMBER(F20),F20&lt;0)</formula>
    </cfRule>
  </conditionalFormatting>
  <conditionalFormatting sqref="G20">
    <cfRule type="expression" priority="56" dxfId="5">
      <formula>AND(ISNUMBER(G20),G20&gt;0)</formula>
    </cfRule>
    <cfRule type="expression" priority="57" dxfId="6">
      <formula>AND(ISNUMBER(G20),G20&lt;0)</formula>
    </cfRule>
  </conditionalFormatting>
  <conditionalFormatting sqref="I20">
    <cfRule type="expression" priority="58" dxfId="5">
      <formula>AND(ISNUMBER(I20),I20&gt;0)</formula>
    </cfRule>
    <cfRule type="expression" priority="59" dxfId="6">
      <formula>AND(ISNUMBER(I20),I20&lt;0)</formula>
    </cfRule>
  </conditionalFormatting>
  <conditionalFormatting sqref="F21">
    <cfRule type="expression" priority="60" dxfId="5">
      <formula>AND(ISNUMBER(F21),F21&gt;0)</formula>
    </cfRule>
    <cfRule type="expression" priority="61" dxfId="6">
      <formula>AND(ISNUMBER(F21),F21&lt;0)</formula>
    </cfRule>
  </conditionalFormatting>
  <conditionalFormatting sqref="G21">
    <cfRule type="expression" priority="62" dxfId="5">
      <formula>AND(ISNUMBER(G21),G21&gt;0)</formula>
    </cfRule>
    <cfRule type="expression" priority="63" dxfId="6">
      <formula>AND(ISNUMBER(G21),G21&lt;0)</formula>
    </cfRule>
  </conditionalFormatting>
  <conditionalFormatting sqref="I21">
    <cfRule type="expression" priority="64" dxfId="5">
      <formula>AND(ISNUMBER(I21),I21&gt;0)</formula>
    </cfRule>
    <cfRule type="expression" priority="65" dxfId="6">
      <formula>AND(ISNUMBER(I21),I21&lt;0)</formula>
    </cfRule>
  </conditionalFormatting>
  <conditionalFormatting sqref="F22">
    <cfRule type="expression" priority="66" dxfId="5">
      <formula>AND(ISNUMBER(F22),F22&gt;0)</formula>
    </cfRule>
    <cfRule type="expression" priority="67" dxfId="6">
      <formula>AND(ISNUMBER(F22),F22&lt;0)</formula>
    </cfRule>
  </conditionalFormatting>
  <conditionalFormatting sqref="G22">
    <cfRule type="expression" priority="68" dxfId="5">
      <formula>AND(ISNUMBER(G22),G22&gt;0)</formula>
    </cfRule>
    <cfRule type="expression" priority="69" dxfId="6">
      <formula>AND(ISNUMBER(G22),G22&lt;0)</formula>
    </cfRule>
  </conditionalFormatting>
  <conditionalFormatting sqref="I22">
    <cfRule type="expression" priority="70" dxfId="5">
      <formula>AND(ISNUMBER(I22),I22&gt;0)</formula>
    </cfRule>
    <cfRule type="expression" priority="71" dxfId="6">
      <formula>AND(ISNUMBER(I22),I22&lt;0)</formula>
    </cfRule>
  </conditionalFormatting>
  <conditionalFormatting sqref="D22:E22">
    <cfRule type="expression" priority="72" dxfId="2">
      <formula>AND(ISNUMBER(D22),D22&gt;=RAG_Green)</formula>
    </cfRule>
    <cfRule type="expression" priority="73" dxfId="3">
      <formula>AND(ISNUMBER(D22),D22&gt;=RAG_Amber,D22&lt;RAG_Green)</formula>
    </cfRule>
    <cfRule type="expression" priority="74" dxfId="4">
      <formula>AND(ISNUMBER(D22),D22&lt;RAG_Amber)</formula>
    </cfRule>
  </conditionalFormatting>
  <conditionalFormatting sqref="H22">
    <cfRule type="expression" priority="75" dxfId="2">
      <formula>AND(ISNUMBER(H22),H22&gt;=RAG_Green)</formula>
    </cfRule>
    <cfRule type="expression" priority="76" dxfId="3">
      <formula>AND(ISNUMBER(H22),H22&gt;=RAG_Amber,H22&lt;RAG_Green)</formula>
    </cfRule>
    <cfRule type="expression" priority="77" dxfId="4">
      <formula>AND(ISNUMBER(H22),H22&lt;RAG_Amber)</formula>
    </cfRule>
  </conditionalFormatting>
  <conditionalFormatting sqref="J22:O22">
    <cfRule type="expression" priority="78" dxfId="2">
      <formula>AND(ISNUMBER(J22),J22&gt;=RAG_Green)</formula>
    </cfRule>
    <cfRule type="expression" priority="79" dxfId="3">
      <formula>AND(ISNUMBER(J22),J22&gt;=RAG_Amber,J22&lt;RAG_Green)</formula>
    </cfRule>
    <cfRule type="expression" priority="80" dxfId="4">
      <formula>AND(ISNUMBER(J22),J22&lt;RAG_Amber)</formula>
    </cfRule>
  </conditionalFormatting>
  <conditionalFormatting sqref="F23">
    <cfRule type="expression" priority="81" dxfId="5">
      <formula>AND(ISNUMBER(F23),F23&gt;0)</formula>
    </cfRule>
    <cfRule type="expression" priority="82" dxfId="6">
      <formula>AND(ISNUMBER(F23),F23&lt;0)</formula>
    </cfRule>
  </conditionalFormatting>
  <conditionalFormatting sqref="G23">
    <cfRule type="expression" priority="83" dxfId="5">
      <formula>AND(ISNUMBER(G23),G23&gt;0)</formula>
    </cfRule>
    <cfRule type="expression" priority="84" dxfId="6">
      <formula>AND(ISNUMBER(G23),G23&lt;0)</formula>
    </cfRule>
  </conditionalFormatting>
  <conditionalFormatting sqref="I23">
    <cfRule type="expression" priority="85" dxfId="5">
      <formula>AND(ISNUMBER(I23),I23&gt;0)</formula>
    </cfRule>
    <cfRule type="expression" priority="86" dxfId="6">
      <formula>AND(ISNUMBER(I23),I23&lt;0)</formula>
    </cfRule>
  </conditionalFormatting>
  <conditionalFormatting sqref="F24">
    <cfRule type="expression" priority="87" dxfId="5">
      <formula>AND(ISNUMBER(F24),F24&gt;0)</formula>
    </cfRule>
    <cfRule type="expression" priority="88" dxfId="6">
      <formula>AND(ISNUMBER(F24),F24&lt;0)</formula>
    </cfRule>
  </conditionalFormatting>
  <conditionalFormatting sqref="G24">
    <cfRule type="expression" priority="89" dxfId="5">
      <formula>AND(ISNUMBER(G24),G24&gt;0)</formula>
    </cfRule>
    <cfRule type="expression" priority="90" dxfId="6">
      <formula>AND(ISNUMBER(G24),G24&lt;0)</formula>
    </cfRule>
  </conditionalFormatting>
  <conditionalFormatting sqref="I24">
    <cfRule type="expression" priority="91" dxfId="5">
      <formula>AND(ISNUMBER(I24),I24&gt;0)</formula>
    </cfRule>
    <cfRule type="expression" priority="92" dxfId="6">
      <formula>AND(ISNUMBER(I24),I24&lt;0)</formula>
    </cfRule>
  </conditionalFormatting>
  <conditionalFormatting sqref="C46:C55">
    <cfRule type="dataBar" priority="93">
      <dataBar>
        <cfvo type="num" val="0"/>
        <cfvo type="max"/>
        <color rgb="006D97C6"/>
      </dataBar>
    </cfRule>
  </conditionalFormatting>
  <conditionalFormatting sqref="E46:E55">
    <cfRule type="dataBar" priority="94">
      <dataBar>
        <cfvo type="num" val="0"/>
        <cfvo type="max"/>
        <color rgb="006D97C6"/>
      </dataBar>
    </cfRule>
  </conditionalFormatting>
  <conditionalFormatting sqref="G46:G55">
    <cfRule type="expression" priority="95" dxfId="2">
      <formula>AND(ISNUMBER(G46),G46&gt;=RAG_Green)</formula>
    </cfRule>
    <cfRule type="expression" priority="96" dxfId="3">
      <formula>AND(ISNUMBER(G46),G46&gt;=RAG_Amber,G46&lt;RAG_Green)</formula>
    </cfRule>
    <cfRule type="expression" priority="97" dxfId="4">
      <formula>AND(ISNUMBER(G46),G46&lt;RAG_Amber)</formula>
    </cfRule>
  </conditionalFormatting>
  <conditionalFormatting sqref="I46:I55">
    <cfRule type="expression" priority="98" dxfId="2">
      <formula>AND(ISNUMBER(I46),I46&gt;=RAG_Green)</formula>
    </cfRule>
    <cfRule type="expression" priority="99" dxfId="3">
      <formula>AND(ISNUMBER(I46),I46&gt;=RAG_Amber,I46&lt;RAG_Green)</formula>
    </cfRule>
    <cfRule type="expression" priority="100" dxfId="4">
      <formula>AND(ISNUMBER(I46),I46&lt;RAG_Amber)</formula>
    </cfRule>
  </conditionalFormatting>
  <conditionalFormatting sqref="K46:K55">
    <cfRule type="expression" priority="101" dxfId="5">
      <formula>AND(ISNUMBER(K46),K46&gt;0)</formula>
    </cfRule>
    <cfRule type="expression" priority="102" dxfId="6">
      <formula>AND(ISNUMBER(K46),K46&lt;0)</formula>
    </cfRule>
  </conditionalFormatting>
  <conditionalFormatting sqref="M46:M55">
    <cfRule type="expression" priority="103" dxfId="5">
      <formula>AND(ISNUMBER(M46),M46&gt;0)</formula>
    </cfRule>
    <cfRule type="expression" priority="104" dxfId="6">
      <formula>AND(ISNUMBER(M46),M46&lt;0)</formula>
    </cfRule>
  </conditionalFormatting>
  <dataValidations count="4">
    <dataValidation sqref="B4" showDropDown="0" showInputMessage="0" showErrorMessage="1" allowBlank="0" errorTitle="Scope" error="Choose Global, Area or Zone." type="list">
      <formula1>"Global,Area,Zone"</formula1>
    </dataValidation>
    <dataValidation sqref="E4" showDropDown="0" showInputMessage="0" showErrorMessage="1" allowBlank="1" errorTitle="Select" error="Pick a name from the list. Type part of the name in SEARCH to narrow it." type="list">
      <formula1>=WSF_SelectList</formula1>
    </dataValidation>
    <dataValidation sqref="I4" showDropDown="0" showInputMessage="0" showErrorMessage="1" allowBlank="1" errorTitle="Week ending" error="Pick 'Latest' or a week from the list." type="list">
      <formula1>=WSF_WeekList</formula1>
    </dataValidation>
    <dataValidation sqref="K4" showDropDown="0" showInputMessage="0" showErrorMessage="1" allowBlank="1" errorTitle="Comparison window" error="Choose 1, 2, 4, 8, 13, 26 or 52." type="list">
      <formula1>"1,2,4,8,13,26,52"</formula1>
    </dataValidation>
  </dataValidations>
  <hyperlinks>
    <hyperlink xmlns:r="http://schemas.openxmlformats.org/officeDocument/2006/relationships" ref="N1" r:id="rId1"/>
  </hyperlinks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0F7C74"/>
    <outlinePr summaryBelow="1" summaryRight="1"/>
    <pageSetUpPr fitToPage="1"/>
  </sheetPr>
  <dimension ref="A1:P6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34" customHeight="1">
      <c r="A1" s="11" t="n"/>
      <c r="B1" s="94" t="inlineStr">
        <is>
          <t>MIDWEEK DASHBOARD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95" t="inlineStr">
        <is>
          <t>⌂ HOME</t>
        </is>
      </c>
      <c r="O1" s="11" t="n"/>
      <c r="P1" s="11" t="n"/>
    </row>
    <row r="2">
      <c r="A2" s="11" t="n"/>
      <c r="B2" s="96" t="inlineStr">
        <is>
          <t>Zonal midweek services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</row>
    <row r="4">
      <c r="B4" s="36" t="inlineStr">
        <is>
          <t>Stage 2: this dashboard is built after the WSF DASHBOARD is reviewed, using the same control strip, KPI cards, time analysis, rankings and non-reporting layout. Its data is already loaded in the DATA_MIDWEEK sheet.</t>
        </is>
      </c>
    </row>
    <row r="5"/>
    <row r="6"/>
  </sheetData>
  <mergeCells count="1">
    <mergeCell ref="B4:O6"/>
  </mergeCells>
  <hyperlinks>
    <hyperlink xmlns:r="http://schemas.openxmlformats.org/officeDocument/2006/relationships" ref="N1" r:id="rId1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6A3FA0"/>
    <outlinePr summaryBelow="1" summaryRight="1"/>
    <pageSetUpPr fitToPage="1"/>
  </sheetPr>
  <dimension ref="A1:P6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34" customHeight="1">
      <c r="A1" s="16" t="n"/>
      <c r="B1" s="97" t="inlineStr">
        <is>
          <t>CHOP DASHBOARD</t>
        </is>
      </c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98" t="inlineStr">
        <is>
          <t>⌂ HOME</t>
        </is>
      </c>
      <c r="O1" s="16" t="n"/>
      <c r="P1" s="16" t="n"/>
    </row>
    <row r="2">
      <c r="A2" s="16" t="n"/>
      <c r="B2" s="99" t="inlineStr">
        <is>
          <t>Covenant Hour of Prayer (CHOP zones only)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</row>
    <row r="4">
      <c r="B4" s="36" t="inlineStr">
        <is>
          <t>Stage 2: this dashboard is built after the WSF DASHBOARD is reviewed, using the same control strip, KPI cards, time analysis, rankings and non-reporting layout. Its data is already loaded in the DATA_CHOP sheet.</t>
        </is>
      </c>
    </row>
    <row r="5"/>
    <row r="6"/>
  </sheetData>
  <mergeCells count="1">
    <mergeCell ref="B4:O6"/>
  </mergeCells>
  <hyperlinks>
    <hyperlink xmlns:r="http://schemas.openxmlformats.org/officeDocument/2006/relationships" ref="N1" r:id="rId1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B5446E"/>
    <outlinePr summaryBelow="1" summaryRight="1"/>
    <pageSetUpPr fitToPage="1"/>
  </sheetPr>
  <dimension ref="A1:P6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34" customHeight="1">
      <c r="A1" s="18" t="n"/>
      <c r="B1" s="100" t="inlineStr">
        <is>
          <t>COMMUNITY CHURCH DASHBOARD</t>
        </is>
      </c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01" t="inlineStr">
        <is>
          <t>⌂ HOME</t>
        </is>
      </c>
      <c r="O1" s="18" t="n"/>
      <c r="P1" s="18" t="n"/>
    </row>
    <row r="2">
      <c r="A2" s="18" t="n"/>
      <c r="B2" s="102" t="inlineStr">
        <is>
          <t>35 Community Churches · Sunday service first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4">
      <c r="B4" s="36" t="inlineStr">
        <is>
          <t>Stage 2: this dashboard is built after the WSF DASHBOARD is reviewed, using the same control strip, KPI cards, time analysis, rankings and non-reporting layout. Its data is already loaded in the DATA_COMMUNITY sheet.</t>
        </is>
      </c>
    </row>
    <row r="5"/>
    <row r="6"/>
  </sheetData>
  <mergeCells count="1">
    <mergeCell ref="B4:O6"/>
  </mergeCells>
  <hyperlinks>
    <hyperlink xmlns:r="http://schemas.openxmlformats.org/officeDocument/2006/relationships" ref="N1" r:id="rId1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D9731A"/>
    <outlinePr summaryBelow="1" summaryRight="1"/>
    <pageSetUpPr fitToPage="1"/>
  </sheetPr>
  <dimension ref="A1:P112"/>
  <sheetViews>
    <sheetView showGridLines="0" tabSelected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34" customHeight="1">
      <c r="A1" s="20" t="n"/>
      <c r="B1" s="103" t="inlineStr">
        <is>
          <t>TRANSPORT DASHBOARD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104" t="inlineStr">
        <is>
          <t>⌂ HOME</t>
        </is>
      </c>
      <c r="O1" s="20" t="n"/>
      <c r="P1" s="20" t="n"/>
    </row>
    <row r="2">
      <c r="A2" s="20" t="n"/>
      <c r="B2" s="105" t="inlineStr">
        <is>
          <t>FT Procured (hired LT) · church coasters · EV/TATA · WSF Procured (member-paid) · riders, seats, spend and optimisation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</row>
    <row r="3" ht="16" customHeight="1">
      <c r="B3" s="106" t="inlineStr">
        <is>
          <t>SCOPE</t>
        </is>
      </c>
      <c r="C3" s="106" t="inlineStr">
        <is>
          <t>SEARCH  (type part of a name)</t>
        </is>
      </c>
      <c r="E3" s="106" t="inlineStr">
        <is>
          <t>SELECT AREA / ZONE  ▼</t>
        </is>
      </c>
      <c r="H3" s="106" t="inlineStr">
        <is>
          <t>STREAM</t>
        </is>
      </c>
      <c r="I3" s="106" t="inlineStr">
        <is>
          <t>WEEK ENDING  ▼</t>
        </is>
      </c>
      <c r="K3" s="106" t="inlineStr">
        <is>
          <t>COMPARE (WEEKS)</t>
        </is>
      </c>
      <c r="L3" s="106" t="inlineStr">
        <is>
          <t>SHOWING</t>
        </is>
      </c>
    </row>
    <row r="4" ht="24" customHeight="1">
      <c r="B4" s="41" t="inlineStr">
        <is>
          <t>Global</t>
        </is>
      </c>
      <c r="C4" s="42" t="n"/>
      <c r="D4" s="43" t="n"/>
      <c r="E4" s="42" t="n"/>
      <c r="F4" s="43" t="n"/>
      <c r="G4" s="43" t="n"/>
      <c r="H4" s="107" t="inlineStr">
        <is>
          <t>Transport</t>
        </is>
      </c>
      <c r="I4" s="45" t="inlineStr">
        <is>
          <t>Latest</t>
        </is>
      </c>
      <c r="J4" s="43" t="n"/>
      <c r="K4" s="41" t="n">
        <v>4</v>
      </c>
      <c r="L4" s="108">
        <f>CALC_TRANSPORT!$B$16&amp;IF(CALC_TRANSPORT!$B$10=0,"","  ·  w/e "&amp;TEXT(CALC_TRANSPORT!$B$10,"dd mmm yyyy"))&amp;"  ·  "&amp;CALC_TRANSPORT!$B$11&amp;"-wk window"</f>
        <v/>
      </c>
    </row>
    <row r="5" ht="18" customHeight="1">
      <c r="B5" s="109">
        <f>IF(CALC_TRANSPORT!$B$9=0,"No transport reports loaded yet. Put the weekly transport files in the inbox and run ingest.py.",IF(NOT(CALC_TRANSPORT!$B$5),"⚠  Pick "&amp;IF(CALC_TRANSPORT!$B$3="Area","an Area","a Zone")&amp;" from SELECT (type part of the name in SEARCH first).",IF(CALC_TRANSPORT!$B$3="Zone","Zone scope shows FT Procured and WSF Procured only (coasters, EV/TATA, fuel and budget are by Area).",IF(CALC_TRANSPORT!$X$21=0,"No transport reports in this scope for the selected week.","Utilisation = riders ÷ seats offered, on buses whose capacity is known. Spend = hire cost + coaster fuel paid (hubs only)."))))</f>
        <v/>
      </c>
    </row>
    <row r="7">
      <c r="B7" s="110" t="inlineStr">
        <is>
          <t>RIDERS CARRIED</t>
        </is>
      </c>
      <c r="C7" s="111" t="n"/>
      <c r="D7" s="110" t="inlineStr">
        <is>
          <t>BUSES THAT RAN</t>
        </is>
      </c>
      <c r="E7" s="111" t="n"/>
      <c r="F7" s="110" t="inlineStr">
        <is>
          <t>SEAT UTILISATION</t>
        </is>
      </c>
      <c r="G7" s="111" t="n"/>
      <c r="H7" s="110" t="inlineStr">
        <is>
          <t>TOTAL SPEND</t>
        </is>
      </c>
      <c r="I7" s="111" t="n"/>
      <c r="J7" s="110" t="inlineStr">
        <is>
          <t>COST PER RIDER</t>
        </is>
      </c>
      <c r="K7" s="111" t="n"/>
      <c r="L7" s="110" t="inlineStr">
        <is>
          <t>FT SPEND vs BUDGET</t>
        </is>
      </c>
      <c r="M7" s="111" t="n"/>
      <c r="N7" s="110" t="inlineStr">
        <is>
          <t>BREAKDOWNS</t>
        </is>
      </c>
      <c r="O7" s="111" t="n"/>
    </row>
    <row r="8" ht="34" customHeight="1">
      <c r="B8" s="112">
        <f>IF(CALC_TRANSPORT!$B$90="","–",CALC_TRANSPORT!$B$90)</f>
        <v/>
      </c>
      <c r="C8" s="51" t="n"/>
      <c r="D8" s="112">
        <f>IF(CALC_TRANSPORT!$B$91="","–",CALC_TRANSPORT!$B$91)</f>
        <v/>
      </c>
      <c r="E8" s="51" t="n"/>
      <c r="F8" s="113">
        <f>IF(CALC_TRANSPORT!$B$95="","–",CALC_TRANSPORT!$B$95)</f>
        <v/>
      </c>
      <c r="G8" s="51" t="n"/>
      <c r="H8" s="114">
        <f>IF(CALC_TRANSPORT!$B$96="","–",CALC_TRANSPORT!$B$96)</f>
        <v/>
      </c>
      <c r="I8" s="51" t="n"/>
      <c r="J8" s="115">
        <f>IF(CALC_TRANSPORT!$B$100="","–",CALC_TRANSPORT!$B$100)</f>
        <v/>
      </c>
      <c r="K8" s="51" t="n"/>
      <c r="L8" s="113">
        <f>IF(CALC_TRANSPORT!$B$103="","–",CALC_TRANSPORT!$B$103)</f>
        <v/>
      </c>
      <c r="M8" s="51" t="n"/>
      <c r="N8" s="112">
        <f>IF(CALC_TRANSPORT!$B$104="","–",CALC_TRANSPORT!$B$104)</f>
        <v/>
      </c>
      <c r="O8" s="51" t="n"/>
    </row>
    <row r="9">
      <c r="B9" s="116">
        <f>IF(CALC_TRANSPORT!$E$90="","– vs prev wk",IF(CALC_TRANSPORT!$E$90&gt;=0,"▲ ","▼ ")&amp;TEXT(ABS(CALC_TRANSPORT!$E$90),"0.0%")&amp;" vs prev wk")</f>
        <v/>
      </c>
      <c r="C9" s="51" t="n"/>
      <c r="D9" s="116">
        <f>IF(CALC_TRANSPORT!$E$91="","– vs prev wk",IF(CALC_TRANSPORT!$E$91&gt;=0,"▲ ","▼ ")&amp;TEXT(ABS(CALC_TRANSPORT!$E$91),"0.0%")&amp;" vs prev wk")</f>
        <v/>
      </c>
      <c r="E9" s="51" t="n"/>
      <c r="F9" s="116">
        <f>IF(CALC_TRANSPORT!$D$95="","– vs prev wk",IF(CALC_TRANSPORT!$D$95&gt;=0,"▲ ","▼ ")&amp;TEXT(ABS(CALC_TRANSPORT!$D$95)*100,"0.0")&amp;" pts vs prev wk")</f>
        <v/>
      </c>
      <c r="G9" s="51" t="n"/>
      <c r="H9" s="116">
        <f>IF(CALC_TRANSPORT!$E$96="","– vs prev wk",IF(CALC_TRANSPORT!$E$96&gt;=0,"▲ ","▼ ")&amp;TEXT(ABS(CALC_TRANSPORT!$E$96),"0.0%")&amp;" vs prev wk")</f>
        <v/>
      </c>
      <c r="I9" s="51" t="n"/>
      <c r="J9" s="116">
        <f>IF(CALC_TRANSPORT!$E$100="","– vs prev wk",IF(CALC_TRANSPORT!$E$100&gt;=0,"▲ ","▼ ")&amp;TEXT(ABS(CALC_TRANSPORT!$E$100),"0.0%")&amp;" vs prev wk")</f>
        <v/>
      </c>
      <c r="K9" s="51" t="n"/>
      <c r="L9" s="116">
        <f>IF(CALC_TRANSPORT!$D$103="","– vs prev wk",IF(CALC_TRANSPORT!$D$103&gt;=0,"▲ ","▼ ")&amp;TEXT(ABS(CALC_TRANSPORT!$D$103)*100,"0.0")&amp;" pts vs prev wk")</f>
        <v/>
      </c>
      <c r="M9" s="51" t="n"/>
      <c r="N9" s="116">
        <f>IF(CALC_TRANSPORT!$E$104="","– vs prev wk",IF(CALC_TRANSPORT!$E$104&gt;=0,"▲ ","▼ ")&amp;TEXT(ABS(CALC_TRANSPORT!$E$104),"0.0%")&amp;" vs prev wk")</f>
        <v/>
      </c>
      <c r="O9" s="51" t="n"/>
    </row>
    <row r="10">
      <c r="B10" s="117">
        <f>"Avg last "&amp;CALC_TRANSPORT!$B$11&amp;" wks: "&amp;IF(CALC_TRANSPORT!$F$90="","–",TEXT(CALC_TRANSPORT!$F$90,"#,##0"))</f>
        <v/>
      </c>
      <c r="C10" s="51" t="n"/>
      <c r="D10" s="117">
        <f>"Avg last "&amp;CALC_TRANSPORT!$B$11&amp;" wks: "&amp;IF(CALC_TRANSPORT!$F$91="","–",TEXT(CALC_TRANSPORT!$F$91,"#,##0"))</f>
        <v/>
      </c>
      <c r="E10" s="51" t="n"/>
      <c r="F10" s="117">
        <f>"Avg last "&amp;CALC_TRANSPORT!$B$11&amp;" wks: "&amp;IF(CALC_TRANSPORT!$F$95="","–",TEXT(CALC_TRANSPORT!$F$95,"0.0%"))</f>
        <v/>
      </c>
      <c r="G10" s="51" t="n"/>
      <c r="H10" s="117">
        <f>"Avg last "&amp;CALC_TRANSPORT!$B$11&amp;" wks: "&amp;IF(CALC_TRANSPORT!$F$96="","–","₦"&amp;TEXT(CALC_TRANSPORT!$F$96,"#,##0"))</f>
        <v/>
      </c>
      <c r="I10" s="51" t="n"/>
      <c r="J10" s="117">
        <f>"Avg last "&amp;CALC_TRANSPORT!$B$11&amp;" wks: "&amp;IF(CALC_TRANSPORT!$F$100="","–","₦"&amp;TEXT(CALC_TRANSPORT!$F$100,"#,##0.00"))</f>
        <v/>
      </c>
      <c r="K10" s="51" t="n"/>
      <c r="L10" s="117">
        <f>"Avg last "&amp;CALC_TRANSPORT!$B$11&amp;" wks: "&amp;IF(CALC_TRANSPORT!$F$103="","–",TEXT(CALC_TRANSPORT!$F$103,"0.0%"))</f>
        <v/>
      </c>
      <c r="M10" s="51" t="n"/>
      <c r="N10" s="117">
        <f>"Avg last "&amp;CALC_TRANSPORT!$B$11&amp;" wks: "&amp;IF(CALC_TRANSPORT!$F$104="","–",TEXT(CALC_TRANSPORT!$F$104,"#,##0"))</f>
        <v/>
      </c>
      <c r="O10" s="51" t="n"/>
    </row>
    <row r="12" ht="22" customHeight="1">
      <c r="B12" s="118" t="inlineStr">
        <is>
          <t>By bus category — selected week</t>
        </is>
      </c>
      <c r="C12" s="119" t="n"/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20" t="inlineStr">
        <is>
          <t>Cost per rider shows where money works hardest</t>
        </is>
      </c>
    </row>
    <row r="13" ht="26" customHeight="1">
      <c r="B13" s="121" t="inlineStr">
        <is>
          <t>Category</t>
        </is>
      </c>
      <c r="C13" s="20" t="n"/>
      <c r="D13" s="121" t="inlineStr">
        <is>
          <t>Listed</t>
        </is>
      </c>
      <c r="E13" s="121" t="inlineStr">
        <is>
          <t>Ran</t>
        </is>
      </c>
      <c r="F13" s="121" t="inlineStr">
        <is>
          <t>% ran</t>
        </is>
      </c>
      <c r="G13" s="121" t="inlineStr">
        <is>
          <t>Riders</t>
        </is>
      </c>
      <c r="H13" s="121" t="inlineStr">
        <is>
          <t>Seats</t>
        </is>
      </c>
      <c r="I13" s="121" t="inlineStr">
        <is>
          <t>Utilisation</t>
        </is>
      </c>
      <c r="J13" s="121" t="inlineStr">
        <is>
          <t>Spend</t>
        </is>
      </c>
      <c r="K13" s="121" t="inlineStr">
        <is>
          <t>Cost / rider</t>
        </is>
      </c>
      <c r="L13" s="121" t="inlineStr">
        <is>
          <t>Cost / bus</t>
        </is>
      </c>
      <c r="M13" s="121" t="inlineStr">
        <is>
          <t>Cost / seat</t>
        </is>
      </c>
      <c r="N13" s="121" t="inlineStr">
        <is>
          <t>Riders WoW</t>
        </is>
      </c>
      <c r="O13" s="121" t="inlineStr">
        <is>
          <t>Paid by</t>
        </is>
      </c>
    </row>
    <row r="14">
      <c r="B14" s="122">
        <f>CALC_TRANSPORT!$A$110</f>
        <v/>
      </c>
      <c r="D14" s="123">
        <f>IF(CALC_TRANSPORT!$B$110="","–",CALC_TRANSPORT!$B$110)</f>
        <v/>
      </c>
      <c r="E14" s="123">
        <f>IF(CALC_TRANSPORT!$C$110="","–",CALC_TRANSPORT!$C$110)</f>
        <v/>
      </c>
      <c r="F14" s="124">
        <f>IF(CALC_TRANSPORT!$D$110="","–",CALC_TRANSPORT!$D$110)</f>
        <v/>
      </c>
      <c r="G14" s="123">
        <f>IF(CALC_TRANSPORT!$E$110="","–",CALC_TRANSPORT!$E$110)</f>
        <v/>
      </c>
      <c r="H14" s="123">
        <f>IF(CALC_TRANSPORT!$F$110="","–",CALC_TRANSPORT!$F$110)</f>
        <v/>
      </c>
      <c r="I14" s="124">
        <f>IF(CALC_TRANSPORT!$H$110="","–",CALC_TRANSPORT!$H$110)</f>
        <v/>
      </c>
      <c r="J14" s="125">
        <f>IF(CALC_TRANSPORT!$K$110="","–",CALC_TRANSPORT!$K$110)</f>
        <v/>
      </c>
      <c r="K14" s="126">
        <f>IF(CALC_TRANSPORT!$L$110="","–",CALC_TRANSPORT!$L$110)</f>
        <v/>
      </c>
      <c r="L14" s="125">
        <f>IF(CALC_TRANSPORT!$M$110="","–",CALC_TRANSPORT!$M$110)</f>
        <v/>
      </c>
      <c r="M14" s="126">
        <f>IF(CALC_TRANSPORT!$N$110="","–",CALC_TRANSPORT!$N$110)</f>
        <v/>
      </c>
      <c r="N14" s="127">
        <f>IF(CALC_TRANSPORT!$P$110="","–",CALC_TRANSPORT!$P$110)</f>
        <v/>
      </c>
      <c r="O14" s="122">
        <f>CALC_TRANSPORT!$Q$110</f>
        <v/>
      </c>
    </row>
    <row r="15">
      <c r="B15" s="122">
        <f>CALC_TRANSPORT!$A$111</f>
        <v/>
      </c>
      <c r="D15" s="123">
        <f>IF(CALC_TRANSPORT!$B$111="","–",CALC_TRANSPORT!$B$111)</f>
        <v/>
      </c>
      <c r="E15" s="123">
        <f>IF(CALC_TRANSPORT!$C$111="","–",CALC_TRANSPORT!$C$111)</f>
        <v/>
      </c>
      <c r="F15" s="124">
        <f>IF(CALC_TRANSPORT!$D$111="","–",CALC_TRANSPORT!$D$111)</f>
        <v/>
      </c>
      <c r="G15" s="123">
        <f>IF(CALC_TRANSPORT!$E$111="","–",CALC_TRANSPORT!$E$111)</f>
        <v/>
      </c>
      <c r="H15" s="123">
        <f>IF(CALC_TRANSPORT!$F$111="","–",CALC_TRANSPORT!$F$111)</f>
        <v/>
      </c>
      <c r="I15" s="124">
        <f>IF(CALC_TRANSPORT!$H$111="","–",CALC_TRANSPORT!$H$111)</f>
        <v/>
      </c>
      <c r="J15" s="125">
        <f>IF(CALC_TRANSPORT!$K$111="","–",CALC_TRANSPORT!$K$111)</f>
        <v/>
      </c>
      <c r="K15" s="126">
        <f>IF(CALC_TRANSPORT!$L$111="","–",CALC_TRANSPORT!$L$111)</f>
        <v/>
      </c>
      <c r="L15" s="125">
        <f>IF(CALC_TRANSPORT!$M$111="","–",CALC_TRANSPORT!$M$111)</f>
        <v/>
      </c>
      <c r="M15" s="126">
        <f>IF(CALC_TRANSPORT!$N$111="","–",CALC_TRANSPORT!$N$111)</f>
        <v/>
      </c>
      <c r="N15" s="127">
        <f>IF(CALC_TRANSPORT!$P$111="","–",CALC_TRANSPORT!$P$111)</f>
        <v/>
      </c>
      <c r="O15" s="122">
        <f>CALC_TRANSPORT!$Q$111</f>
        <v/>
      </c>
    </row>
    <row r="16">
      <c r="B16" s="122">
        <f>CALC_TRANSPORT!$A$112</f>
        <v/>
      </c>
      <c r="D16" s="123">
        <f>IF(CALC_TRANSPORT!$B$112="","–",CALC_TRANSPORT!$B$112)</f>
        <v/>
      </c>
      <c r="E16" s="123">
        <f>IF(CALC_TRANSPORT!$C$112="","–",CALC_TRANSPORT!$C$112)</f>
        <v/>
      </c>
      <c r="F16" s="124">
        <f>IF(CALC_TRANSPORT!$D$112="","–",CALC_TRANSPORT!$D$112)</f>
        <v/>
      </c>
      <c r="G16" s="123">
        <f>IF(CALC_TRANSPORT!$E$112="","–",CALC_TRANSPORT!$E$112)</f>
        <v/>
      </c>
      <c r="H16" s="123">
        <f>IF(CALC_TRANSPORT!$F$112="","–",CALC_TRANSPORT!$F$112)</f>
        <v/>
      </c>
      <c r="I16" s="124">
        <f>IF(CALC_TRANSPORT!$H$112="","–",CALC_TRANSPORT!$H$112)</f>
        <v/>
      </c>
      <c r="J16" s="125">
        <f>IF(CALC_TRANSPORT!$K$112="","–",CALC_TRANSPORT!$K$112)</f>
        <v/>
      </c>
      <c r="K16" s="126">
        <f>IF(CALC_TRANSPORT!$L$112="","–",CALC_TRANSPORT!$L$112)</f>
        <v/>
      </c>
      <c r="L16" s="125">
        <f>IF(CALC_TRANSPORT!$M$112="","–",CALC_TRANSPORT!$M$112)</f>
        <v/>
      </c>
      <c r="M16" s="126">
        <f>IF(CALC_TRANSPORT!$N$112="","–",CALC_TRANSPORT!$N$112)</f>
        <v/>
      </c>
      <c r="N16" s="127">
        <f>IF(CALC_TRANSPORT!$P$112="","–",CALC_TRANSPORT!$P$112)</f>
        <v/>
      </c>
      <c r="O16" s="122">
        <f>CALC_TRANSPORT!$Q$112</f>
        <v/>
      </c>
    </row>
    <row r="17">
      <c r="B17" s="122">
        <f>CALC_TRANSPORT!$A$113</f>
        <v/>
      </c>
      <c r="D17" s="123">
        <f>IF(CALC_TRANSPORT!$B$113="","–",CALC_TRANSPORT!$B$113)</f>
        <v/>
      </c>
      <c r="E17" s="123">
        <f>IF(CALC_TRANSPORT!$C$113="","–",CALC_TRANSPORT!$C$113)</f>
        <v/>
      </c>
      <c r="F17" s="124">
        <f>IF(CALC_TRANSPORT!$D$113="","–",CALC_TRANSPORT!$D$113)</f>
        <v/>
      </c>
      <c r="G17" s="123">
        <f>IF(CALC_TRANSPORT!$E$113="","–",CALC_TRANSPORT!$E$113)</f>
        <v/>
      </c>
      <c r="H17" s="123">
        <f>IF(CALC_TRANSPORT!$F$113="","–",CALC_TRANSPORT!$F$113)</f>
        <v/>
      </c>
      <c r="I17" s="124">
        <f>IF(CALC_TRANSPORT!$H$113="","–",CALC_TRANSPORT!$H$113)</f>
        <v/>
      </c>
      <c r="J17" s="125">
        <f>IF(CALC_TRANSPORT!$K$113="","–",CALC_TRANSPORT!$K$113)</f>
        <v/>
      </c>
      <c r="K17" s="126">
        <f>IF(CALC_TRANSPORT!$L$113="","–",CALC_TRANSPORT!$L$113)</f>
        <v/>
      </c>
      <c r="L17" s="125">
        <f>IF(CALC_TRANSPORT!$M$113="","–",CALC_TRANSPORT!$M$113)</f>
        <v/>
      </c>
      <c r="M17" s="126">
        <f>IF(CALC_TRANSPORT!$N$113="","–",CALC_TRANSPORT!$N$113)</f>
        <v/>
      </c>
      <c r="N17" s="127">
        <f>IF(CALC_TRANSPORT!$P$113="","–",CALC_TRANSPORT!$P$113)</f>
        <v/>
      </c>
      <c r="O17" s="122">
        <f>CALC_TRANSPORT!$Q$113</f>
        <v/>
      </c>
    </row>
    <row r="18">
      <c r="B18" s="128">
        <f>CALC_TRANSPORT!$A$114</f>
        <v/>
      </c>
      <c r="C18" s="129" t="n"/>
      <c r="D18" s="130">
        <f>IF(CALC_TRANSPORT!$B$114="","–",CALC_TRANSPORT!$B$114)</f>
        <v/>
      </c>
      <c r="E18" s="130">
        <f>IF(CALC_TRANSPORT!$C$114="","–",CALC_TRANSPORT!$C$114)</f>
        <v/>
      </c>
      <c r="F18" s="131">
        <f>IF(CALC_TRANSPORT!$D$114="","–",CALC_TRANSPORT!$D$114)</f>
        <v/>
      </c>
      <c r="G18" s="130">
        <f>IF(CALC_TRANSPORT!$E$114="","–",CALC_TRANSPORT!$E$114)</f>
        <v/>
      </c>
      <c r="H18" s="130">
        <f>IF(CALC_TRANSPORT!$F$114="","–",CALC_TRANSPORT!$F$114)</f>
        <v/>
      </c>
      <c r="I18" s="131">
        <f>IF(CALC_TRANSPORT!$H$114="","–",CALC_TRANSPORT!$H$114)</f>
        <v/>
      </c>
      <c r="J18" s="132">
        <f>IF(CALC_TRANSPORT!$K$114="","–",CALC_TRANSPORT!$K$114)</f>
        <v/>
      </c>
      <c r="K18" s="133">
        <f>IF(CALC_TRANSPORT!$L$114="","–",CALC_TRANSPORT!$L$114)</f>
        <v/>
      </c>
      <c r="L18" s="132">
        <f>IF(CALC_TRANSPORT!$M$114="","–",CALC_TRANSPORT!$M$114)</f>
        <v/>
      </c>
      <c r="M18" s="133">
        <f>IF(CALC_TRANSPORT!$N$114="","–",CALC_TRANSPORT!$N$114)</f>
        <v/>
      </c>
      <c r="N18" s="134">
        <f>IF(CALC_TRANSPORT!$P$114="","–",CALC_TRANSPORT!$P$114)</f>
        <v/>
      </c>
      <c r="O18" s="128">
        <f>CALC_TRANSPORT!$Q$114</f>
        <v/>
      </c>
    </row>
    <row r="20" ht="22" customHeight="1">
      <c r="B20" s="118" t="inlineStr">
        <is>
          <t>Time analysis — selected week against previous week, the N-week average and period-to-date</t>
        </is>
      </c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</row>
    <row r="21" ht="28" customHeight="1">
      <c r="B21" s="135" t="inlineStr">
        <is>
          <t>KPI</t>
        </is>
      </c>
      <c r="C21" s="20" t="n"/>
      <c r="D21" s="121" t="inlineStr">
        <is>
          <t>Selected week</t>
        </is>
      </c>
      <c r="E21" s="121" t="inlineStr">
        <is>
          <t>Previous week</t>
        </is>
      </c>
      <c r="F21" s="121" t="inlineStr">
        <is>
          <t>Change</t>
        </is>
      </c>
      <c r="G21" s="121" t="inlineStr">
        <is>
          <t>% change</t>
        </is>
      </c>
      <c r="H21" s="121">
        <f>"Avg last "&amp;CALC_TRANSPORT!$B$11&amp;" wks"</f>
        <v/>
      </c>
      <c r="I21" s="121">
        <f>"vs "&amp;CALC_TRANSPORT!$B$11&amp;"-wk avg"</f>
        <v/>
      </c>
      <c r="J21" s="121" t="inlineStr">
        <is>
          <t>MTD total</t>
        </is>
      </c>
      <c r="K21" s="121" t="inlineStr">
        <is>
          <t>QTD total</t>
        </is>
      </c>
      <c r="L21" s="121" t="inlineStr">
        <is>
          <t>YTD total</t>
        </is>
      </c>
      <c r="M21" s="121" t="inlineStr">
        <is>
          <t>Wkly avg (month)</t>
        </is>
      </c>
      <c r="N21" s="121" t="inlineStr">
        <is>
          <t>Wkly avg (qtr)</t>
        </is>
      </c>
      <c r="O21" s="121" t="inlineStr">
        <is>
          <t>Wkly avg (year)</t>
        </is>
      </c>
    </row>
    <row r="22">
      <c r="B22" s="136" t="inlineStr">
        <is>
          <t>Riders carried</t>
        </is>
      </c>
      <c r="C22" s="137" t="n"/>
      <c r="D22" s="138">
        <f>IF(CALC_TRANSPORT!$B$90="","–",CALC_TRANSPORT!$B$90)</f>
        <v/>
      </c>
      <c r="E22" s="139">
        <f>IF(CALC_TRANSPORT!$C$90="","–",CALC_TRANSPORT!$C$90)</f>
        <v/>
      </c>
      <c r="F22" s="140">
        <f>IF(CALC_TRANSPORT!$D$90="","–",CALC_TRANSPORT!$D$90)</f>
        <v/>
      </c>
      <c r="G22" s="141">
        <f>IF(CALC_TRANSPORT!$E$90="","–",CALC_TRANSPORT!$E$90)</f>
        <v/>
      </c>
      <c r="H22" s="139">
        <f>IF(CALC_TRANSPORT!$F$90="","–",CALC_TRANSPORT!$F$90)</f>
        <v/>
      </c>
      <c r="I22" s="141">
        <f>IF(CALC_TRANSPORT!$G$90="","–",CALC_TRANSPORT!$G$90)</f>
        <v/>
      </c>
      <c r="J22" s="139">
        <f>IF(CALC_TRANSPORT!$H$90="","–",CALC_TRANSPORT!$H$90)</f>
        <v/>
      </c>
      <c r="K22" s="139">
        <f>IF(CALC_TRANSPORT!$I$90="","–",CALC_TRANSPORT!$I$90)</f>
        <v/>
      </c>
      <c r="L22" s="139">
        <f>IF(CALC_TRANSPORT!$J$90="","–",CALC_TRANSPORT!$J$90)</f>
        <v/>
      </c>
      <c r="M22" s="139">
        <f>IF(CALC_TRANSPORT!$K$90="","–",CALC_TRANSPORT!$K$90)</f>
        <v/>
      </c>
      <c r="N22" s="139">
        <f>IF(CALC_TRANSPORT!$L$90="","–",CALC_TRANSPORT!$L$90)</f>
        <v/>
      </c>
      <c r="O22" s="139">
        <f>IF(CALC_TRANSPORT!$M$90="","–",CALC_TRANSPORT!$M$90)</f>
        <v/>
      </c>
    </row>
    <row r="23">
      <c r="B23" s="66" t="inlineStr">
        <is>
          <t>Buses that ran</t>
        </is>
      </c>
      <c r="D23" s="67">
        <f>IF(CALC_TRANSPORT!$B$91="","–",CALC_TRANSPORT!$B$91)</f>
        <v/>
      </c>
      <c r="E23" s="68">
        <f>IF(CALC_TRANSPORT!$C$91="","–",CALC_TRANSPORT!$C$91)</f>
        <v/>
      </c>
      <c r="F23" s="69">
        <f>IF(CALC_TRANSPORT!$D$91="","–",CALC_TRANSPORT!$D$91)</f>
        <v/>
      </c>
      <c r="G23" s="70">
        <f>IF(CALC_TRANSPORT!$E$91="","–",CALC_TRANSPORT!$E$91)</f>
        <v/>
      </c>
      <c r="H23" s="68">
        <f>IF(CALC_TRANSPORT!$F$91="","–",CALC_TRANSPORT!$F$91)</f>
        <v/>
      </c>
      <c r="I23" s="70">
        <f>IF(CALC_TRANSPORT!$G$91="","–",CALC_TRANSPORT!$G$91)</f>
        <v/>
      </c>
      <c r="J23" s="68">
        <f>IF(CALC_TRANSPORT!$H$91="","–",CALC_TRANSPORT!$H$91)</f>
        <v/>
      </c>
      <c r="K23" s="68">
        <f>IF(CALC_TRANSPORT!$I$91="","–",CALC_TRANSPORT!$I$91)</f>
        <v/>
      </c>
      <c r="L23" s="68">
        <f>IF(CALC_TRANSPORT!$J$91="","–",CALC_TRANSPORT!$J$91)</f>
        <v/>
      </c>
      <c r="M23" s="68">
        <f>IF(CALC_TRANSPORT!$K$91="","–",CALC_TRANSPORT!$K$91)</f>
        <v/>
      </c>
      <c r="N23" s="68">
        <f>IF(CALC_TRANSPORT!$L$91="","–",CALC_TRANSPORT!$L$91)</f>
        <v/>
      </c>
      <c r="O23" s="68">
        <f>IF(CALC_TRANSPORT!$M$91="","–",CALC_TRANSPORT!$M$91)</f>
        <v/>
      </c>
    </row>
    <row r="24">
      <c r="B24" s="142" t="inlineStr">
        <is>
          <t>Buses listed in reports</t>
        </is>
      </c>
      <c r="C24" s="137" t="n"/>
      <c r="D24" s="138">
        <f>IF(CALC_TRANSPORT!$B$92="","–",CALC_TRANSPORT!$B$92)</f>
        <v/>
      </c>
      <c r="E24" s="139">
        <f>IF(CALC_TRANSPORT!$C$92="","–",CALC_TRANSPORT!$C$92)</f>
        <v/>
      </c>
      <c r="F24" s="140">
        <f>IF(CALC_TRANSPORT!$D$92="","–",CALC_TRANSPORT!$D$92)</f>
        <v/>
      </c>
      <c r="G24" s="141">
        <f>IF(CALC_TRANSPORT!$E$92="","–",CALC_TRANSPORT!$E$92)</f>
        <v/>
      </c>
      <c r="H24" s="139">
        <f>IF(CALC_TRANSPORT!$F$92="","–",CALC_TRANSPORT!$F$92)</f>
        <v/>
      </c>
      <c r="I24" s="141">
        <f>IF(CALC_TRANSPORT!$G$92="","–",CALC_TRANSPORT!$G$92)</f>
        <v/>
      </c>
      <c r="J24" s="139">
        <f>IF(CALC_TRANSPORT!$H$92="","–",CALC_TRANSPORT!$H$92)</f>
        <v/>
      </c>
      <c r="K24" s="139">
        <f>IF(CALC_TRANSPORT!$I$92="","–",CALC_TRANSPORT!$I$92)</f>
        <v/>
      </c>
      <c r="L24" s="139">
        <f>IF(CALC_TRANSPORT!$J$92="","–",CALC_TRANSPORT!$J$92)</f>
        <v/>
      </c>
      <c r="M24" s="139">
        <f>IF(CALC_TRANSPORT!$K$92="","–",CALC_TRANSPORT!$K$92)</f>
        <v/>
      </c>
      <c r="N24" s="139">
        <f>IF(CALC_TRANSPORT!$L$92="","–",CALC_TRANSPORT!$L$92)</f>
        <v/>
      </c>
      <c r="O24" s="139">
        <f>IF(CALC_TRANSPORT!$M$92="","–",CALC_TRANSPORT!$M$92)</f>
        <v/>
      </c>
    </row>
    <row r="25">
      <c r="B25" s="66" t="inlineStr">
        <is>
          <t>% buses that ran</t>
        </is>
      </c>
      <c r="D25" s="143">
        <f>IF(CALC_TRANSPORT!$B$93="","–",CALC_TRANSPORT!$B$93)</f>
        <v/>
      </c>
      <c r="E25" s="144">
        <f>IF(CALC_TRANSPORT!$C$93="","–",CALC_TRANSPORT!$C$93)</f>
        <v/>
      </c>
      <c r="F25" s="145">
        <f>IF(CALC_TRANSPORT!$D$93="","–",CALC_TRANSPORT!$D$93*100)</f>
        <v/>
      </c>
      <c r="G25" s="70">
        <f>IF(CALC_TRANSPORT!$E$93="","–",CALC_TRANSPORT!$E$93)</f>
        <v/>
      </c>
      <c r="H25" s="144">
        <f>IF(CALC_TRANSPORT!$F$93="","–",CALC_TRANSPORT!$F$93)</f>
        <v/>
      </c>
      <c r="I25" s="70">
        <f>IF(CALC_TRANSPORT!$G$93="","–",CALC_TRANSPORT!$G$93)</f>
        <v/>
      </c>
      <c r="J25" s="144">
        <f>IF(CALC_TRANSPORT!$H$93="","–",CALC_TRANSPORT!$H$93)</f>
        <v/>
      </c>
      <c r="K25" s="144">
        <f>IF(CALC_TRANSPORT!$I$93="","–",CALC_TRANSPORT!$I$93)</f>
        <v/>
      </c>
      <c r="L25" s="144">
        <f>IF(CALC_TRANSPORT!$J$93="","–",CALC_TRANSPORT!$J$93)</f>
        <v/>
      </c>
      <c r="M25" s="144">
        <f>IF(CALC_TRANSPORT!$K$93="","–",CALC_TRANSPORT!$K$93)</f>
        <v/>
      </c>
      <c r="N25" s="144">
        <f>IF(CALC_TRANSPORT!$L$93="","–",CALC_TRANSPORT!$L$93)</f>
        <v/>
      </c>
      <c r="O25" s="144">
        <f>IF(CALC_TRANSPORT!$M$93="","–",CALC_TRANSPORT!$M$93)</f>
        <v/>
      </c>
    </row>
    <row r="26">
      <c r="B26" s="142" t="inlineStr">
        <is>
          <t>Seats offered</t>
        </is>
      </c>
      <c r="C26" s="137" t="n"/>
      <c r="D26" s="138">
        <f>IF(CALC_TRANSPORT!$B$94="","–",CALC_TRANSPORT!$B$94)</f>
        <v/>
      </c>
      <c r="E26" s="139">
        <f>IF(CALC_TRANSPORT!$C$94="","–",CALC_TRANSPORT!$C$94)</f>
        <v/>
      </c>
      <c r="F26" s="140">
        <f>IF(CALC_TRANSPORT!$D$94="","–",CALC_TRANSPORT!$D$94)</f>
        <v/>
      </c>
      <c r="G26" s="141">
        <f>IF(CALC_TRANSPORT!$E$94="","–",CALC_TRANSPORT!$E$94)</f>
        <v/>
      </c>
      <c r="H26" s="139">
        <f>IF(CALC_TRANSPORT!$F$94="","–",CALC_TRANSPORT!$F$94)</f>
        <v/>
      </c>
      <c r="I26" s="141">
        <f>IF(CALC_TRANSPORT!$G$94="","–",CALC_TRANSPORT!$G$94)</f>
        <v/>
      </c>
      <c r="J26" s="139">
        <f>IF(CALC_TRANSPORT!$H$94="","–",CALC_TRANSPORT!$H$94)</f>
        <v/>
      </c>
      <c r="K26" s="139">
        <f>IF(CALC_TRANSPORT!$I$94="","–",CALC_TRANSPORT!$I$94)</f>
        <v/>
      </c>
      <c r="L26" s="139">
        <f>IF(CALC_TRANSPORT!$J$94="","–",CALC_TRANSPORT!$J$94)</f>
        <v/>
      </c>
      <c r="M26" s="139">
        <f>IF(CALC_TRANSPORT!$K$94="","–",CALC_TRANSPORT!$K$94)</f>
        <v/>
      </c>
      <c r="N26" s="139">
        <f>IF(CALC_TRANSPORT!$L$94="","–",CALC_TRANSPORT!$L$94)</f>
        <v/>
      </c>
      <c r="O26" s="139">
        <f>IF(CALC_TRANSPORT!$M$94="","–",CALC_TRANSPORT!$M$94)</f>
        <v/>
      </c>
    </row>
    <row r="27">
      <c r="B27" s="146" t="inlineStr">
        <is>
          <t>Seat utilisation %</t>
        </is>
      </c>
      <c r="D27" s="143">
        <f>IF(CALC_TRANSPORT!$B$95="","–",CALC_TRANSPORT!$B$95)</f>
        <v/>
      </c>
      <c r="E27" s="144">
        <f>IF(CALC_TRANSPORT!$C$95="","–",CALC_TRANSPORT!$C$95)</f>
        <v/>
      </c>
      <c r="F27" s="145">
        <f>IF(CALC_TRANSPORT!$D$95="","–",CALC_TRANSPORT!$D$95*100)</f>
        <v/>
      </c>
      <c r="G27" s="70">
        <f>IF(CALC_TRANSPORT!$E$95="","–",CALC_TRANSPORT!$E$95)</f>
        <v/>
      </c>
      <c r="H27" s="144">
        <f>IF(CALC_TRANSPORT!$F$95="","–",CALC_TRANSPORT!$F$95)</f>
        <v/>
      </c>
      <c r="I27" s="70">
        <f>IF(CALC_TRANSPORT!$G$95="","–",CALC_TRANSPORT!$G$95)</f>
        <v/>
      </c>
      <c r="J27" s="144">
        <f>IF(CALC_TRANSPORT!$H$95="","–",CALC_TRANSPORT!$H$95)</f>
        <v/>
      </c>
      <c r="K27" s="144">
        <f>IF(CALC_TRANSPORT!$I$95="","–",CALC_TRANSPORT!$I$95)</f>
        <v/>
      </c>
      <c r="L27" s="144">
        <f>IF(CALC_TRANSPORT!$J$95="","–",CALC_TRANSPORT!$J$95)</f>
        <v/>
      </c>
      <c r="M27" s="144">
        <f>IF(CALC_TRANSPORT!$K$95="","–",CALC_TRANSPORT!$K$95)</f>
        <v/>
      </c>
      <c r="N27" s="144">
        <f>IF(CALC_TRANSPORT!$L$95="","–",CALC_TRANSPORT!$L$95)</f>
        <v/>
      </c>
      <c r="O27" s="144">
        <f>IF(CALC_TRANSPORT!$M$95="","–",CALC_TRANSPORT!$M$95)</f>
        <v/>
      </c>
    </row>
    <row r="28">
      <c r="B28" s="136" t="inlineStr">
        <is>
          <t>Total spend</t>
        </is>
      </c>
      <c r="C28" s="137" t="n"/>
      <c r="D28" s="147">
        <f>IF(CALC_TRANSPORT!$B$96="","–",CALC_TRANSPORT!$B$96)</f>
        <v/>
      </c>
      <c r="E28" s="148">
        <f>IF(CALC_TRANSPORT!$C$96="","–",CALC_TRANSPORT!$C$96)</f>
        <v/>
      </c>
      <c r="F28" s="149">
        <f>IF(CALC_TRANSPORT!$D$96="","–",CALC_TRANSPORT!$D$96)</f>
        <v/>
      </c>
      <c r="G28" s="141">
        <f>IF(CALC_TRANSPORT!$E$96="","–",CALC_TRANSPORT!$E$96)</f>
        <v/>
      </c>
      <c r="H28" s="148">
        <f>IF(CALC_TRANSPORT!$F$96="","–",CALC_TRANSPORT!$F$96)</f>
        <v/>
      </c>
      <c r="I28" s="141">
        <f>IF(CALC_TRANSPORT!$G$96="","–",CALC_TRANSPORT!$G$96)</f>
        <v/>
      </c>
      <c r="J28" s="148">
        <f>IF(CALC_TRANSPORT!$H$96="","–",CALC_TRANSPORT!$H$96)</f>
        <v/>
      </c>
      <c r="K28" s="148">
        <f>IF(CALC_TRANSPORT!$I$96="","–",CALC_TRANSPORT!$I$96)</f>
        <v/>
      </c>
      <c r="L28" s="148">
        <f>IF(CALC_TRANSPORT!$J$96="","–",CALC_TRANSPORT!$J$96)</f>
        <v/>
      </c>
      <c r="M28" s="148">
        <f>IF(CALC_TRANSPORT!$K$96="","–",CALC_TRANSPORT!$K$96)</f>
        <v/>
      </c>
      <c r="N28" s="148">
        <f>IF(CALC_TRANSPORT!$L$96="","–",CALC_TRANSPORT!$L$96)</f>
        <v/>
      </c>
      <c r="O28" s="148">
        <f>IF(CALC_TRANSPORT!$M$96="","–",CALC_TRANSPORT!$M$96)</f>
        <v/>
      </c>
    </row>
    <row r="29">
      <c r="B29" s="66" t="inlineStr">
        <is>
          <t>Central spend (FT hire + coaster fuel)</t>
        </is>
      </c>
      <c r="D29" s="150">
        <f>IF(CALC_TRANSPORT!$B$97="","–",CALC_TRANSPORT!$B$97)</f>
        <v/>
      </c>
      <c r="E29" s="151">
        <f>IF(CALC_TRANSPORT!$C$97="","–",CALC_TRANSPORT!$C$97)</f>
        <v/>
      </c>
      <c r="F29" s="152">
        <f>IF(CALC_TRANSPORT!$D$97="","–",CALC_TRANSPORT!$D$97)</f>
        <v/>
      </c>
      <c r="G29" s="70">
        <f>IF(CALC_TRANSPORT!$E$97="","–",CALC_TRANSPORT!$E$97)</f>
        <v/>
      </c>
      <c r="H29" s="151">
        <f>IF(CALC_TRANSPORT!$F$97="","–",CALC_TRANSPORT!$F$97)</f>
        <v/>
      </c>
      <c r="I29" s="70">
        <f>IF(CALC_TRANSPORT!$G$97="","–",CALC_TRANSPORT!$G$97)</f>
        <v/>
      </c>
      <c r="J29" s="151">
        <f>IF(CALC_TRANSPORT!$H$97="","–",CALC_TRANSPORT!$H$97)</f>
        <v/>
      </c>
      <c r="K29" s="151">
        <f>IF(CALC_TRANSPORT!$I$97="","–",CALC_TRANSPORT!$I$97)</f>
        <v/>
      </c>
      <c r="L29" s="151">
        <f>IF(CALC_TRANSPORT!$J$97="","–",CALC_TRANSPORT!$J$97)</f>
        <v/>
      </c>
      <c r="M29" s="151">
        <f>IF(CALC_TRANSPORT!$K$97="","–",CALC_TRANSPORT!$K$97)</f>
        <v/>
      </c>
      <c r="N29" s="151">
        <f>IF(CALC_TRANSPORT!$L$97="","–",CALC_TRANSPORT!$L$97)</f>
        <v/>
      </c>
      <c r="O29" s="151">
        <f>IF(CALC_TRANSPORT!$M$97="","–",CALC_TRANSPORT!$M$97)</f>
        <v/>
      </c>
    </row>
    <row r="30">
      <c r="B30" s="142" t="inlineStr">
        <is>
          <t>Member-paid (WSF Procured)</t>
        </is>
      </c>
      <c r="C30" s="137" t="n"/>
      <c r="D30" s="147">
        <f>IF(CALC_TRANSPORT!$B$98="","–",CALC_TRANSPORT!$B$98)</f>
        <v/>
      </c>
      <c r="E30" s="148">
        <f>IF(CALC_TRANSPORT!$C$98="","–",CALC_TRANSPORT!$C$98)</f>
        <v/>
      </c>
      <c r="F30" s="149">
        <f>IF(CALC_TRANSPORT!$D$98="","–",CALC_TRANSPORT!$D$98)</f>
        <v/>
      </c>
      <c r="G30" s="141">
        <f>IF(CALC_TRANSPORT!$E$98="","–",CALC_TRANSPORT!$E$98)</f>
        <v/>
      </c>
      <c r="H30" s="148">
        <f>IF(CALC_TRANSPORT!$F$98="","–",CALC_TRANSPORT!$F$98)</f>
        <v/>
      </c>
      <c r="I30" s="141">
        <f>IF(CALC_TRANSPORT!$G$98="","–",CALC_TRANSPORT!$G$98)</f>
        <v/>
      </c>
      <c r="J30" s="148">
        <f>IF(CALC_TRANSPORT!$H$98="","–",CALC_TRANSPORT!$H$98)</f>
        <v/>
      </c>
      <c r="K30" s="148">
        <f>IF(CALC_TRANSPORT!$I$98="","–",CALC_TRANSPORT!$I$98)</f>
        <v/>
      </c>
      <c r="L30" s="148">
        <f>IF(CALC_TRANSPORT!$J$98="","–",CALC_TRANSPORT!$J$98)</f>
        <v/>
      </c>
      <c r="M30" s="148">
        <f>IF(CALC_TRANSPORT!$K$98="","–",CALC_TRANSPORT!$K$98)</f>
        <v/>
      </c>
      <c r="N30" s="148">
        <f>IF(CALC_TRANSPORT!$L$98="","–",CALC_TRANSPORT!$L$98)</f>
        <v/>
      </c>
      <c r="O30" s="148">
        <f>IF(CALC_TRANSPORT!$M$98="","–",CALC_TRANSPORT!$M$98)</f>
        <v/>
      </c>
    </row>
    <row r="31">
      <c r="B31" s="66" t="inlineStr">
        <is>
          <t>Coaster fuel paid (hubs)</t>
        </is>
      </c>
      <c r="D31" s="150">
        <f>IF(CALC_TRANSPORT!$B$99="","–",CALC_TRANSPORT!$B$99)</f>
        <v/>
      </c>
      <c r="E31" s="151">
        <f>IF(CALC_TRANSPORT!$C$99="","–",CALC_TRANSPORT!$C$99)</f>
        <v/>
      </c>
      <c r="F31" s="152">
        <f>IF(CALC_TRANSPORT!$D$99="","–",CALC_TRANSPORT!$D$99)</f>
        <v/>
      </c>
      <c r="G31" s="70">
        <f>IF(CALC_TRANSPORT!$E$99="","–",CALC_TRANSPORT!$E$99)</f>
        <v/>
      </c>
      <c r="H31" s="151">
        <f>IF(CALC_TRANSPORT!$F$99="","–",CALC_TRANSPORT!$F$99)</f>
        <v/>
      </c>
      <c r="I31" s="70">
        <f>IF(CALC_TRANSPORT!$G$99="","–",CALC_TRANSPORT!$G$99)</f>
        <v/>
      </c>
      <c r="J31" s="151">
        <f>IF(CALC_TRANSPORT!$H$99="","–",CALC_TRANSPORT!$H$99)</f>
        <v/>
      </c>
      <c r="K31" s="151">
        <f>IF(CALC_TRANSPORT!$I$99="","–",CALC_TRANSPORT!$I$99)</f>
        <v/>
      </c>
      <c r="L31" s="151">
        <f>IF(CALC_TRANSPORT!$J$99="","–",CALC_TRANSPORT!$J$99)</f>
        <v/>
      </c>
      <c r="M31" s="151">
        <f>IF(CALC_TRANSPORT!$K$99="","–",CALC_TRANSPORT!$K$99)</f>
        <v/>
      </c>
      <c r="N31" s="151">
        <f>IF(CALC_TRANSPORT!$L$99="","–",CALC_TRANSPORT!$L$99)</f>
        <v/>
      </c>
      <c r="O31" s="151">
        <f>IF(CALC_TRANSPORT!$M$99="","–",CALC_TRANSPORT!$M$99)</f>
        <v/>
      </c>
    </row>
    <row r="32">
      <c r="B32" s="136" t="inlineStr">
        <is>
          <t>Cost per rider</t>
        </is>
      </c>
      <c r="C32" s="137" t="n"/>
      <c r="D32" s="153">
        <f>IF(CALC_TRANSPORT!$B$100="","–",CALC_TRANSPORT!$B$100)</f>
        <v/>
      </c>
      <c r="E32" s="154">
        <f>IF(CALC_TRANSPORT!$C$100="","–",CALC_TRANSPORT!$C$100)</f>
        <v/>
      </c>
      <c r="F32" s="155">
        <f>IF(CALC_TRANSPORT!$D$100="","–",CALC_TRANSPORT!$D$100)</f>
        <v/>
      </c>
      <c r="G32" s="141">
        <f>IF(CALC_TRANSPORT!$E$100="","–",CALC_TRANSPORT!$E$100)</f>
        <v/>
      </c>
      <c r="H32" s="154">
        <f>IF(CALC_TRANSPORT!$F$100="","–",CALC_TRANSPORT!$F$100)</f>
        <v/>
      </c>
      <c r="I32" s="141">
        <f>IF(CALC_TRANSPORT!$G$100="","–",CALC_TRANSPORT!$G$100)</f>
        <v/>
      </c>
      <c r="J32" s="154">
        <f>IF(CALC_TRANSPORT!$H$100="","–",CALC_TRANSPORT!$H$100)</f>
        <v/>
      </c>
      <c r="K32" s="154">
        <f>IF(CALC_TRANSPORT!$I$100="","–",CALC_TRANSPORT!$I$100)</f>
        <v/>
      </c>
      <c r="L32" s="154">
        <f>IF(CALC_TRANSPORT!$J$100="","–",CALC_TRANSPORT!$J$100)</f>
        <v/>
      </c>
      <c r="M32" s="154">
        <f>IF(CALC_TRANSPORT!$K$100="","–",CALC_TRANSPORT!$K$100)</f>
        <v/>
      </c>
      <c r="N32" s="154">
        <f>IF(CALC_TRANSPORT!$L$100="","–",CALC_TRANSPORT!$L$100)</f>
        <v/>
      </c>
      <c r="O32" s="154">
        <f>IF(CALC_TRANSPORT!$M$100="","–",CALC_TRANSPORT!$M$100)</f>
        <v/>
      </c>
    </row>
    <row r="33">
      <c r="B33" s="66" t="inlineStr">
        <is>
          <t>Cost per bus that ran</t>
        </is>
      </c>
      <c r="D33" s="150">
        <f>IF(CALC_TRANSPORT!$B$101="","–",CALC_TRANSPORT!$B$101)</f>
        <v/>
      </c>
      <c r="E33" s="151">
        <f>IF(CALC_TRANSPORT!$C$101="","–",CALC_TRANSPORT!$C$101)</f>
        <v/>
      </c>
      <c r="F33" s="152">
        <f>IF(CALC_TRANSPORT!$D$101="","–",CALC_TRANSPORT!$D$101)</f>
        <v/>
      </c>
      <c r="G33" s="70">
        <f>IF(CALC_TRANSPORT!$E$101="","–",CALC_TRANSPORT!$E$101)</f>
        <v/>
      </c>
      <c r="H33" s="151">
        <f>IF(CALC_TRANSPORT!$F$101="","–",CALC_TRANSPORT!$F$101)</f>
        <v/>
      </c>
      <c r="I33" s="70">
        <f>IF(CALC_TRANSPORT!$G$101="","–",CALC_TRANSPORT!$G$101)</f>
        <v/>
      </c>
      <c r="J33" s="151">
        <f>IF(CALC_TRANSPORT!$H$101="","–",CALC_TRANSPORT!$H$101)</f>
        <v/>
      </c>
      <c r="K33" s="151">
        <f>IF(CALC_TRANSPORT!$I$101="","–",CALC_TRANSPORT!$I$101)</f>
        <v/>
      </c>
      <c r="L33" s="151">
        <f>IF(CALC_TRANSPORT!$J$101="","–",CALC_TRANSPORT!$J$101)</f>
        <v/>
      </c>
      <c r="M33" s="151">
        <f>IF(CALC_TRANSPORT!$K$101="","–",CALC_TRANSPORT!$K$101)</f>
        <v/>
      </c>
      <c r="N33" s="151">
        <f>IF(CALC_TRANSPORT!$L$101="","–",CALC_TRANSPORT!$L$101)</f>
        <v/>
      </c>
      <c r="O33" s="151">
        <f>IF(CALC_TRANSPORT!$M$101="","–",CALC_TRANSPORT!$M$101)</f>
        <v/>
      </c>
    </row>
    <row r="34">
      <c r="B34" s="142" t="inlineStr">
        <is>
          <t>Cost per seat offered</t>
        </is>
      </c>
      <c r="C34" s="137" t="n"/>
      <c r="D34" s="153">
        <f>IF(CALC_TRANSPORT!$B$102="","–",CALC_TRANSPORT!$B$102)</f>
        <v/>
      </c>
      <c r="E34" s="154">
        <f>IF(CALC_TRANSPORT!$C$102="","–",CALC_TRANSPORT!$C$102)</f>
        <v/>
      </c>
      <c r="F34" s="155">
        <f>IF(CALC_TRANSPORT!$D$102="","–",CALC_TRANSPORT!$D$102)</f>
        <v/>
      </c>
      <c r="G34" s="141">
        <f>IF(CALC_TRANSPORT!$E$102="","–",CALC_TRANSPORT!$E$102)</f>
        <v/>
      </c>
      <c r="H34" s="154">
        <f>IF(CALC_TRANSPORT!$F$102="","–",CALC_TRANSPORT!$F$102)</f>
        <v/>
      </c>
      <c r="I34" s="141">
        <f>IF(CALC_TRANSPORT!$G$102="","–",CALC_TRANSPORT!$G$102)</f>
        <v/>
      </c>
      <c r="J34" s="154">
        <f>IF(CALC_TRANSPORT!$H$102="","–",CALC_TRANSPORT!$H$102)</f>
        <v/>
      </c>
      <c r="K34" s="154">
        <f>IF(CALC_TRANSPORT!$I$102="","–",CALC_TRANSPORT!$I$102)</f>
        <v/>
      </c>
      <c r="L34" s="154">
        <f>IF(CALC_TRANSPORT!$J$102="","–",CALC_TRANSPORT!$J$102)</f>
        <v/>
      </c>
      <c r="M34" s="154">
        <f>IF(CALC_TRANSPORT!$K$102="","–",CALC_TRANSPORT!$K$102)</f>
        <v/>
      </c>
      <c r="N34" s="154">
        <f>IF(CALC_TRANSPORT!$L$102="","–",CALC_TRANSPORT!$L$102)</f>
        <v/>
      </c>
      <c r="O34" s="154">
        <f>IF(CALC_TRANSPORT!$M$102="","–",CALC_TRANSPORT!$M$102)</f>
        <v/>
      </c>
    </row>
    <row r="35">
      <c r="B35" s="66" t="inlineStr">
        <is>
          <t>FT spend vs FT budget</t>
        </is>
      </c>
      <c r="D35" s="143">
        <f>IF(CALC_TRANSPORT!$B$103="","–",CALC_TRANSPORT!$B$103)</f>
        <v/>
      </c>
      <c r="E35" s="144">
        <f>IF(CALC_TRANSPORT!$C$103="","–",CALC_TRANSPORT!$C$103)</f>
        <v/>
      </c>
      <c r="F35" s="145">
        <f>IF(CALC_TRANSPORT!$D$103="","–",CALC_TRANSPORT!$D$103*100)</f>
        <v/>
      </c>
      <c r="G35" s="70">
        <f>IF(CALC_TRANSPORT!$E$103="","–",CALC_TRANSPORT!$E$103)</f>
        <v/>
      </c>
      <c r="H35" s="144">
        <f>IF(CALC_TRANSPORT!$F$103="","–",CALC_TRANSPORT!$F$103)</f>
        <v/>
      </c>
      <c r="I35" s="70">
        <f>IF(CALC_TRANSPORT!$G$103="","–",CALC_TRANSPORT!$G$103)</f>
        <v/>
      </c>
      <c r="J35" s="144">
        <f>IF(CALC_TRANSPORT!$H$103="","–",CALC_TRANSPORT!$H$103)</f>
        <v/>
      </c>
      <c r="K35" s="144">
        <f>IF(CALC_TRANSPORT!$I$103="","–",CALC_TRANSPORT!$I$103)</f>
        <v/>
      </c>
      <c r="L35" s="144">
        <f>IF(CALC_TRANSPORT!$J$103="","–",CALC_TRANSPORT!$J$103)</f>
        <v/>
      </c>
      <c r="M35" s="144">
        <f>IF(CALC_TRANSPORT!$K$103="","–",CALC_TRANSPORT!$K$103)</f>
        <v/>
      </c>
      <c r="N35" s="144">
        <f>IF(CALC_TRANSPORT!$L$103="","–",CALC_TRANSPORT!$L$103)</f>
        <v/>
      </c>
      <c r="O35" s="144">
        <f>IF(CALC_TRANSPORT!$M$103="","–",CALC_TRANSPORT!$M$103)</f>
        <v/>
      </c>
    </row>
    <row r="36">
      <c r="B36" s="142" t="inlineStr">
        <is>
          <t>Breakdowns</t>
        </is>
      </c>
      <c r="C36" s="137" t="n"/>
      <c r="D36" s="138">
        <f>IF(CALC_TRANSPORT!$B$104="","–",CALC_TRANSPORT!$B$104)</f>
        <v/>
      </c>
      <c r="E36" s="139">
        <f>IF(CALC_TRANSPORT!$C$104="","–",CALC_TRANSPORT!$C$104)</f>
        <v/>
      </c>
      <c r="F36" s="140">
        <f>IF(CALC_TRANSPORT!$D$104="","–",CALC_TRANSPORT!$D$104)</f>
        <v/>
      </c>
      <c r="G36" s="141">
        <f>IF(CALC_TRANSPORT!$E$104="","–",CALC_TRANSPORT!$E$104)</f>
        <v/>
      </c>
      <c r="H36" s="139">
        <f>IF(CALC_TRANSPORT!$F$104="","–",CALC_TRANSPORT!$F$104)</f>
        <v/>
      </c>
      <c r="I36" s="141">
        <f>IF(CALC_TRANSPORT!$G$104="","–",CALC_TRANSPORT!$G$104)</f>
        <v/>
      </c>
      <c r="J36" s="139">
        <f>IF(CALC_TRANSPORT!$H$104="","–",CALC_TRANSPORT!$H$104)</f>
        <v/>
      </c>
      <c r="K36" s="139">
        <f>IF(CALC_TRANSPORT!$I$104="","–",CALC_TRANSPORT!$I$104)</f>
        <v/>
      </c>
      <c r="L36" s="139">
        <f>IF(CALC_TRANSPORT!$J$104="","–",CALC_TRANSPORT!$J$104)</f>
        <v/>
      </c>
      <c r="M36" s="139">
        <f>IF(CALC_TRANSPORT!$K$104="","–",CALC_TRANSPORT!$K$104)</f>
        <v/>
      </c>
      <c r="N36" s="139">
        <f>IF(CALC_TRANSPORT!$L$104="","–",CALC_TRANSPORT!$L$104)</f>
        <v/>
      </c>
      <c r="O36" s="139">
        <f>IF(CALC_TRANSPORT!$M$104="","–",CALC_TRANSPORT!$M$104)</f>
        <v/>
      </c>
    </row>
    <row r="37">
      <c r="B37" s="81" t="inlineStr">
        <is>
          <t>Averages use only weeks that have data. MTD/QTD/YTD run to the selected week; ratio rows show the ratio of the period's totals.</t>
        </is>
      </c>
    </row>
    <row r="39" ht="22" customHeight="1">
      <c r="B39" s="118" t="inlineStr">
        <is>
          <t>Trends — last 13 weeks</t>
        </is>
      </c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</row>
    <row r="56" ht="22" customHeight="1">
      <c r="B56" s="118" t="inlineStr">
        <is>
          <t>Optimisation — selected week, by Area</t>
        </is>
      </c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20" t="inlineStr">
        <is>
          <t>Thresholds (UtilLow, UtilHigh, UtilLowWeeks) are on SETTINGS</t>
        </is>
      </c>
    </row>
    <row r="57" ht="20" customHeight="1">
      <c r="B57" s="121" t="inlineStr">
        <is>
          <t>Demand exceeds seats (fullest)</t>
        </is>
      </c>
      <c r="C57" s="20" t="n"/>
      <c r="D57" s="121" t="inlineStr">
        <is>
          <t>Lowest utilisation</t>
        </is>
      </c>
      <c r="E57" s="20" t="n"/>
      <c r="F57" s="121" t="inlineStr">
        <is>
          <t>Highest cost per rider</t>
        </is>
      </c>
      <c r="G57" s="20" t="n"/>
      <c r="H57" s="121" t="inlineStr">
        <is>
          <t>FT spend over budget</t>
        </is>
      </c>
      <c r="I57" s="20" t="n"/>
      <c r="J57" s="121" t="inlineStr">
        <is>
          <t>Most riders</t>
        </is>
      </c>
      <c r="K57" s="20" t="n"/>
      <c r="L57" s="121" t="inlineStr">
        <is>
          <t>Plain-language flags</t>
        </is>
      </c>
      <c r="M57" s="20" t="n"/>
      <c r="N57" s="20" t="n"/>
      <c r="O57" s="20" t="n"/>
    </row>
    <row r="58">
      <c r="B58" s="83">
        <f>IF(CALC_TRANSPORT!$B$3="Zone",IF(0=0,"n/a at Zone scope",""),IF(CALC_TRANSPORT!$BD$3="",IF(0=0,"–",""),1&amp;". "&amp;CALC_TRANSPORT!$BD$3))</f>
        <v/>
      </c>
      <c r="C58" s="85">
        <f>IF(OR(CALC_TRANSPORT!$B$3="Zone",CALC_TRANSPORT!$BD$3=""),"",CALC_TRANSPORT!$BE$3)</f>
        <v/>
      </c>
      <c r="D58" s="83">
        <f>IF(CALC_TRANSPORT!$B$3="Zone",IF(0=0,"n/a at Zone scope",""),IF(CALC_TRANSPORT!$BF$3="",IF(0=0,"–",""),1&amp;". "&amp;CALC_TRANSPORT!$BF$3))</f>
        <v/>
      </c>
      <c r="E58" s="85">
        <f>IF(OR(CALC_TRANSPORT!$B$3="Zone",CALC_TRANSPORT!$BF$3=""),"",CALC_TRANSPORT!$BG$3)</f>
        <v/>
      </c>
      <c r="F58" s="83">
        <f>IF(CALC_TRANSPORT!$B$3="Zone",IF(0=0,"n/a at Zone scope",""),IF(CALC_TRANSPORT!$BH$3="",IF(0=0,"–",""),1&amp;". "&amp;CALC_TRANSPORT!$BH$3))</f>
        <v/>
      </c>
      <c r="G58" s="156">
        <f>IF(OR(CALC_TRANSPORT!$B$3="Zone",CALC_TRANSPORT!$BH$3=""),"",CALC_TRANSPORT!$BI$3)</f>
        <v/>
      </c>
      <c r="H58" s="83">
        <f>IF(CALC_TRANSPORT!$B$3="Zone",IF(0=0,"n/a at Zone scope",""),IF(CALC_TRANSPORT!$BJ$3="",IF(0=0,"–",""),1&amp;". "&amp;CALC_TRANSPORT!$BJ$3))</f>
        <v/>
      </c>
      <c r="I58" s="157">
        <f>IF(OR(CALC_TRANSPORT!$B$3="Zone",CALC_TRANSPORT!$BJ$3=""),"",CALC_TRANSPORT!$BK$3)</f>
        <v/>
      </c>
      <c r="J58" s="83">
        <f>IF(CALC_TRANSPORT!$B$3="Zone",IF(0=0,"n/a at Zone scope",""),IF(CALC_TRANSPORT!$BL$3="",IF(0=0,"–",""),1&amp;". "&amp;CALC_TRANSPORT!$BL$3))</f>
        <v/>
      </c>
      <c r="K58" s="84">
        <f>IF(OR(CALC_TRANSPORT!$B$3="Zone",CALC_TRANSPORT!$BL$3=""),"",CALC_TRANSPORT!$BM$3)</f>
        <v/>
      </c>
      <c r="L58" s="158">
        <f>IF(CALC_TRANSPORT!$B$3="Zone",IF(0=0,"n/a at Zone scope",""),IF(CALC_TRANSPORT!$BN$3="",IF(0=0,"No flags this week",""),"• "&amp;CALC_TRANSPORT!$BN$3))</f>
        <v/>
      </c>
    </row>
    <row r="59">
      <c r="B59" s="83">
        <f>IF(CALC_TRANSPORT!$B$3="Zone",IF(1=0,"n/a at Zone scope",""),IF(CALC_TRANSPORT!$BD$4="",IF(1=0,"–",""),2&amp;". "&amp;CALC_TRANSPORT!$BD$4))</f>
        <v/>
      </c>
      <c r="C59" s="85">
        <f>IF(OR(CALC_TRANSPORT!$B$3="Zone",CALC_TRANSPORT!$BD$4=""),"",CALC_TRANSPORT!$BE$4)</f>
        <v/>
      </c>
      <c r="D59" s="83">
        <f>IF(CALC_TRANSPORT!$B$3="Zone",IF(1=0,"n/a at Zone scope",""),IF(CALC_TRANSPORT!$BF$4="",IF(1=0,"–",""),2&amp;". "&amp;CALC_TRANSPORT!$BF$4))</f>
        <v/>
      </c>
      <c r="E59" s="85">
        <f>IF(OR(CALC_TRANSPORT!$B$3="Zone",CALC_TRANSPORT!$BF$4=""),"",CALC_TRANSPORT!$BG$4)</f>
        <v/>
      </c>
      <c r="F59" s="83">
        <f>IF(CALC_TRANSPORT!$B$3="Zone",IF(1=0,"n/a at Zone scope",""),IF(CALC_TRANSPORT!$BH$4="",IF(1=0,"–",""),2&amp;". "&amp;CALC_TRANSPORT!$BH$4))</f>
        <v/>
      </c>
      <c r="G59" s="156">
        <f>IF(OR(CALC_TRANSPORT!$B$3="Zone",CALC_TRANSPORT!$BH$4=""),"",CALC_TRANSPORT!$BI$4)</f>
        <v/>
      </c>
      <c r="H59" s="83">
        <f>IF(CALC_TRANSPORT!$B$3="Zone",IF(1=0,"n/a at Zone scope",""),IF(CALC_TRANSPORT!$BJ$4="",IF(1=0,"–",""),2&amp;". "&amp;CALC_TRANSPORT!$BJ$4))</f>
        <v/>
      </c>
      <c r="I59" s="157">
        <f>IF(OR(CALC_TRANSPORT!$B$3="Zone",CALC_TRANSPORT!$BJ$4=""),"",CALC_TRANSPORT!$BK$4)</f>
        <v/>
      </c>
      <c r="J59" s="83">
        <f>IF(CALC_TRANSPORT!$B$3="Zone",IF(1=0,"n/a at Zone scope",""),IF(CALC_TRANSPORT!$BL$4="",IF(1=0,"–",""),2&amp;". "&amp;CALC_TRANSPORT!$BL$4))</f>
        <v/>
      </c>
      <c r="K59" s="84">
        <f>IF(OR(CALC_TRANSPORT!$B$3="Zone",CALC_TRANSPORT!$BL$4=""),"",CALC_TRANSPORT!$BM$4)</f>
        <v/>
      </c>
      <c r="L59" s="158">
        <f>IF(CALC_TRANSPORT!$B$3="Zone",IF(1=0,"n/a at Zone scope",""),IF(CALC_TRANSPORT!$BN$4="",IF(1=0,"No flags this week",""),"• "&amp;CALC_TRANSPORT!$BN$4))</f>
        <v/>
      </c>
    </row>
    <row r="60">
      <c r="B60" s="83">
        <f>IF(CALC_TRANSPORT!$B$3="Zone",IF(2=0,"n/a at Zone scope",""),IF(CALC_TRANSPORT!$BD$5="",IF(2=0,"–",""),3&amp;". "&amp;CALC_TRANSPORT!$BD$5))</f>
        <v/>
      </c>
      <c r="C60" s="85">
        <f>IF(OR(CALC_TRANSPORT!$B$3="Zone",CALC_TRANSPORT!$BD$5=""),"",CALC_TRANSPORT!$BE$5)</f>
        <v/>
      </c>
      <c r="D60" s="83">
        <f>IF(CALC_TRANSPORT!$B$3="Zone",IF(2=0,"n/a at Zone scope",""),IF(CALC_TRANSPORT!$BF$5="",IF(2=0,"–",""),3&amp;". "&amp;CALC_TRANSPORT!$BF$5))</f>
        <v/>
      </c>
      <c r="E60" s="85">
        <f>IF(OR(CALC_TRANSPORT!$B$3="Zone",CALC_TRANSPORT!$BF$5=""),"",CALC_TRANSPORT!$BG$5)</f>
        <v/>
      </c>
      <c r="F60" s="83">
        <f>IF(CALC_TRANSPORT!$B$3="Zone",IF(2=0,"n/a at Zone scope",""),IF(CALC_TRANSPORT!$BH$5="",IF(2=0,"–",""),3&amp;". "&amp;CALC_TRANSPORT!$BH$5))</f>
        <v/>
      </c>
      <c r="G60" s="156">
        <f>IF(OR(CALC_TRANSPORT!$B$3="Zone",CALC_TRANSPORT!$BH$5=""),"",CALC_TRANSPORT!$BI$5)</f>
        <v/>
      </c>
      <c r="H60" s="83">
        <f>IF(CALC_TRANSPORT!$B$3="Zone",IF(2=0,"n/a at Zone scope",""),IF(CALC_TRANSPORT!$BJ$5="",IF(2=0,"–",""),3&amp;". "&amp;CALC_TRANSPORT!$BJ$5))</f>
        <v/>
      </c>
      <c r="I60" s="157">
        <f>IF(OR(CALC_TRANSPORT!$B$3="Zone",CALC_TRANSPORT!$BJ$5=""),"",CALC_TRANSPORT!$BK$5)</f>
        <v/>
      </c>
      <c r="J60" s="83">
        <f>IF(CALC_TRANSPORT!$B$3="Zone",IF(2=0,"n/a at Zone scope",""),IF(CALC_TRANSPORT!$BL$5="",IF(2=0,"–",""),3&amp;". "&amp;CALC_TRANSPORT!$BL$5))</f>
        <v/>
      </c>
      <c r="K60" s="84">
        <f>IF(OR(CALC_TRANSPORT!$B$3="Zone",CALC_TRANSPORT!$BL$5=""),"",CALC_TRANSPORT!$BM$5)</f>
        <v/>
      </c>
      <c r="L60" s="158">
        <f>IF(CALC_TRANSPORT!$B$3="Zone",IF(2=0,"n/a at Zone scope",""),IF(CALC_TRANSPORT!$BN$5="",IF(2=0,"No flags this week",""),"• "&amp;CALC_TRANSPORT!$BN$5))</f>
        <v/>
      </c>
    </row>
    <row r="61">
      <c r="B61" s="83">
        <f>IF(CALC_TRANSPORT!$B$3="Zone",IF(3=0,"n/a at Zone scope",""),IF(CALC_TRANSPORT!$BD$6="",IF(3=0,"–",""),4&amp;". "&amp;CALC_TRANSPORT!$BD$6))</f>
        <v/>
      </c>
      <c r="C61" s="85">
        <f>IF(OR(CALC_TRANSPORT!$B$3="Zone",CALC_TRANSPORT!$BD$6=""),"",CALC_TRANSPORT!$BE$6)</f>
        <v/>
      </c>
      <c r="D61" s="83">
        <f>IF(CALC_TRANSPORT!$B$3="Zone",IF(3=0,"n/a at Zone scope",""),IF(CALC_TRANSPORT!$BF$6="",IF(3=0,"–",""),4&amp;". "&amp;CALC_TRANSPORT!$BF$6))</f>
        <v/>
      </c>
      <c r="E61" s="85">
        <f>IF(OR(CALC_TRANSPORT!$B$3="Zone",CALC_TRANSPORT!$BF$6=""),"",CALC_TRANSPORT!$BG$6)</f>
        <v/>
      </c>
      <c r="F61" s="83">
        <f>IF(CALC_TRANSPORT!$B$3="Zone",IF(3=0,"n/a at Zone scope",""),IF(CALC_TRANSPORT!$BH$6="",IF(3=0,"–",""),4&amp;". "&amp;CALC_TRANSPORT!$BH$6))</f>
        <v/>
      </c>
      <c r="G61" s="156">
        <f>IF(OR(CALC_TRANSPORT!$B$3="Zone",CALC_TRANSPORT!$BH$6=""),"",CALC_TRANSPORT!$BI$6)</f>
        <v/>
      </c>
      <c r="H61" s="83">
        <f>IF(CALC_TRANSPORT!$B$3="Zone",IF(3=0,"n/a at Zone scope",""),IF(CALC_TRANSPORT!$BJ$6="",IF(3=0,"–",""),4&amp;". "&amp;CALC_TRANSPORT!$BJ$6))</f>
        <v/>
      </c>
      <c r="I61" s="157">
        <f>IF(OR(CALC_TRANSPORT!$B$3="Zone",CALC_TRANSPORT!$BJ$6=""),"",CALC_TRANSPORT!$BK$6)</f>
        <v/>
      </c>
      <c r="J61" s="83">
        <f>IF(CALC_TRANSPORT!$B$3="Zone",IF(3=0,"n/a at Zone scope",""),IF(CALC_TRANSPORT!$BL$6="",IF(3=0,"–",""),4&amp;". "&amp;CALC_TRANSPORT!$BL$6))</f>
        <v/>
      </c>
      <c r="K61" s="84">
        <f>IF(OR(CALC_TRANSPORT!$B$3="Zone",CALC_TRANSPORT!$BL$6=""),"",CALC_TRANSPORT!$BM$6)</f>
        <v/>
      </c>
      <c r="L61" s="158">
        <f>IF(CALC_TRANSPORT!$B$3="Zone",IF(3=0,"n/a at Zone scope",""),IF(CALC_TRANSPORT!$BN$6="",IF(3=0,"No flags this week",""),"• "&amp;CALC_TRANSPORT!$BN$6))</f>
        <v/>
      </c>
    </row>
    <row r="62">
      <c r="B62" s="83">
        <f>IF(CALC_TRANSPORT!$B$3="Zone",IF(4=0,"n/a at Zone scope",""),IF(CALC_TRANSPORT!$BD$7="",IF(4=0,"–",""),5&amp;". "&amp;CALC_TRANSPORT!$BD$7))</f>
        <v/>
      </c>
      <c r="C62" s="85">
        <f>IF(OR(CALC_TRANSPORT!$B$3="Zone",CALC_TRANSPORT!$BD$7=""),"",CALC_TRANSPORT!$BE$7)</f>
        <v/>
      </c>
      <c r="D62" s="83">
        <f>IF(CALC_TRANSPORT!$B$3="Zone",IF(4=0,"n/a at Zone scope",""),IF(CALC_TRANSPORT!$BF$7="",IF(4=0,"–",""),5&amp;". "&amp;CALC_TRANSPORT!$BF$7))</f>
        <v/>
      </c>
      <c r="E62" s="85">
        <f>IF(OR(CALC_TRANSPORT!$B$3="Zone",CALC_TRANSPORT!$BF$7=""),"",CALC_TRANSPORT!$BG$7)</f>
        <v/>
      </c>
      <c r="F62" s="83">
        <f>IF(CALC_TRANSPORT!$B$3="Zone",IF(4=0,"n/a at Zone scope",""),IF(CALC_TRANSPORT!$BH$7="",IF(4=0,"–",""),5&amp;". "&amp;CALC_TRANSPORT!$BH$7))</f>
        <v/>
      </c>
      <c r="G62" s="156">
        <f>IF(OR(CALC_TRANSPORT!$B$3="Zone",CALC_TRANSPORT!$BH$7=""),"",CALC_TRANSPORT!$BI$7)</f>
        <v/>
      </c>
      <c r="H62" s="83">
        <f>IF(CALC_TRANSPORT!$B$3="Zone",IF(4=0,"n/a at Zone scope",""),IF(CALC_TRANSPORT!$BJ$7="",IF(4=0,"–",""),5&amp;". "&amp;CALC_TRANSPORT!$BJ$7))</f>
        <v/>
      </c>
      <c r="I62" s="157">
        <f>IF(OR(CALC_TRANSPORT!$B$3="Zone",CALC_TRANSPORT!$BJ$7=""),"",CALC_TRANSPORT!$BK$7)</f>
        <v/>
      </c>
      <c r="J62" s="83">
        <f>IF(CALC_TRANSPORT!$B$3="Zone",IF(4=0,"n/a at Zone scope",""),IF(CALC_TRANSPORT!$BL$7="",IF(4=0,"–",""),5&amp;". "&amp;CALC_TRANSPORT!$BL$7))</f>
        <v/>
      </c>
      <c r="K62" s="84">
        <f>IF(OR(CALC_TRANSPORT!$B$3="Zone",CALC_TRANSPORT!$BL$7=""),"",CALC_TRANSPORT!$BM$7)</f>
        <v/>
      </c>
      <c r="L62" s="158">
        <f>IF(CALC_TRANSPORT!$B$3="Zone",IF(4=0,"n/a at Zone scope",""),IF(CALC_TRANSPORT!$BN$7="",IF(4=0,"No flags this week",""),"• "&amp;CALC_TRANSPORT!$BN$7))</f>
        <v/>
      </c>
    </row>
    <row r="63">
      <c r="B63" s="83">
        <f>IF(CALC_TRANSPORT!$B$3="Zone",IF(5=0,"n/a at Zone scope",""),IF(CALC_TRANSPORT!$BD$8="",IF(5=0,"–",""),6&amp;". "&amp;CALC_TRANSPORT!$BD$8))</f>
        <v/>
      </c>
      <c r="C63" s="85">
        <f>IF(OR(CALC_TRANSPORT!$B$3="Zone",CALC_TRANSPORT!$BD$8=""),"",CALC_TRANSPORT!$BE$8)</f>
        <v/>
      </c>
      <c r="D63" s="83">
        <f>IF(CALC_TRANSPORT!$B$3="Zone",IF(5=0,"n/a at Zone scope",""),IF(CALC_TRANSPORT!$BF$8="",IF(5=0,"–",""),6&amp;". "&amp;CALC_TRANSPORT!$BF$8))</f>
        <v/>
      </c>
      <c r="E63" s="85">
        <f>IF(OR(CALC_TRANSPORT!$B$3="Zone",CALC_TRANSPORT!$BF$8=""),"",CALC_TRANSPORT!$BG$8)</f>
        <v/>
      </c>
      <c r="F63" s="83">
        <f>IF(CALC_TRANSPORT!$B$3="Zone",IF(5=0,"n/a at Zone scope",""),IF(CALC_TRANSPORT!$BH$8="",IF(5=0,"–",""),6&amp;". "&amp;CALC_TRANSPORT!$BH$8))</f>
        <v/>
      </c>
      <c r="G63" s="156">
        <f>IF(OR(CALC_TRANSPORT!$B$3="Zone",CALC_TRANSPORT!$BH$8=""),"",CALC_TRANSPORT!$BI$8)</f>
        <v/>
      </c>
      <c r="H63" s="83">
        <f>IF(CALC_TRANSPORT!$B$3="Zone",IF(5=0,"n/a at Zone scope",""),IF(CALC_TRANSPORT!$BJ$8="",IF(5=0,"–",""),6&amp;". "&amp;CALC_TRANSPORT!$BJ$8))</f>
        <v/>
      </c>
      <c r="I63" s="157">
        <f>IF(OR(CALC_TRANSPORT!$B$3="Zone",CALC_TRANSPORT!$BJ$8=""),"",CALC_TRANSPORT!$BK$8)</f>
        <v/>
      </c>
      <c r="J63" s="83">
        <f>IF(CALC_TRANSPORT!$B$3="Zone",IF(5=0,"n/a at Zone scope",""),IF(CALC_TRANSPORT!$BL$8="",IF(5=0,"–",""),6&amp;". "&amp;CALC_TRANSPORT!$BL$8))</f>
        <v/>
      </c>
      <c r="K63" s="84">
        <f>IF(OR(CALC_TRANSPORT!$B$3="Zone",CALC_TRANSPORT!$BL$8=""),"",CALC_TRANSPORT!$BM$8)</f>
        <v/>
      </c>
      <c r="L63" s="158">
        <f>IF(CALC_TRANSPORT!$B$3="Zone",IF(5=0,"n/a at Zone scope",""),IF(CALC_TRANSPORT!$BN$8="",IF(5=0,"No flags this week",""),"• "&amp;CALC_TRANSPORT!$BN$8))</f>
        <v/>
      </c>
    </row>
    <row r="64">
      <c r="B64" s="83">
        <f>IF(CALC_TRANSPORT!$B$3="Zone",IF(6=0,"n/a at Zone scope",""),IF(CALC_TRANSPORT!$BD$9="",IF(6=0,"–",""),7&amp;". "&amp;CALC_TRANSPORT!$BD$9))</f>
        <v/>
      </c>
      <c r="C64" s="85">
        <f>IF(OR(CALC_TRANSPORT!$B$3="Zone",CALC_TRANSPORT!$BD$9=""),"",CALC_TRANSPORT!$BE$9)</f>
        <v/>
      </c>
      <c r="D64" s="83">
        <f>IF(CALC_TRANSPORT!$B$3="Zone",IF(6=0,"n/a at Zone scope",""),IF(CALC_TRANSPORT!$BF$9="",IF(6=0,"–",""),7&amp;". "&amp;CALC_TRANSPORT!$BF$9))</f>
        <v/>
      </c>
      <c r="E64" s="85">
        <f>IF(OR(CALC_TRANSPORT!$B$3="Zone",CALC_TRANSPORT!$BF$9=""),"",CALC_TRANSPORT!$BG$9)</f>
        <v/>
      </c>
      <c r="F64" s="83">
        <f>IF(CALC_TRANSPORT!$B$3="Zone",IF(6=0,"n/a at Zone scope",""),IF(CALC_TRANSPORT!$BH$9="",IF(6=0,"–",""),7&amp;". "&amp;CALC_TRANSPORT!$BH$9))</f>
        <v/>
      </c>
      <c r="G64" s="156">
        <f>IF(OR(CALC_TRANSPORT!$B$3="Zone",CALC_TRANSPORT!$BH$9=""),"",CALC_TRANSPORT!$BI$9)</f>
        <v/>
      </c>
      <c r="H64" s="83">
        <f>IF(CALC_TRANSPORT!$B$3="Zone",IF(6=0,"n/a at Zone scope",""),IF(CALC_TRANSPORT!$BJ$9="",IF(6=0,"–",""),7&amp;". "&amp;CALC_TRANSPORT!$BJ$9))</f>
        <v/>
      </c>
      <c r="I64" s="157">
        <f>IF(OR(CALC_TRANSPORT!$B$3="Zone",CALC_TRANSPORT!$BJ$9=""),"",CALC_TRANSPORT!$BK$9)</f>
        <v/>
      </c>
      <c r="J64" s="83">
        <f>IF(CALC_TRANSPORT!$B$3="Zone",IF(6=0,"n/a at Zone scope",""),IF(CALC_TRANSPORT!$BL$9="",IF(6=0,"–",""),7&amp;". "&amp;CALC_TRANSPORT!$BL$9))</f>
        <v/>
      </c>
      <c r="K64" s="84">
        <f>IF(OR(CALC_TRANSPORT!$B$3="Zone",CALC_TRANSPORT!$BL$9=""),"",CALC_TRANSPORT!$BM$9)</f>
        <v/>
      </c>
      <c r="L64" s="158">
        <f>IF(CALC_TRANSPORT!$B$3="Zone",IF(6=0,"n/a at Zone scope",""),IF(CALC_TRANSPORT!$BN$9="",IF(6=0,"No flags this week",""),"• "&amp;CALC_TRANSPORT!$BN$9))</f>
        <v/>
      </c>
    </row>
    <row r="65">
      <c r="B65" s="83">
        <f>IF(CALC_TRANSPORT!$B$3="Zone",IF(7=0,"n/a at Zone scope",""),IF(CALC_TRANSPORT!$BD$10="",IF(7=0,"–",""),8&amp;". "&amp;CALC_TRANSPORT!$BD$10))</f>
        <v/>
      </c>
      <c r="C65" s="85">
        <f>IF(OR(CALC_TRANSPORT!$B$3="Zone",CALC_TRANSPORT!$BD$10=""),"",CALC_TRANSPORT!$BE$10)</f>
        <v/>
      </c>
      <c r="D65" s="83">
        <f>IF(CALC_TRANSPORT!$B$3="Zone",IF(7=0,"n/a at Zone scope",""),IF(CALC_TRANSPORT!$BF$10="",IF(7=0,"–",""),8&amp;". "&amp;CALC_TRANSPORT!$BF$10))</f>
        <v/>
      </c>
      <c r="E65" s="85">
        <f>IF(OR(CALC_TRANSPORT!$B$3="Zone",CALC_TRANSPORT!$BF$10=""),"",CALC_TRANSPORT!$BG$10)</f>
        <v/>
      </c>
      <c r="F65" s="83">
        <f>IF(CALC_TRANSPORT!$B$3="Zone",IF(7=0,"n/a at Zone scope",""),IF(CALC_TRANSPORT!$BH$10="",IF(7=0,"–",""),8&amp;". "&amp;CALC_TRANSPORT!$BH$10))</f>
        <v/>
      </c>
      <c r="G65" s="156">
        <f>IF(OR(CALC_TRANSPORT!$B$3="Zone",CALC_TRANSPORT!$BH$10=""),"",CALC_TRANSPORT!$BI$10)</f>
        <v/>
      </c>
      <c r="H65" s="83">
        <f>IF(CALC_TRANSPORT!$B$3="Zone",IF(7=0,"n/a at Zone scope",""),IF(CALC_TRANSPORT!$BJ$10="",IF(7=0,"–",""),8&amp;". "&amp;CALC_TRANSPORT!$BJ$10))</f>
        <v/>
      </c>
      <c r="I65" s="157">
        <f>IF(OR(CALC_TRANSPORT!$B$3="Zone",CALC_TRANSPORT!$BJ$10=""),"",CALC_TRANSPORT!$BK$10)</f>
        <v/>
      </c>
      <c r="J65" s="83">
        <f>IF(CALC_TRANSPORT!$B$3="Zone",IF(7=0,"n/a at Zone scope",""),IF(CALC_TRANSPORT!$BL$10="",IF(7=0,"–",""),8&amp;". "&amp;CALC_TRANSPORT!$BL$10))</f>
        <v/>
      </c>
      <c r="K65" s="84">
        <f>IF(OR(CALC_TRANSPORT!$B$3="Zone",CALC_TRANSPORT!$BL$10=""),"",CALC_TRANSPORT!$BM$10)</f>
        <v/>
      </c>
      <c r="L65" s="158">
        <f>IF(CALC_TRANSPORT!$B$3="Zone",IF(7=0,"n/a at Zone scope",""),IF(CALC_TRANSPORT!$BN$10="",IF(7=0,"No flags this week",""),"• "&amp;CALC_TRANSPORT!$BN$10))</f>
        <v/>
      </c>
    </row>
    <row r="66">
      <c r="B66" s="83">
        <f>IF(CALC_TRANSPORT!$B$3="Zone",IF(8=0,"n/a at Zone scope",""),IF(CALC_TRANSPORT!$BD$11="",IF(8=0,"–",""),9&amp;". "&amp;CALC_TRANSPORT!$BD$11))</f>
        <v/>
      </c>
      <c r="C66" s="85">
        <f>IF(OR(CALC_TRANSPORT!$B$3="Zone",CALC_TRANSPORT!$BD$11=""),"",CALC_TRANSPORT!$BE$11)</f>
        <v/>
      </c>
      <c r="D66" s="83">
        <f>IF(CALC_TRANSPORT!$B$3="Zone",IF(8=0,"n/a at Zone scope",""),IF(CALC_TRANSPORT!$BF$11="",IF(8=0,"–",""),9&amp;". "&amp;CALC_TRANSPORT!$BF$11))</f>
        <v/>
      </c>
      <c r="E66" s="85">
        <f>IF(OR(CALC_TRANSPORT!$B$3="Zone",CALC_TRANSPORT!$BF$11=""),"",CALC_TRANSPORT!$BG$11)</f>
        <v/>
      </c>
      <c r="F66" s="83">
        <f>IF(CALC_TRANSPORT!$B$3="Zone",IF(8=0,"n/a at Zone scope",""),IF(CALC_TRANSPORT!$BH$11="",IF(8=0,"–",""),9&amp;". "&amp;CALC_TRANSPORT!$BH$11))</f>
        <v/>
      </c>
      <c r="G66" s="156">
        <f>IF(OR(CALC_TRANSPORT!$B$3="Zone",CALC_TRANSPORT!$BH$11=""),"",CALC_TRANSPORT!$BI$11)</f>
        <v/>
      </c>
      <c r="H66" s="83">
        <f>IF(CALC_TRANSPORT!$B$3="Zone",IF(8=0,"n/a at Zone scope",""),IF(CALC_TRANSPORT!$BJ$11="",IF(8=0,"–",""),9&amp;". "&amp;CALC_TRANSPORT!$BJ$11))</f>
        <v/>
      </c>
      <c r="I66" s="157">
        <f>IF(OR(CALC_TRANSPORT!$B$3="Zone",CALC_TRANSPORT!$BJ$11=""),"",CALC_TRANSPORT!$BK$11)</f>
        <v/>
      </c>
      <c r="J66" s="83">
        <f>IF(CALC_TRANSPORT!$B$3="Zone",IF(8=0,"n/a at Zone scope",""),IF(CALC_TRANSPORT!$BL$11="",IF(8=0,"–",""),9&amp;". "&amp;CALC_TRANSPORT!$BL$11))</f>
        <v/>
      </c>
      <c r="K66" s="84">
        <f>IF(OR(CALC_TRANSPORT!$B$3="Zone",CALC_TRANSPORT!$BL$11=""),"",CALC_TRANSPORT!$BM$11)</f>
        <v/>
      </c>
      <c r="L66" s="158">
        <f>IF(CALC_TRANSPORT!$B$3="Zone",IF(8=0,"n/a at Zone scope",""),IF(CALC_TRANSPORT!$BN$11="",IF(8=0,"No flags this week",""),"• "&amp;CALC_TRANSPORT!$BN$11))</f>
        <v/>
      </c>
    </row>
    <row r="67">
      <c r="B67" s="83">
        <f>IF(CALC_TRANSPORT!$B$3="Zone",IF(9=0,"n/a at Zone scope",""),IF(CALC_TRANSPORT!$BD$12="",IF(9=0,"–",""),10&amp;". "&amp;CALC_TRANSPORT!$BD$12))</f>
        <v/>
      </c>
      <c r="C67" s="85">
        <f>IF(OR(CALC_TRANSPORT!$B$3="Zone",CALC_TRANSPORT!$BD$12=""),"",CALC_TRANSPORT!$BE$12)</f>
        <v/>
      </c>
      <c r="D67" s="83">
        <f>IF(CALC_TRANSPORT!$B$3="Zone",IF(9=0,"n/a at Zone scope",""),IF(CALC_TRANSPORT!$BF$12="",IF(9=0,"–",""),10&amp;". "&amp;CALC_TRANSPORT!$BF$12))</f>
        <v/>
      </c>
      <c r="E67" s="85">
        <f>IF(OR(CALC_TRANSPORT!$B$3="Zone",CALC_TRANSPORT!$BF$12=""),"",CALC_TRANSPORT!$BG$12)</f>
        <v/>
      </c>
      <c r="F67" s="83">
        <f>IF(CALC_TRANSPORT!$B$3="Zone",IF(9=0,"n/a at Zone scope",""),IF(CALC_TRANSPORT!$BH$12="",IF(9=0,"–",""),10&amp;". "&amp;CALC_TRANSPORT!$BH$12))</f>
        <v/>
      </c>
      <c r="G67" s="156">
        <f>IF(OR(CALC_TRANSPORT!$B$3="Zone",CALC_TRANSPORT!$BH$12=""),"",CALC_TRANSPORT!$BI$12)</f>
        <v/>
      </c>
      <c r="H67" s="83">
        <f>IF(CALC_TRANSPORT!$B$3="Zone",IF(9=0,"n/a at Zone scope",""),IF(CALC_TRANSPORT!$BJ$12="",IF(9=0,"–",""),10&amp;". "&amp;CALC_TRANSPORT!$BJ$12))</f>
        <v/>
      </c>
      <c r="I67" s="157">
        <f>IF(OR(CALC_TRANSPORT!$B$3="Zone",CALC_TRANSPORT!$BJ$12=""),"",CALC_TRANSPORT!$BK$12)</f>
        <v/>
      </c>
      <c r="J67" s="83">
        <f>IF(CALC_TRANSPORT!$B$3="Zone",IF(9=0,"n/a at Zone scope",""),IF(CALC_TRANSPORT!$BL$12="",IF(9=0,"–",""),10&amp;". "&amp;CALC_TRANSPORT!$BL$12))</f>
        <v/>
      </c>
      <c r="K67" s="84">
        <f>IF(OR(CALC_TRANSPORT!$B$3="Zone",CALC_TRANSPORT!$BL$12=""),"",CALC_TRANSPORT!$BM$12)</f>
        <v/>
      </c>
      <c r="L67" s="158">
        <f>IF(CALC_TRANSPORT!$B$3="Zone",IF(9=0,"n/a at Zone scope",""),IF(CALC_TRANSPORT!$BN$12="",IF(9=0,"No flags this week",""),"• "&amp;CALC_TRANSPORT!$BN$12))</f>
        <v/>
      </c>
    </row>
    <row r="70" ht="22" customHeight="1">
      <c r="B70" s="118" t="inlineStr">
        <is>
          <t>Operational notes — breakdowns, extra passengers and requests for more buses</t>
        </is>
      </c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 t="n"/>
    </row>
    <row r="71">
      <c r="B71" s="90">
        <f>IF(CALC_TRANSPORT!$BO$1=0,"None reported for the selected week in this scope.",TEXT(CALC_TRANSPORT!$BO$1,"#,##0")&amp;" note(s)"&amp;IF(CALC_TRANSPORT!$BO$1&gt;40," — showing the first 40.","."))</f>
        <v/>
      </c>
    </row>
    <row r="72">
      <c r="B72" s="135" t="inlineStr">
        <is>
          <t>Area</t>
        </is>
      </c>
      <c r="C72" s="20" t="n"/>
      <c r="D72" s="135" t="inlineStr">
        <is>
          <t>Category</t>
        </is>
      </c>
      <c r="E72" s="20" t="n"/>
      <c r="F72" s="135" t="inlineStr">
        <is>
          <t>Location / bus</t>
        </is>
      </c>
      <c r="G72" s="20" t="n"/>
      <c r="H72" s="20" t="n"/>
      <c r="I72" s="20" t="n"/>
      <c r="J72" s="135" t="inlineStr">
        <is>
          <t>Note</t>
        </is>
      </c>
      <c r="K72" s="20" t="n"/>
      <c r="L72" s="135" t="inlineStr">
        <is>
          <t>Details</t>
        </is>
      </c>
      <c r="M72" s="20" t="n"/>
      <c r="N72" s="20" t="n"/>
      <c r="O72" s="20" t="n"/>
    </row>
    <row r="73">
      <c r="B73" s="159">
        <f>CALC_TRANSPORT!$BP$3</f>
        <v/>
      </c>
      <c r="C73" s="137" t="n"/>
      <c r="D73" s="159">
        <f>CALC_TRANSPORT!$BQ$3</f>
        <v/>
      </c>
      <c r="E73" s="137" t="n"/>
      <c r="F73" s="159">
        <f>CALC_TRANSPORT!$BR$3</f>
        <v/>
      </c>
      <c r="G73" s="137" t="n"/>
      <c r="H73" s="137" t="n"/>
      <c r="I73" s="137" t="n"/>
      <c r="J73" s="159">
        <f>CALC_TRANSPORT!$BS$3</f>
        <v/>
      </c>
      <c r="K73" s="137" t="n"/>
      <c r="L73" s="159">
        <f>CALC_TRANSPORT!$BT$3</f>
        <v/>
      </c>
      <c r="M73" s="137" t="n"/>
      <c r="N73" s="137" t="n"/>
      <c r="O73" s="137" t="n"/>
    </row>
    <row r="74">
      <c r="B74" s="87">
        <f>CALC_TRANSPORT!$BP$4</f>
        <v/>
      </c>
      <c r="D74" s="87">
        <f>CALC_TRANSPORT!$BQ$4</f>
        <v/>
      </c>
      <c r="F74" s="87">
        <f>CALC_TRANSPORT!$BR$4</f>
        <v/>
      </c>
      <c r="J74" s="87">
        <f>CALC_TRANSPORT!$BS$4</f>
        <v/>
      </c>
      <c r="L74" s="87">
        <f>CALC_TRANSPORT!$BT$4</f>
        <v/>
      </c>
    </row>
    <row r="75">
      <c r="B75" s="159">
        <f>CALC_TRANSPORT!$BP$5</f>
        <v/>
      </c>
      <c r="C75" s="137" t="n"/>
      <c r="D75" s="159">
        <f>CALC_TRANSPORT!$BQ$5</f>
        <v/>
      </c>
      <c r="E75" s="137" t="n"/>
      <c r="F75" s="159">
        <f>CALC_TRANSPORT!$BR$5</f>
        <v/>
      </c>
      <c r="G75" s="137" t="n"/>
      <c r="H75" s="137" t="n"/>
      <c r="I75" s="137" t="n"/>
      <c r="J75" s="159">
        <f>CALC_TRANSPORT!$BS$5</f>
        <v/>
      </c>
      <c r="K75" s="137" t="n"/>
      <c r="L75" s="159">
        <f>CALC_TRANSPORT!$BT$5</f>
        <v/>
      </c>
      <c r="M75" s="137" t="n"/>
      <c r="N75" s="137" t="n"/>
      <c r="O75" s="137" t="n"/>
    </row>
    <row r="76">
      <c r="B76" s="87">
        <f>CALC_TRANSPORT!$BP$6</f>
        <v/>
      </c>
      <c r="D76" s="87">
        <f>CALC_TRANSPORT!$BQ$6</f>
        <v/>
      </c>
      <c r="F76" s="87">
        <f>CALC_TRANSPORT!$BR$6</f>
        <v/>
      </c>
      <c r="J76" s="87">
        <f>CALC_TRANSPORT!$BS$6</f>
        <v/>
      </c>
      <c r="L76" s="87">
        <f>CALC_TRANSPORT!$BT$6</f>
        <v/>
      </c>
    </row>
    <row r="77">
      <c r="B77" s="159">
        <f>CALC_TRANSPORT!$BP$7</f>
        <v/>
      </c>
      <c r="C77" s="137" t="n"/>
      <c r="D77" s="159">
        <f>CALC_TRANSPORT!$BQ$7</f>
        <v/>
      </c>
      <c r="E77" s="137" t="n"/>
      <c r="F77" s="159">
        <f>CALC_TRANSPORT!$BR$7</f>
        <v/>
      </c>
      <c r="G77" s="137" t="n"/>
      <c r="H77" s="137" t="n"/>
      <c r="I77" s="137" t="n"/>
      <c r="J77" s="159">
        <f>CALC_TRANSPORT!$BS$7</f>
        <v/>
      </c>
      <c r="K77" s="137" t="n"/>
      <c r="L77" s="159">
        <f>CALC_TRANSPORT!$BT$7</f>
        <v/>
      </c>
      <c r="M77" s="137" t="n"/>
      <c r="N77" s="137" t="n"/>
      <c r="O77" s="137" t="n"/>
    </row>
    <row r="78">
      <c r="B78" s="87">
        <f>CALC_TRANSPORT!$BP$8</f>
        <v/>
      </c>
      <c r="D78" s="87">
        <f>CALC_TRANSPORT!$BQ$8</f>
        <v/>
      </c>
      <c r="F78" s="87">
        <f>CALC_TRANSPORT!$BR$8</f>
        <v/>
      </c>
      <c r="J78" s="87">
        <f>CALC_TRANSPORT!$BS$8</f>
        <v/>
      </c>
      <c r="L78" s="87">
        <f>CALC_TRANSPORT!$BT$8</f>
        <v/>
      </c>
    </row>
    <row r="79">
      <c r="B79" s="159">
        <f>CALC_TRANSPORT!$BP$9</f>
        <v/>
      </c>
      <c r="C79" s="137" t="n"/>
      <c r="D79" s="159">
        <f>CALC_TRANSPORT!$BQ$9</f>
        <v/>
      </c>
      <c r="E79" s="137" t="n"/>
      <c r="F79" s="159">
        <f>CALC_TRANSPORT!$BR$9</f>
        <v/>
      </c>
      <c r="G79" s="137" t="n"/>
      <c r="H79" s="137" t="n"/>
      <c r="I79" s="137" t="n"/>
      <c r="J79" s="159">
        <f>CALC_TRANSPORT!$BS$9</f>
        <v/>
      </c>
      <c r="K79" s="137" t="n"/>
      <c r="L79" s="159">
        <f>CALC_TRANSPORT!$BT$9</f>
        <v/>
      </c>
      <c r="M79" s="137" t="n"/>
      <c r="N79" s="137" t="n"/>
      <c r="O79" s="137" t="n"/>
    </row>
    <row r="80">
      <c r="B80" s="87">
        <f>CALC_TRANSPORT!$BP$10</f>
        <v/>
      </c>
      <c r="D80" s="87">
        <f>CALC_TRANSPORT!$BQ$10</f>
        <v/>
      </c>
      <c r="F80" s="87">
        <f>CALC_TRANSPORT!$BR$10</f>
        <v/>
      </c>
      <c r="J80" s="87">
        <f>CALC_TRANSPORT!$BS$10</f>
        <v/>
      </c>
      <c r="L80" s="87">
        <f>CALC_TRANSPORT!$BT$10</f>
        <v/>
      </c>
    </row>
    <row r="81">
      <c r="B81" s="159">
        <f>CALC_TRANSPORT!$BP$11</f>
        <v/>
      </c>
      <c r="C81" s="137" t="n"/>
      <c r="D81" s="159">
        <f>CALC_TRANSPORT!$BQ$11</f>
        <v/>
      </c>
      <c r="E81" s="137" t="n"/>
      <c r="F81" s="159">
        <f>CALC_TRANSPORT!$BR$11</f>
        <v/>
      </c>
      <c r="G81" s="137" t="n"/>
      <c r="H81" s="137" t="n"/>
      <c r="I81" s="137" t="n"/>
      <c r="J81" s="159">
        <f>CALC_TRANSPORT!$BS$11</f>
        <v/>
      </c>
      <c r="K81" s="137" t="n"/>
      <c r="L81" s="159">
        <f>CALC_TRANSPORT!$BT$11</f>
        <v/>
      </c>
      <c r="M81" s="137" t="n"/>
      <c r="N81" s="137" t="n"/>
      <c r="O81" s="137" t="n"/>
    </row>
    <row r="82">
      <c r="B82" s="87">
        <f>CALC_TRANSPORT!$BP$12</f>
        <v/>
      </c>
      <c r="D82" s="87">
        <f>CALC_TRANSPORT!$BQ$12</f>
        <v/>
      </c>
      <c r="F82" s="87">
        <f>CALC_TRANSPORT!$BR$12</f>
        <v/>
      </c>
      <c r="J82" s="87">
        <f>CALC_TRANSPORT!$BS$12</f>
        <v/>
      </c>
      <c r="L82" s="87">
        <f>CALC_TRANSPORT!$BT$12</f>
        <v/>
      </c>
    </row>
    <row r="83">
      <c r="B83" s="159">
        <f>CALC_TRANSPORT!$BP$13</f>
        <v/>
      </c>
      <c r="C83" s="137" t="n"/>
      <c r="D83" s="159">
        <f>CALC_TRANSPORT!$BQ$13</f>
        <v/>
      </c>
      <c r="E83" s="137" t="n"/>
      <c r="F83" s="159">
        <f>CALC_TRANSPORT!$BR$13</f>
        <v/>
      </c>
      <c r="G83" s="137" t="n"/>
      <c r="H83" s="137" t="n"/>
      <c r="I83" s="137" t="n"/>
      <c r="J83" s="159">
        <f>CALC_TRANSPORT!$BS$13</f>
        <v/>
      </c>
      <c r="K83" s="137" t="n"/>
      <c r="L83" s="159">
        <f>CALC_TRANSPORT!$BT$13</f>
        <v/>
      </c>
      <c r="M83" s="137" t="n"/>
      <c r="N83" s="137" t="n"/>
      <c r="O83" s="137" t="n"/>
    </row>
    <row r="84">
      <c r="B84" s="87">
        <f>CALC_TRANSPORT!$BP$14</f>
        <v/>
      </c>
      <c r="D84" s="87">
        <f>CALC_TRANSPORT!$BQ$14</f>
        <v/>
      </c>
      <c r="F84" s="87">
        <f>CALC_TRANSPORT!$BR$14</f>
        <v/>
      </c>
      <c r="J84" s="87">
        <f>CALC_TRANSPORT!$BS$14</f>
        <v/>
      </c>
      <c r="L84" s="87">
        <f>CALC_TRANSPORT!$BT$14</f>
        <v/>
      </c>
    </row>
    <row r="85">
      <c r="B85" s="159">
        <f>CALC_TRANSPORT!$BP$15</f>
        <v/>
      </c>
      <c r="C85" s="137" t="n"/>
      <c r="D85" s="159">
        <f>CALC_TRANSPORT!$BQ$15</f>
        <v/>
      </c>
      <c r="E85" s="137" t="n"/>
      <c r="F85" s="159">
        <f>CALC_TRANSPORT!$BR$15</f>
        <v/>
      </c>
      <c r="G85" s="137" t="n"/>
      <c r="H85" s="137" t="n"/>
      <c r="I85" s="137" t="n"/>
      <c r="J85" s="159">
        <f>CALC_TRANSPORT!$BS$15</f>
        <v/>
      </c>
      <c r="K85" s="137" t="n"/>
      <c r="L85" s="159">
        <f>CALC_TRANSPORT!$BT$15</f>
        <v/>
      </c>
      <c r="M85" s="137" t="n"/>
      <c r="N85" s="137" t="n"/>
      <c r="O85" s="137" t="n"/>
    </row>
    <row r="86">
      <c r="B86" s="87">
        <f>CALC_TRANSPORT!$BP$16</f>
        <v/>
      </c>
      <c r="D86" s="87">
        <f>CALC_TRANSPORT!$BQ$16</f>
        <v/>
      </c>
      <c r="F86" s="87">
        <f>CALC_TRANSPORT!$BR$16</f>
        <v/>
      </c>
      <c r="J86" s="87">
        <f>CALC_TRANSPORT!$BS$16</f>
        <v/>
      </c>
      <c r="L86" s="87">
        <f>CALC_TRANSPORT!$BT$16</f>
        <v/>
      </c>
    </row>
    <row r="87">
      <c r="B87" s="159">
        <f>CALC_TRANSPORT!$BP$17</f>
        <v/>
      </c>
      <c r="C87" s="137" t="n"/>
      <c r="D87" s="159">
        <f>CALC_TRANSPORT!$BQ$17</f>
        <v/>
      </c>
      <c r="E87" s="137" t="n"/>
      <c r="F87" s="159">
        <f>CALC_TRANSPORT!$BR$17</f>
        <v/>
      </c>
      <c r="G87" s="137" t="n"/>
      <c r="H87" s="137" t="n"/>
      <c r="I87" s="137" t="n"/>
      <c r="J87" s="159">
        <f>CALC_TRANSPORT!$BS$17</f>
        <v/>
      </c>
      <c r="K87" s="137" t="n"/>
      <c r="L87" s="159">
        <f>CALC_TRANSPORT!$BT$17</f>
        <v/>
      </c>
      <c r="M87" s="137" t="n"/>
      <c r="N87" s="137" t="n"/>
      <c r="O87" s="137" t="n"/>
    </row>
    <row r="88">
      <c r="B88" s="87">
        <f>CALC_TRANSPORT!$BP$18</f>
        <v/>
      </c>
      <c r="D88" s="87">
        <f>CALC_TRANSPORT!$BQ$18</f>
        <v/>
      </c>
      <c r="F88" s="87">
        <f>CALC_TRANSPORT!$BR$18</f>
        <v/>
      </c>
      <c r="J88" s="87">
        <f>CALC_TRANSPORT!$BS$18</f>
        <v/>
      </c>
      <c r="L88" s="87">
        <f>CALC_TRANSPORT!$BT$18</f>
        <v/>
      </c>
    </row>
    <row r="89">
      <c r="B89" s="159">
        <f>CALC_TRANSPORT!$BP$19</f>
        <v/>
      </c>
      <c r="C89" s="137" t="n"/>
      <c r="D89" s="159">
        <f>CALC_TRANSPORT!$BQ$19</f>
        <v/>
      </c>
      <c r="E89" s="137" t="n"/>
      <c r="F89" s="159">
        <f>CALC_TRANSPORT!$BR$19</f>
        <v/>
      </c>
      <c r="G89" s="137" t="n"/>
      <c r="H89" s="137" t="n"/>
      <c r="I89" s="137" t="n"/>
      <c r="J89" s="159">
        <f>CALC_TRANSPORT!$BS$19</f>
        <v/>
      </c>
      <c r="K89" s="137" t="n"/>
      <c r="L89" s="159">
        <f>CALC_TRANSPORT!$BT$19</f>
        <v/>
      </c>
      <c r="M89" s="137" t="n"/>
      <c r="N89" s="137" t="n"/>
      <c r="O89" s="137" t="n"/>
    </row>
    <row r="90">
      <c r="B90" s="87">
        <f>CALC_TRANSPORT!$BP$20</f>
        <v/>
      </c>
      <c r="D90" s="87">
        <f>CALC_TRANSPORT!$BQ$20</f>
        <v/>
      </c>
      <c r="F90" s="87">
        <f>CALC_TRANSPORT!$BR$20</f>
        <v/>
      </c>
      <c r="J90" s="87">
        <f>CALC_TRANSPORT!$BS$20</f>
        <v/>
      </c>
      <c r="L90" s="87">
        <f>CALC_TRANSPORT!$BT$20</f>
        <v/>
      </c>
    </row>
    <row r="91">
      <c r="B91" s="159">
        <f>CALC_TRANSPORT!$BP$21</f>
        <v/>
      </c>
      <c r="C91" s="137" t="n"/>
      <c r="D91" s="159">
        <f>CALC_TRANSPORT!$BQ$21</f>
        <v/>
      </c>
      <c r="E91" s="137" t="n"/>
      <c r="F91" s="159">
        <f>CALC_TRANSPORT!$BR$21</f>
        <v/>
      </c>
      <c r="G91" s="137" t="n"/>
      <c r="H91" s="137" t="n"/>
      <c r="I91" s="137" t="n"/>
      <c r="J91" s="159">
        <f>CALC_TRANSPORT!$BS$21</f>
        <v/>
      </c>
      <c r="K91" s="137" t="n"/>
      <c r="L91" s="159">
        <f>CALC_TRANSPORT!$BT$21</f>
        <v/>
      </c>
      <c r="M91" s="137" t="n"/>
      <c r="N91" s="137" t="n"/>
      <c r="O91" s="137" t="n"/>
    </row>
    <row r="92">
      <c r="B92" s="87">
        <f>CALC_TRANSPORT!$BP$22</f>
        <v/>
      </c>
      <c r="D92" s="87">
        <f>CALC_TRANSPORT!$BQ$22</f>
        <v/>
      </c>
      <c r="F92" s="87">
        <f>CALC_TRANSPORT!$BR$22</f>
        <v/>
      </c>
      <c r="J92" s="87">
        <f>CALC_TRANSPORT!$BS$22</f>
        <v/>
      </c>
      <c r="L92" s="87">
        <f>CALC_TRANSPORT!$BT$22</f>
        <v/>
      </c>
    </row>
    <row r="93">
      <c r="B93" s="159">
        <f>CALC_TRANSPORT!$BP$23</f>
        <v/>
      </c>
      <c r="C93" s="137" t="n"/>
      <c r="D93" s="159">
        <f>CALC_TRANSPORT!$BQ$23</f>
        <v/>
      </c>
      <c r="E93" s="137" t="n"/>
      <c r="F93" s="159">
        <f>CALC_TRANSPORT!$BR$23</f>
        <v/>
      </c>
      <c r="G93" s="137" t="n"/>
      <c r="H93" s="137" t="n"/>
      <c r="I93" s="137" t="n"/>
      <c r="J93" s="159">
        <f>CALC_TRANSPORT!$BS$23</f>
        <v/>
      </c>
      <c r="K93" s="137" t="n"/>
      <c r="L93" s="159">
        <f>CALC_TRANSPORT!$BT$23</f>
        <v/>
      </c>
      <c r="M93" s="137" t="n"/>
      <c r="N93" s="137" t="n"/>
      <c r="O93" s="137" t="n"/>
    </row>
    <row r="94">
      <c r="B94" s="87">
        <f>CALC_TRANSPORT!$BP$24</f>
        <v/>
      </c>
      <c r="D94" s="87">
        <f>CALC_TRANSPORT!$BQ$24</f>
        <v/>
      </c>
      <c r="F94" s="87">
        <f>CALC_TRANSPORT!$BR$24</f>
        <v/>
      </c>
      <c r="J94" s="87">
        <f>CALC_TRANSPORT!$BS$24</f>
        <v/>
      </c>
      <c r="L94" s="87">
        <f>CALC_TRANSPORT!$BT$24</f>
        <v/>
      </c>
    </row>
    <row r="95">
      <c r="B95" s="159">
        <f>CALC_TRANSPORT!$BP$25</f>
        <v/>
      </c>
      <c r="C95" s="137" t="n"/>
      <c r="D95" s="159">
        <f>CALC_TRANSPORT!$BQ$25</f>
        <v/>
      </c>
      <c r="E95" s="137" t="n"/>
      <c r="F95" s="159">
        <f>CALC_TRANSPORT!$BR$25</f>
        <v/>
      </c>
      <c r="G95" s="137" t="n"/>
      <c r="H95" s="137" t="n"/>
      <c r="I95" s="137" t="n"/>
      <c r="J95" s="159">
        <f>CALC_TRANSPORT!$BS$25</f>
        <v/>
      </c>
      <c r="K95" s="137" t="n"/>
      <c r="L95" s="159">
        <f>CALC_TRANSPORT!$BT$25</f>
        <v/>
      </c>
      <c r="M95" s="137" t="n"/>
      <c r="N95" s="137" t="n"/>
      <c r="O95" s="137" t="n"/>
    </row>
    <row r="96">
      <c r="B96" s="87">
        <f>CALC_TRANSPORT!$BP$26</f>
        <v/>
      </c>
      <c r="D96" s="87">
        <f>CALC_TRANSPORT!$BQ$26</f>
        <v/>
      </c>
      <c r="F96" s="87">
        <f>CALC_TRANSPORT!$BR$26</f>
        <v/>
      </c>
      <c r="J96" s="87">
        <f>CALC_TRANSPORT!$BS$26</f>
        <v/>
      </c>
      <c r="L96" s="87">
        <f>CALC_TRANSPORT!$BT$26</f>
        <v/>
      </c>
    </row>
    <row r="97">
      <c r="B97" s="159">
        <f>CALC_TRANSPORT!$BP$27</f>
        <v/>
      </c>
      <c r="C97" s="137" t="n"/>
      <c r="D97" s="159">
        <f>CALC_TRANSPORT!$BQ$27</f>
        <v/>
      </c>
      <c r="E97" s="137" t="n"/>
      <c r="F97" s="159">
        <f>CALC_TRANSPORT!$BR$27</f>
        <v/>
      </c>
      <c r="G97" s="137" t="n"/>
      <c r="H97" s="137" t="n"/>
      <c r="I97" s="137" t="n"/>
      <c r="J97" s="159">
        <f>CALC_TRANSPORT!$BS$27</f>
        <v/>
      </c>
      <c r="K97" s="137" t="n"/>
      <c r="L97" s="159">
        <f>CALC_TRANSPORT!$BT$27</f>
        <v/>
      </c>
      <c r="M97" s="137" t="n"/>
      <c r="N97" s="137" t="n"/>
      <c r="O97" s="137" t="n"/>
    </row>
    <row r="98">
      <c r="B98" s="87">
        <f>CALC_TRANSPORT!$BP$28</f>
        <v/>
      </c>
      <c r="D98" s="87">
        <f>CALC_TRANSPORT!$BQ$28</f>
        <v/>
      </c>
      <c r="F98" s="87">
        <f>CALC_TRANSPORT!$BR$28</f>
        <v/>
      </c>
      <c r="J98" s="87">
        <f>CALC_TRANSPORT!$BS$28</f>
        <v/>
      </c>
      <c r="L98" s="87">
        <f>CALC_TRANSPORT!$BT$28</f>
        <v/>
      </c>
    </row>
    <row r="99">
      <c r="B99" s="159">
        <f>CALC_TRANSPORT!$BP$29</f>
        <v/>
      </c>
      <c r="C99" s="137" t="n"/>
      <c r="D99" s="159">
        <f>CALC_TRANSPORT!$BQ$29</f>
        <v/>
      </c>
      <c r="E99" s="137" t="n"/>
      <c r="F99" s="159">
        <f>CALC_TRANSPORT!$BR$29</f>
        <v/>
      </c>
      <c r="G99" s="137" t="n"/>
      <c r="H99" s="137" t="n"/>
      <c r="I99" s="137" t="n"/>
      <c r="J99" s="159">
        <f>CALC_TRANSPORT!$BS$29</f>
        <v/>
      </c>
      <c r="K99" s="137" t="n"/>
      <c r="L99" s="159">
        <f>CALC_TRANSPORT!$BT$29</f>
        <v/>
      </c>
      <c r="M99" s="137" t="n"/>
      <c r="N99" s="137" t="n"/>
      <c r="O99" s="137" t="n"/>
    </row>
    <row r="100">
      <c r="B100" s="87">
        <f>CALC_TRANSPORT!$BP$30</f>
        <v/>
      </c>
      <c r="D100" s="87">
        <f>CALC_TRANSPORT!$BQ$30</f>
        <v/>
      </c>
      <c r="F100" s="87">
        <f>CALC_TRANSPORT!$BR$30</f>
        <v/>
      </c>
      <c r="J100" s="87">
        <f>CALC_TRANSPORT!$BS$30</f>
        <v/>
      </c>
      <c r="L100" s="87">
        <f>CALC_TRANSPORT!$BT$30</f>
        <v/>
      </c>
    </row>
    <row r="101">
      <c r="B101" s="159">
        <f>CALC_TRANSPORT!$BP$31</f>
        <v/>
      </c>
      <c r="C101" s="137" t="n"/>
      <c r="D101" s="159">
        <f>CALC_TRANSPORT!$BQ$31</f>
        <v/>
      </c>
      <c r="E101" s="137" t="n"/>
      <c r="F101" s="159">
        <f>CALC_TRANSPORT!$BR$31</f>
        <v/>
      </c>
      <c r="G101" s="137" t="n"/>
      <c r="H101" s="137" t="n"/>
      <c r="I101" s="137" t="n"/>
      <c r="J101" s="159">
        <f>CALC_TRANSPORT!$BS$31</f>
        <v/>
      </c>
      <c r="K101" s="137" t="n"/>
      <c r="L101" s="159">
        <f>CALC_TRANSPORT!$BT$31</f>
        <v/>
      </c>
      <c r="M101" s="137" t="n"/>
      <c r="N101" s="137" t="n"/>
      <c r="O101" s="137" t="n"/>
    </row>
    <row r="102">
      <c r="B102" s="87">
        <f>CALC_TRANSPORT!$BP$32</f>
        <v/>
      </c>
      <c r="D102" s="87">
        <f>CALC_TRANSPORT!$BQ$32</f>
        <v/>
      </c>
      <c r="F102" s="87">
        <f>CALC_TRANSPORT!$BR$32</f>
        <v/>
      </c>
      <c r="J102" s="87">
        <f>CALC_TRANSPORT!$BS$32</f>
        <v/>
      </c>
      <c r="L102" s="87">
        <f>CALC_TRANSPORT!$BT$32</f>
        <v/>
      </c>
    </row>
    <row r="103">
      <c r="B103" s="159">
        <f>CALC_TRANSPORT!$BP$33</f>
        <v/>
      </c>
      <c r="C103" s="137" t="n"/>
      <c r="D103" s="159">
        <f>CALC_TRANSPORT!$BQ$33</f>
        <v/>
      </c>
      <c r="E103" s="137" t="n"/>
      <c r="F103" s="159">
        <f>CALC_TRANSPORT!$BR$33</f>
        <v/>
      </c>
      <c r="G103" s="137" t="n"/>
      <c r="H103" s="137" t="n"/>
      <c r="I103" s="137" t="n"/>
      <c r="J103" s="159">
        <f>CALC_TRANSPORT!$BS$33</f>
        <v/>
      </c>
      <c r="K103" s="137" t="n"/>
      <c r="L103" s="159">
        <f>CALC_TRANSPORT!$BT$33</f>
        <v/>
      </c>
      <c r="M103" s="137" t="n"/>
      <c r="N103" s="137" t="n"/>
      <c r="O103" s="137" t="n"/>
    </row>
    <row r="104">
      <c r="B104" s="87">
        <f>CALC_TRANSPORT!$BP$34</f>
        <v/>
      </c>
      <c r="D104" s="87">
        <f>CALC_TRANSPORT!$BQ$34</f>
        <v/>
      </c>
      <c r="F104" s="87">
        <f>CALC_TRANSPORT!$BR$34</f>
        <v/>
      </c>
      <c r="J104" s="87">
        <f>CALC_TRANSPORT!$BS$34</f>
        <v/>
      </c>
      <c r="L104" s="87">
        <f>CALC_TRANSPORT!$BT$34</f>
        <v/>
      </c>
    </row>
    <row r="105">
      <c r="B105" s="159">
        <f>CALC_TRANSPORT!$BP$35</f>
        <v/>
      </c>
      <c r="C105" s="137" t="n"/>
      <c r="D105" s="159">
        <f>CALC_TRANSPORT!$BQ$35</f>
        <v/>
      </c>
      <c r="E105" s="137" t="n"/>
      <c r="F105" s="159">
        <f>CALC_TRANSPORT!$BR$35</f>
        <v/>
      </c>
      <c r="G105" s="137" t="n"/>
      <c r="H105" s="137" t="n"/>
      <c r="I105" s="137" t="n"/>
      <c r="J105" s="159">
        <f>CALC_TRANSPORT!$BS$35</f>
        <v/>
      </c>
      <c r="K105" s="137" t="n"/>
      <c r="L105" s="159">
        <f>CALC_TRANSPORT!$BT$35</f>
        <v/>
      </c>
      <c r="M105" s="137" t="n"/>
      <c r="N105" s="137" t="n"/>
      <c r="O105" s="137" t="n"/>
    </row>
    <row r="106">
      <c r="B106" s="87">
        <f>CALC_TRANSPORT!$BP$36</f>
        <v/>
      </c>
      <c r="D106" s="87">
        <f>CALC_TRANSPORT!$BQ$36</f>
        <v/>
      </c>
      <c r="F106" s="87">
        <f>CALC_TRANSPORT!$BR$36</f>
        <v/>
      </c>
      <c r="J106" s="87">
        <f>CALC_TRANSPORT!$BS$36</f>
        <v/>
      </c>
      <c r="L106" s="87">
        <f>CALC_TRANSPORT!$BT$36</f>
        <v/>
      </c>
    </row>
    <row r="107">
      <c r="B107" s="159">
        <f>CALC_TRANSPORT!$BP$37</f>
        <v/>
      </c>
      <c r="C107" s="137" t="n"/>
      <c r="D107" s="159">
        <f>CALC_TRANSPORT!$BQ$37</f>
        <v/>
      </c>
      <c r="E107" s="137" t="n"/>
      <c r="F107" s="159">
        <f>CALC_TRANSPORT!$BR$37</f>
        <v/>
      </c>
      <c r="G107" s="137" t="n"/>
      <c r="H107" s="137" t="n"/>
      <c r="I107" s="137" t="n"/>
      <c r="J107" s="159">
        <f>CALC_TRANSPORT!$BS$37</f>
        <v/>
      </c>
      <c r="K107" s="137" t="n"/>
      <c r="L107" s="159">
        <f>CALC_TRANSPORT!$BT$37</f>
        <v/>
      </c>
      <c r="M107" s="137" t="n"/>
      <c r="N107" s="137" t="n"/>
      <c r="O107" s="137" t="n"/>
    </row>
    <row r="108">
      <c r="B108" s="87">
        <f>CALC_TRANSPORT!$BP$38</f>
        <v/>
      </c>
      <c r="D108" s="87">
        <f>CALC_TRANSPORT!$BQ$38</f>
        <v/>
      </c>
      <c r="F108" s="87">
        <f>CALC_TRANSPORT!$BR$38</f>
        <v/>
      </c>
      <c r="J108" s="87">
        <f>CALC_TRANSPORT!$BS$38</f>
        <v/>
      </c>
      <c r="L108" s="87">
        <f>CALC_TRANSPORT!$BT$38</f>
        <v/>
      </c>
    </row>
    <row r="109">
      <c r="B109" s="159">
        <f>CALC_TRANSPORT!$BP$39</f>
        <v/>
      </c>
      <c r="C109" s="137" t="n"/>
      <c r="D109" s="159">
        <f>CALC_TRANSPORT!$BQ$39</f>
        <v/>
      </c>
      <c r="E109" s="137" t="n"/>
      <c r="F109" s="159">
        <f>CALC_TRANSPORT!$BR$39</f>
        <v/>
      </c>
      <c r="G109" s="137" t="n"/>
      <c r="H109" s="137" t="n"/>
      <c r="I109" s="137" t="n"/>
      <c r="J109" s="159">
        <f>CALC_TRANSPORT!$BS$39</f>
        <v/>
      </c>
      <c r="K109" s="137" t="n"/>
      <c r="L109" s="159">
        <f>CALC_TRANSPORT!$BT$39</f>
        <v/>
      </c>
      <c r="M109" s="137" t="n"/>
      <c r="N109" s="137" t="n"/>
      <c r="O109" s="137" t="n"/>
    </row>
    <row r="110">
      <c r="B110" s="87">
        <f>CALC_TRANSPORT!$BP$40</f>
        <v/>
      </c>
      <c r="D110" s="87">
        <f>CALC_TRANSPORT!$BQ$40</f>
        <v/>
      </c>
      <c r="F110" s="87">
        <f>CALC_TRANSPORT!$BR$40</f>
        <v/>
      </c>
      <c r="J110" s="87">
        <f>CALC_TRANSPORT!$BS$40</f>
        <v/>
      </c>
      <c r="L110" s="87">
        <f>CALC_TRANSPORT!$BT$40</f>
        <v/>
      </c>
    </row>
    <row r="111">
      <c r="B111" s="159">
        <f>CALC_TRANSPORT!$BP$41</f>
        <v/>
      </c>
      <c r="C111" s="137" t="n"/>
      <c r="D111" s="159">
        <f>CALC_TRANSPORT!$BQ$41</f>
        <v/>
      </c>
      <c r="E111" s="137" t="n"/>
      <c r="F111" s="159">
        <f>CALC_TRANSPORT!$BR$41</f>
        <v/>
      </c>
      <c r="G111" s="137" t="n"/>
      <c r="H111" s="137" t="n"/>
      <c r="I111" s="137" t="n"/>
      <c r="J111" s="159">
        <f>CALC_TRANSPORT!$BS$41</f>
        <v/>
      </c>
      <c r="K111" s="137" t="n"/>
      <c r="L111" s="159">
        <f>CALC_TRANSPORT!$BT$41</f>
        <v/>
      </c>
      <c r="M111" s="137" t="n"/>
      <c r="N111" s="137" t="n"/>
      <c r="O111" s="137" t="n"/>
    </row>
    <row r="112">
      <c r="B112" s="87">
        <f>CALC_TRANSPORT!$BP$42</f>
        <v/>
      </c>
      <c r="D112" s="87">
        <f>CALC_TRANSPORT!$BQ$42</f>
        <v/>
      </c>
      <c r="F112" s="87">
        <f>CALC_TRANSPORT!$BR$42</f>
        <v/>
      </c>
      <c r="J112" s="87">
        <f>CALC_TRANSPORT!$BS$42</f>
        <v/>
      </c>
      <c r="L112" s="87">
        <f>CALC_TRANSPORT!$BT$42</f>
        <v/>
      </c>
    </row>
  </sheetData>
  <mergeCells count="282">
    <mergeCell ref="B91:C91"/>
    <mergeCell ref="J82:K82"/>
    <mergeCell ref="B100:C100"/>
    <mergeCell ref="D100:E100"/>
    <mergeCell ref="H10:I10"/>
    <mergeCell ref="L96:O96"/>
    <mergeCell ref="J10:K10"/>
    <mergeCell ref="L90:O90"/>
    <mergeCell ref="L105:O105"/>
    <mergeCell ref="B22:C22"/>
    <mergeCell ref="D84:E84"/>
    <mergeCell ref="B93:C93"/>
    <mergeCell ref="L99:O99"/>
    <mergeCell ref="B31:C31"/>
    <mergeCell ref="F82:I82"/>
    <mergeCell ref="B102:C102"/>
    <mergeCell ref="B110:C110"/>
    <mergeCell ref="H9:I9"/>
    <mergeCell ref="J9:K9"/>
    <mergeCell ref="B77:C77"/>
    <mergeCell ref="B21:C21"/>
    <mergeCell ref="D77:E77"/>
    <mergeCell ref="B86:C86"/>
    <mergeCell ref="D108:E108"/>
    <mergeCell ref="D86:E86"/>
    <mergeCell ref="L77:O77"/>
    <mergeCell ref="L82:O82"/>
    <mergeCell ref="L91:O91"/>
    <mergeCell ref="B14:C14"/>
    <mergeCell ref="B101:C101"/>
    <mergeCell ref="F103:I103"/>
    <mergeCell ref="L67:O67"/>
    <mergeCell ref="J108:K108"/>
    <mergeCell ref="B13:C13"/>
    <mergeCell ref="L75:O75"/>
    <mergeCell ref="F84:I84"/>
    <mergeCell ref="J86:K86"/>
    <mergeCell ref="B78:C78"/>
    <mergeCell ref="D7:E7"/>
    <mergeCell ref="D72:E72"/>
    <mergeCell ref="D78:E78"/>
    <mergeCell ref="J95:K95"/>
    <mergeCell ref="B112:C112"/>
    <mergeCell ref="D112:E112"/>
    <mergeCell ref="L3:O3"/>
    <mergeCell ref="B37:O37"/>
    <mergeCell ref="F86:I86"/>
    <mergeCell ref="F80:I80"/>
    <mergeCell ref="F95:I95"/>
    <mergeCell ref="B24:C24"/>
    <mergeCell ref="F79:I79"/>
    <mergeCell ref="B33:C33"/>
    <mergeCell ref="B104:C104"/>
    <mergeCell ref="D98:E98"/>
    <mergeCell ref="D73:E73"/>
    <mergeCell ref="F97:I97"/>
    <mergeCell ref="L102:O102"/>
    <mergeCell ref="L4:O4"/>
    <mergeCell ref="B32:C32"/>
    <mergeCell ref="F72:I72"/>
    <mergeCell ref="L109:O109"/>
    <mergeCell ref="B26:C26"/>
    <mergeCell ref="D88:E88"/>
    <mergeCell ref="F81:I81"/>
    <mergeCell ref="C3:D3"/>
    <mergeCell ref="F57:G57"/>
    <mergeCell ref="B35:C35"/>
    <mergeCell ref="B106:C106"/>
    <mergeCell ref="J110:K110"/>
    <mergeCell ref="L79:O79"/>
    <mergeCell ref="B16:C16"/>
    <mergeCell ref="F96:I96"/>
    <mergeCell ref="D10:E10"/>
    <mergeCell ref="L7:M7"/>
    <mergeCell ref="B25:C25"/>
    <mergeCell ref="F10:G10"/>
    <mergeCell ref="N7:O7"/>
    <mergeCell ref="J73:K73"/>
    <mergeCell ref="B90:C90"/>
    <mergeCell ref="D90:E90"/>
    <mergeCell ref="F105:I105"/>
    <mergeCell ref="L72:O72"/>
    <mergeCell ref="D99:E99"/>
    <mergeCell ref="J57:K57"/>
    <mergeCell ref="L81:O81"/>
    <mergeCell ref="J88:K88"/>
    <mergeCell ref="B18:C18"/>
    <mergeCell ref="B27:C27"/>
    <mergeCell ref="J93:K93"/>
    <mergeCell ref="F98:I98"/>
    <mergeCell ref="J102:K102"/>
    <mergeCell ref="F107:I107"/>
    <mergeCell ref="C4:D4"/>
    <mergeCell ref="L65:O65"/>
    <mergeCell ref="B71:O71"/>
    <mergeCell ref="J77:K77"/>
    <mergeCell ref="D101:E101"/>
    <mergeCell ref="F88:I88"/>
    <mergeCell ref="L110:O110"/>
    <mergeCell ref="J99:K99"/>
    <mergeCell ref="D76:E76"/>
    <mergeCell ref="J83:K83"/>
    <mergeCell ref="L107:O107"/>
    <mergeCell ref="D75:E75"/>
    <mergeCell ref="F99:I99"/>
    <mergeCell ref="J101:K101"/>
    <mergeCell ref="L57:O57"/>
    <mergeCell ref="F108:I108"/>
    <mergeCell ref="L66:O66"/>
    <mergeCell ref="B29:C29"/>
    <mergeCell ref="J103:K103"/>
    <mergeCell ref="F83:I83"/>
    <mergeCell ref="J85:K85"/>
    <mergeCell ref="J100:K100"/>
    <mergeCell ref="B103:C103"/>
    <mergeCell ref="J94:K94"/>
    <mergeCell ref="D103:E103"/>
    <mergeCell ref="L106:O106"/>
    <mergeCell ref="B84:C84"/>
    <mergeCell ref="J75:K75"/>
    <mergeCell ref="L93:O93"/>
    <mergeCell ref="D9:E9"/>
    <mergeCell ref="F9:G9"/>
    <mergeCell ref="F85:I85"/>
    <mergeCell ref="F94:I94"/>
    <mergeCell ref="D110:E110"/>
    <mergeCell ref="L83:O83"/>
    <mergeCell ref="B15:C15"/>
    <mergeCell ref="L92:O92"/>
    <mergeCell ref="F75:I75"/>
    <mergeCell ref="B80:C80"/>
    <mergeCell ref="B95:C95"/>
    <mergeCell ref="F109:I109"/>
    <mergeCell ref="B89:C89"/>
    <mergeCell ref="D89:E89"/>
    <mergeCell ref="B5:O5"/>
    <mergeCell ref="B79:C79"/>
    <mergeCell ref="L85:O85"/>
    <mergeCell ref="D79:E79"/>
    <mergeCell ref="L94:O94"/>
    <mergeCell ref="J97:K97"/>
    <mergeCell ref="B97:C97"/>
    <mergeCell ref="F111:I111"/>
    <mergeCell ref="L84:O84"/>
    <mergeCell ref="J111:K111"/>
    <mergeCell ref="B7:C7"/>
    <mergeCell ref="B72:C72"/>
    <mergeCell ref="J81:K81"/>
    <mergeCell ref="B81:C81"/>
    <mergeCell ref="D81:E81"/>
    <mergeCell ref="L59:O59"/>
    <mergeCell ref="B96:C96"/>
    <mergeCell ref="D96:E96"/>
    <mergeCell ref="L80:O80"/>
    <mergeCell ref="B105:C105"/>
    <mergeCell ref="F7:G7"/>
    <mergeCell ref="D105:E105"/>
    <mergeCell ref="L61:O61"/>
    <mergeCell ref="F73:I73"/>
    <mergeCell ref="B98:C98"/>
    <mergeCell ref="F87:I87"/>
    <mergeCell ref="J89:K89"/>
    <mergeCell ref="B107:C107"/>
    <mergeCell ref="D107:E107"/>
    <mergeCell ref="B17:C17"/>
    <mergeCell ref="L8:M8"/>
    <mergeCell ref="B57:C57"/>
    <mergeCell ref="J74:K74"/>
    <mergeCell ref="N8:O8"/>
    <mergeCell ref="B82:C82"/>
    <mergeCell ref="B88:C88"/>
    <mergeCell ref="F8:G8"/>
    <mergeCell ref="D91:E91"/>
    <mergeCell ref="L98:O98"/>
    <mergeCell ref="L112:O112"/>
    <mergeCell ref="F89:I89"/>
    <mergeCell ref="B34:C34"/>
    <mergeCell ref="L10:M10"/>
    <mergeCell ref="F74:I74"/>
    <mergeCell ref="B28:C28"/>
    <mergeCell ref="N10:O10"/>
    <mergeCell ref="B99:C99"/>
    <mergeCell ref="D106:E106"/>
    <mergeCell ref="H57:I57"/>
    <mergeCell ref="D93:E93"/>
    <mergeCell ref="B108:C108"/>
    <mergeCell ref="D102:E102"/>
    <mergeCell ref="B9:C9"/>
    <mergeCell ref="J91:K91"/>
    <mergeCell ref="B83:C83"/>
    <mergeCell ref="L9:M9"/>
    <mergeCell ref="D83:E83"/>
    <mergeCell ref="N9:O9"/>
    <mergeCell ref="F76:I76"/>
    <mergeCell ref="B30:C30"/>
    <mergeCell ref="B92:C92"/>
    <mergeCell ref="D92:E92"/>
    <mergeCell ref="F101:I101"/>
    <mergeCell ref="L74:O74"/>
    <mergeCell ref="J106:K106"/>
    <mergeCell ref="F110:I110"/>
    <mergeCell ref="L88:O88"/>
    <mergeCell ref="B76:C76"/>
    <mergeCell ref="F91:I91"/>
    <mergeCell ref="B85:C85"/>
    <mergeCell ref="F100:I100"/>
    <mergeCell ref="L58:O58"/>
    <mergeCell ref="E4:G4"/>
    <mergeCell ref="D85:E85"/>
    <mergeCell ref="B94:C94"/>
    <mergeCell ref="D94:E94"/>
    <mergeCell ref="L76:O76"/>
    <mergeCell ref="B75:C75"/>
    <mergeCell ref="J92:K92"/>
    <mergeCell ref="F93:I93"/>
    <mergeCell ref="B109:C109"/>
    <mergeCell ref="D109:E109"/>
    <mergeCell ref="F102:I102"/>
    <mergeCell ref="L60:O60"/>
    <mergeCell ref="L100:O100"/>
    <mergeCell ref="J72:K72"/>
    <mergeCell ref="F77:I77"/>
    <mergeCell ref="J112:K112"/>
    <mergeCell ref="F92:I92"/>
    <mergeCell ref="D80:E80"/>
    <mergeCell ref="D111:E111"/>
    <mergeCell ref="J84:K84"/>
    <mergeCell ref="J78:K78"/>
    <mergeCell ref="J87:K87"/>
    <mergeCell ref="L111:O111"/>
    <mergeCell ref="D95:E95"/>
    <mergeCell ref="D104:E104"/>
    <mergeCell ref="L108:O108"/>
    <mergeCell ref="D57:E57"/>
    <mergeCell ref="L86:O86"/>
    <mergeCell ref="B111:C111"/>
    <mergeCell ref="L95:O95"/>
    <mergeCell ref="B23:C23"/>
    <mergeCell ref="J98:K98"/>
    <mergeCell ref="F78:I78"/>
    <mergeCell ref="J80:K80"/>
    <mergeCell ref="J107:K107"/>
    <mergeCell ref="F112:I112"/>
    <mergeCell ref="D97:E97"/>
    <mergeCell ref="L101:O101"/>
    <mergeCell ref="B8:C8"/>
    <mergeCell ref="I3:J3"/>
    <mergeCell ref="B73:C73"/>
    <mergeCell ref="J79:K79"/>
    <mergeCell ref="B87:C87"/>
    <mergeCell ref="L97:O97"/>
    <mergeCell ref="L103:O103"/>
    <mergeCell ref="D87:E87"/>
    <mergeCell ref="J104:K104"/>
    <mergeCell ref="H7:I7"/>
    <mergeCell ref="L78:O78"/>
    <mergeCell ref="B10:C10"/>
    <mergeCell ref="J7:K7"/>
    <mergeCell ref="L87:O87"/>
    <mergeCell ref="E3:G3"/>
    <mergeCell ref="F104:I104"/>
    <mergeCell ref="L62:O62"/>
    <mergeCell ref="J109:K109"/>
    <mergeCell ref="J96:K96"/>
    <mergeCell ref="D8:E8"/>
    <mergeCell ref="B74:C74"/>
    <mergeCell ref="J90:K90"/>
    <mergeCell ref="D74:E74"/>
    <mergeCell ref="I4:J4"/>
    <mergeCell ref="L89:O89"/>
    <mergeCell ref="J105:K105"/>
    <mergeCell ref="D82:E82"/>
    <mergeCell ref="F106:I106"/>
    <mergeCell ref="L64:O64"/>
    <mergeCell ref="L73:O73"/>
    <mergeCell ref="J76:K76"/>
    <mergeCell ref="B36:C36"/>
    <mergeCell ref="L104:O104"/>
    <mergeCell ref="F90:I90"/>
    <mergeCell ref="H8:I8"/>
    <mergeCell ref="J8:K8"/>
    <mergeCell ref="L63:O63"/>
  </mergeCells>
  <conditionalFormatting sqref="B9">
    <cfRule type="expression" priority="1" dxfId="0">
      <formula>LEFT(B9,1)="▲"</formula>
    </cfRule>
    <cfRule type="expression" priority="2" dxfId="1">
      <formula>LEFT(B9,1)="▼"</formula>
    </cfRule>
  </conditionalFormatting>
  <conditionalFormatting sqref="D9">
    <cfRule type="expression" priority="3" dxfId="0">
      <formula>LEFT(D9,1)="▲"</formula>
    </cfRule>
    <cfRule type="expression" priority="4" dxfId="1">
      <formula>LEFT(D9,1)="▼"</formula>
    </cfRule>
  </conditionalFormatting>
  <conditionalFormatting sqref="F9">
    <cfRule type="expression" priority="5" dxfId="0">
      <formula>LEFT(F9,1)="▲"</formula>
    </cfRule>
    <cfRule type="expression" priority="6" dxfId="1">
      <formula>LEFT(F9,1)="▼"</formula>
    </cfRule>
  </conditionalFormatting>
  <conditionalFormatting sqref="F8">
    <cfRule type="expression" priority="7" dxfId="2">
      <formula>AND(ISNUMBER(F8),F8&gt;=RAG_Green)</formula>
    </cfRule>
    <cfRule type="expression" priority="8" dxfId="3">
      <formula>AND(ISNUMBER(F8),F8&gt;=RAG_Amber,F8&lt;RAG_Green)</formula>
    </cfRule>
    <cfRule type="expression" priority="9" dxfId="4">
      <formula>AND(ISNUMBER(F8),F8&lt;RAG_Amber)</formula>
    </cfRule>
  </conditionalFormatting>
  <conditionalFormatting sqref="H9">
    <cfRule type="expression" priority="10" dxfId="1">
      <formula>LEFT(H9,1)="▲"</formula>
    </cfRule>
    <cfRule type="expression" priority="11" dxfId="0">
      <formula>LEFT(H9,1)="▼"</formula>
    </cfRule>
  </conditionalFormatting>
  <conditionalFormatting sqref="J9">
    <cfRule type="expression" priority="12" dxfId="1">
      <formula>LEFT(J9,1)="▲"</formula>
    </cfRule>
    <cfRule type="expression" priority="13" dxfId="0">
      <formula>LEFT(J9,1)="▼"</formula>
    </cfRule>
  </conditionalFormatting>
  <conditionalFormatting sqref="L9">
    <cfRule type="expression" priority="14" dxfId="1">
      <formula>LEFT(L9,1)="▲"</formula>
    </cfRule>
    <cfRule type="expression" priority="15" dxfId="0">
      <formula>LEFT(L9,1)="▼"</formula>
    </cfRule>
  </conditionalFormatting>
  <conditionalFormatting sqref="N9">
    <cfRule type="expression" priority="16" dxfId="1">
      <formula>LEFT(N9,1)="▲"</formula>
    </cfRule>
    <cfRule type="expression" priority="17" dxfId="0">
      <formula>LEFT(N9,1)="▼"</formula>
    </cfRule>
  </conditionalFormatting>
  <conditionalFormatting sqref="I14:I18">
    <cfRule type="expression" priority="18" dxfId="2">
      <formula>AND(ISNUMBER(I14),I14&gt;=RAG_Green)</formula>
    </cfRule>
    <cfRule type="expression" priority="19" dxfId="3">
      <formula>AND(ISNUMBER(I14),I14&gt;=RAG_Amber,I14&lt;RAG_Green)</formula>
    </cfRule>
    <cfRule type="expression" priority="20" dxfId="4">
      <formula>AND(ISNUMBER(I14),I14&lt;RAG_Amber)</formula>
    </cfRule>
  </conditionalFormatting>
  <conditionalFormatting sqref="N14:N18">
    <cfRule type="expression" priority="21" dxfId="5">
      <formula>AND(ISNUMBER(N14),N14&gt;0)</formula>
    </cfRule>
    <cfRule type="expression" priority="22" dxfId="6">
      <formula>AND(ISNUMBER(N14),N14&lt;0)</formula>
    </cfRule>
  </conditionalFormatting>
  <conditionalFormatting sqref="K14:K17">
    <cfRule type="dataBar" priority="23">
      <dataBar>
        <cfvo type="num" val="0"/>
        <cfvo type="max"/>
        <color rgb="00E6A46A"/>
      </dataBar>
    </cfRule>
  </conditionalFormatting>
  <conditionalFormatting sqref="F22">
    <cfRule type="expression" priority="24" dxfId="5">
      <formula>AND(ISNUMBER(F22),F22&gt;0)</formula>
    </cfRule>
    <cfRule type="expression" priority="25" dxfId="6">
      <formula>AND(ISNUMBER(F22),F22&lt;0)</formula>
    </cfRule>
  </conditionalFormatting>
  <conditionalFormatting sqref="G22">
    <cfRule type="expression" priority="26" dxfId="5">
      <formula>AND(ISNUMBER(G22),G22&gt;0)</formula>
    </cfRule>
    <cfRule type="expression" priority="27" dxfId="6">
      <formula>AND(ISNUMBER(G22),G22&lt;0)</formula>
    </cfRule>
  </conditionalFormatting>
  <conditionalFormatting sqref="I22">
    <cfRule type="expression" priority="28" dxfId="5">
      <formula>AND(ISNUMBER(I22),I22&gt;0)</formula>
    </cfRule>
    <cfRule type="expression" priority="29" dxfId="6">
      <formula>AND(ISNUMBER(I22),I22&lt;0)</formula>
    </cfRule>
  </conditionalFormatting>
  <conditionalFormatting sqref="F23">
    <cfRule type="expression" priority="30" dxfId="5">
      <formula>AND(ISNUMBER(F23),F23&gt;0)</formula>
    </cfRule>
    <cfRule type="expression" priority="31" dxfId="6">
      <formula>AND(ISNUMBER(F23),F23&lt;0)</formula>
    </cfRule>
  </conditionalFormatting>
  <conditionalFormatting sqref="G23">
    <cfRule type="expression" priority="32" dxfId="5">
      <formula>AND(ISNUMBER(G23),G23&gt;0)</formula>
    </cfRule>
    <cfRule type="expression" priority="33" dxfId="6">
      <formula>AND(ISNUMBER(G23),G23&lt;0)</formula>
    </cfRule>
  </conditionalFormatting>
  <conditionalFormatting sqref="I23">
    <cfRule type="expression" priority="34" dxfId="5">
      <formula>AND(ISNUMBER(I23),I23&gt;0)</formula>
    </cfRule>
    <cfRule type="expression" priority="35" dxfId="6">
      <formula>AND(ISNUMBER(I23),I23&lt;0)</formula>
    </cfRule>
  </conditionalFormatting>
  <conditionalFormatting sqref="F24">
    <cfRule type="expression" priority="36" dxfId="5">
      <formula>AND(ISNUMBER(F24),F24&gt;0)</formula>
    </cfRule>
    <cfRule type="expression" priority="37" dxfId="6">
      <formula>AND(ISNUMBER(F24),F24&lt;0)</formula>
    </cfRule>
  </conditionalFormatting>
  <conditionalFormatting sqref="G24">
    <cfRule type="expression" priority="38" dxfId="5">
      <formula>AND(ISNUMBER(G24),G24&gt;0)</formula>
    </cfRule>
    <cfRule type="expression" priority="39" dxfId="6">
      <formula>AND(ISNUMBER(G24),G24&lt;0)</formula>
    </cfRule>
  </conditionalFormatting>
  <conditionalFormatting sqref="I24">
    <cfRule type="expression" priority="40" dxfId="5">
      <formula>AND(ISNUMBER(I24),I24&gt;0)</formula>
    </cfRule>
    <cfRule type="expression" priority="41" dxfId="6">
      <formula>AND(ISNUMBER(I24),I24&lt;0)</formula>
    </cfRule>
  </conditionalFormatting>
  <conditionalFormatting sqref="F25">
    <cfRule type="expression" priority="42" dxfId="5">
      <formula>AND(ISNUMBER(F25),F25&gt;0)</formula>
    </cfRule>
    <cfRule type="expression" priority="43" dxfId="6">
      <formula>AND(ISNUMBER(F25),F25&lt;0)</formula>
    </cfRule>
  </conditionalFormatting>
  <conditionalFormatting sqref="G25">
    <cfRule type="expression" priority="44" dxfId="5">
      <formula>AND(ISNUMBER(G25),G25&gt;0)</formula>
    </cfRule>
    <cfRule type="expression" priority="45" dxfId="6">
      <formula>AND(ISNUMBER(G25),G25&lt;0)</formula>
    </cfRule>
  </conditionalFormatting>
  <conditionalFormatting sqref="I25">
    <cfRule type="expression" priority="46" dxfId="5">
      <formula>AND(ISNUMBER(I25),I25&gt;0)</formula>
    </cfRule>
    <cfRule type="expression" priority="47" dxfId="6">
      <formula>AND(ISNUMBER(I25),I25&lt;0)</formula>
    </cfRule>
  </conditionalFormatting>
  <conditionalFormatting sqref="F26">
    <cfRule type="expression" priority="48" dxfId="5">
      <formula>AND(ISNUMBER(F26),F26&gt;0)</formula>
    </cfRule>
    <cfRule type="expression" priority="49" dxfId="6">
      <formula>AND(ISNUMBER(F26),F26&lt;0)</formula>
    </cfRule>
  </conditionalFormatting>
  <conditionalFormatting sqref="G26">
    <cfRule type="expression" priority="50" dxfId="5">
      <formula>AND(ISNUMBER(G26),G26&gt;0)</formula>
    </cfRule>
    <cfRule type="expression" priority="51" dxfId="6">
      <formula>AND(ISNUMBER(G26),G26&lt;0)</formula>
    </cfRule>
  </conditionalFormatting>
  <conditionalFormatting sqref="I26">
    <cfRule type="expression" priority="52" dxfId="5">
      <formula>AND(ISNUMBER(I26),I26&gt;0)</formula>
    </cfRule>
    <cfRule type="expression" priority="53" dxfId="6">
      <formula>AND(ISNUMBER(I26),I26&lt;0)</formula>
    </cfRule>
  </conditionalFormatting>
  <conditionalFormatting sqref="F27">
    <cfRule type="expression" priority="54" dxfId="5">
      <formula>AND(ISNUMBER(F27),F27&gt;0)</formula>
    </cfRule>
    <cfRule type="expression" priority="55" dxfId="6">
      <formula>AND(ISNUMBER(F27),F27&lt;0)</formula>
    </cfRule>
  </conditionalFormatting>
  <conditionalFormatting sqref="G27">
    <cfRule type="expression" priority="56" dxfId="5">
      <formula>AND(ISNUMBER(G27),G27&gt;0)</formula>
    </cfRule>
    <cfRule type="expression" priority="57" dxfId="6">
      <formula>AND(ISNUMBER(G27),G27&lt;0)</formula>
    </cfRule>
  </conditionalFormatting>
  <conditionalFormatting sqref="I27">
    <cfRule type="expression" priority="58" dxfId="5">
      <formula>AND(ISNUMBER(I27),I27&gt;0)</formula>
    </cfRule>
    <cfRule type="expression" priority="59" dxfId="6">
      <formula>AND(ISNUMBER(I27),I27&lt;0)</formula>
    </cfRule>
  </conditionalFormatting>
  <conditionalFormatting sqref="D27:E27">
    <cfRule type="expression" priority="60" dxfId="2">
      <formula>AND(ISNUMBER(D27),D27&gt;=RAG_Green)</formula>
    </cfRule>
    <cfRule type="expression" priority="61" dxfId="3">
      <formula>AND(ISNUMBER(D27),D27&gt;=RAG_Amber,D27&lt;RAG_Green)</formula>
    </cfRule>
    <cfRule type="expression" priority="62" dxfId="4">
      <formula>AND(ISNUMBER(D27),D27&lt;RAG_Amber)</formula>
    </cfRule>
  </conditionalFormatting>
  <conditionalFormatting sqref="F28">
    <cfRule type="expression" priority="63" dxfId="5">
      <formula>AND(ISNUMBER(F28),F28&gt;0)</formula>
    </cfRule>
    <cfRule type="expression" priority="64" dxfId="6">
      <formula>AND(ISNUMBER(F28),F28&lt;0)</formula>
    </cfRule>
  </conditionalFormatting>
  <conditionalFormatting sqref="G28">
    <cfRule type="expression" priority="65" dxfId="5">
      <formula>AND(ISNUMBER(G28),G28&gt;0)</formula>
    </cfRule>
    <cfRule type="expression" priority="66" dxfId="6">
      <formula>AND(ISNUMBER(G28),G28&lt;0)</formula>
    </cfRule>
  </conditionalFormatting>
  <conditionalFormatting sqref="I28">
    <cfRule type="expression" priority="67" dxfId="5">
      <formula>AND(ISNUMBER(I28),I28&gt;0)</formula>
    </cfRule>
    <cfRule type="expression" priority="68" dxfId="6">
      <formula>AND(ISNUMBER(I28),I28&lt;0)</formula>
    </cfRule>
  </conditionalFormatting>
  <conditionalFormatting sqref="F29">
    <cfRule type="expression" priority="69" dxfId="5">
      <formula>AND(ISNUMBER(F29),F29&gt;0)</formula>
    </cfRule>
    <cfRule type="expression" priority="70" dxfId="6">
      <formula>AND(ISNUMBER(F29),F29&lt;0)</formula>
    </cfRule>
  </conditionalFormatting>
  <conditionalFormatting sqref="G29">
    <cfRule type="expression" priority="71" dxfId="5">
      <formula>AND(ISNUMBER(G29),G29&gt;0)</formula>
    </cfRule>
    <cfRule type="expression" priority="72" dxfId="6">
      <formula>AND(ISNUMBER(G29),G29&lt;0)</formula>
    </cfRule>
  </conditionalFormatting>
  <conditionalFormatting sqref="I29">
    <cfRule type="expression" priority="73" dxfId="5">
      <formula>AND(ISNUMBER(I29),I29&gt;0)</formula>
    </cfRule>
    <cfRule type="expression" priority="74" dxfId="6">
      <formula>AND(ISNUMBER(I29),I29&lt;0)</formula>
    </cfRule>
  </conditionalFormatting>
  <conditionalFormatting sqref="F30">
    <cfRule type="expression" priority="75" dxfId="5">
      <formula>AND(ISNUMBER(F30),F30&gt;0)</formula>
    </cfRule>
    <cfRule type="expression" priority="76" dxfId="6">
      <formula>AND(ISNUMBER(F30),F30&lt;0)</formula>
    </cfRule>
  </conditionalFormatting>
  <conditionalFormatting sqref="G30">
    <cfRule type="expression" priority="77" dxfId="5">
      <formula>AND(ISNUMBER(G30),G30&gt;0)</formula>
    </cfRule>
    <cfRule type="expression" priority="78" dxfId="6">
      <formula>AND(ISNUMBER(G30),G30&lt;0)</formula>
    </cfRule>
  </conditionalFormatting>
  <conditionalFormatting sqref="I30">
    <cfRule type="expression" priority="79" dxfId="5">
      <formula>AND(ISNUMBER(I30),I30&gt;0)</formula>
    </cfRule>
    <cfRule type="expression" priority="80" dxfId="6">
      <formula>AND(ISNUMBER(I30),I30&lt;0)</formula>
    </cfRule>
  </conditionalFormatting>
  <conditionalFormatting sqref="F31">
    <cfRule type="expression" priority="81" dxfId="5">
      <formula>AND(ISNUMBER(F31),F31&gt;0)</formula>
    </cfRule>
    <cfRule type="expression" priority="82" dxfId="6">
      <formula>AND(ISNUMBER(F31),F31&lt;0)</formula>
    </cfRule>
  </conditionalFormatting>
  <conditionalFormatting sqref="G31">
    <cfRule type="expression" priority="83" dxfId="5">
      <formula>AND(ISNUMBER(G31),G31&gt;0)</formula>
    </cfRule>
    <cfRule type="expression" priority="84" dxfId="6">
      <formula>AND(ISNUMBER(G31),G31&lt;0)</formula>
    </cfRule>
  </conditionalFormatting>
  <conditionalFormatting sqref="I31">
    <cfRule type="expression" priority="85" dxfId="5">
      <formula>AND(ISNUMBER(I31),I31&gt;0)</formula>
    </cfRule>
    <cfRule type="expression" priority="86" dxfId="6">
      <formula>AND(ISNUMBER(I31),I31&lt;0)</formula>
    </cfRule>
  </conditionalFormatting>
  <conditionalFormatting sqref="F32">
    <cfRule type="expression" priority="87" dxfId="5">
      <formula>AND(ISNUMBER(F32),F32&gt;0)</formula>
    </cfRule>
    <cfRule type="expression" priority="88" dxfId="6">
      <formula>AND(ISNUMBER(F32),F32&lt;0)</formula>
    </cfRule>
  </conditionalFormatting>
  <conditionalFormatting sqref="G32">
    <cfRule type="expression" priority="89" dxfId="5">
      <formula>AND(ISNUMBER(G32),G32&gt;0)</formula>
    </cfRule>
    <cfRule type="expression" priority="90" dxfId="6">
      <formula>AND(ISNUMBER(G32),G32&lt;0)</formula>
    </cfRule>
  </conditionalFormatting>
  <conditionalFormatting sqref="I32">
    <cfRule type="expression" priority="91" dxfId="5">
      <formula>AND(ISNUMBER(I32),I32&gt;0)</formula>
    </cfRule>
    <cfRule type="expression" priority="92" dxfId="6">
      <formula>AND(ISNUMBER(I32),I32&lt;0)</formula>
    </cfRule>
  </conditionalFormatting>
  <conditionalFormatting sqref="F33">
    <cfRule type="expression" priority="93" dxfId="5">
      <formula>AND(ISNUMBER(F33),F33&gt;0)</formula>
    </cfRule>
    <cfRule type="expression" priority="94" dxfId="6">
      <formula>AND(ISNUMBER(F33),F33&lt;0)</formula>
    </cfRule>
  </conditionalFormatting>
  <conditionalFormatting sqref="G33">
    <cfRule type="expression" priority="95" dxfId="5">
      <formula>AND(ISNUMBER(G33),G33&gt;0)</formula>
    </cfRule>
    <cfRule type="expression" priority="96" dxfId="6">
      <formula>AND(ISNUMBER(G33),G33&lt;0)</formula>
    </cfRule>
  </conditionalFormatting>
  <conditionalFormatting sqref="I33">
    <cfRule type="expression" priority="97" dxfId="5">
      <formula>AND(ISNUMBER(I33),I33&gt;0)</formula>
    </cfRule>
    <cfRule type="expression" priority="98" dxfId="6">
      <formula>AND(ISNUMBER(I33),I33&lt;0)</formula>
    </cfRule>
  </conditionalFormatting>
  <conditionalFormatting sqref="F34">
    <cfRule type="expression" priority="99" dxfId="5">
      <formula>AND(ISNUMBER(F34),F34&gt;0)</formula>
    </cfRule>
    <cfRule type="expression" priority="100" dxfId="6">
      <formula>AND(ISNUMBER(F34),F34&lt;0)</formula>
    </cfRule>
  </conditionalFormatting>
  <conditionalFormatting sqref="G34">
    <cfRule type="expression" priority="101" dxfId="5">
      <formula>AND(ISNUMBER(G34),G34&gt;0)</formula>
    </cfRule>
    <cfRule type="expression" priority="102" dxfId="6">
      <formula>AND(ISNUMBER(G34),G34&lt;0)</formula>
    </cfRule>
  </conditionalFormatting>
  <conditionalFormatting sqref="I34">
    <cfRule type="expression" priority="103" dxfId="5">
      <formula>AND(ISNUMBER(I34),I34&gt;0)</formula>
    </cfRule>
    <cfRule type="expression" priority="104" dxfId="6">
      <formula>AND(ISNUMBER(I34),I34&lt;0)</formula>
    </cfRule>
  </conditionalFormatting>
  <conditionalFormatting sqref="F35">
    <cfRule type="expression" priority="105" dxfId="5">
      <formula>AND(ISNUMBER(F35),F35&gt;0)</formula>
    </cfRule>
    <cfRule type="expression" priority="106" dxfId="6">
      <formula>AND(ISNUMBER(F35),F35&lt;0)</formula>
    </cfRule>
  </conditionalFormatting>
  <conditionalFormatting sqref="G35">
    <cfRule type="expression" priority="107" dxfId="5">
      <formula>AND(ISNUMBER(G35),G35&gt;0)</formula>
    </cfRule>
    <cfRule type="expression" priority="108" dxfId="6">
      <formula>AND(ISNUMBER(G35),G35&lt;0)</formula>
    </cfRule>
  </conditionalFormatting>
  <conditionalFormatting sqref="I35">
    <cfRule type="expression" priority="109" dxfId="5">
      <formula>AND(ISNUMBER(I35),I35&gt;0)</formula>
    </cfRule>
    <cfRule type="expression" priority="110" dxfId="6">
      <formula>AND(ISNUMBER(I35),I35&lt;0)</formula>
    </cfRule>
  </conditionalFormatting>
  <conditionalFormatting sqref="F36">
    <cfRule type="expression" priority="111" dxfId="5">
      <formula>AND(ISNUMBER(F36),F36&gt;0)</formula>
    </cfRule>
    <cfRule type="expression" priority="112" dxfId="6">
      <formula>AND(ISNUMBER(F36),F36&lt;0)</formula>
    </cfRule>
  </conditionalFormatting>
  <conditionalFormatting sqref="G36">
    <cfRule type="expression" priority="113" dxfId="5">
      <formula>AND(ISNUMBER(G36),G36&gt;0)</formula>
    </cfRule>
    <cfRule type="expression" priority="114" dxfId="6">
      <formula>AND(ISNUMBER(G36),G36&lt;0)</formula>
    </cfRule>
  </conditionalFormatting>
  <conditionalFormatting sqref="I36">
    <cfRule type="expression" priority="115" dxfId="5">
      <formula>AND(ISNUMBER(I36),I36&gt;0)</formula>
    </cfRule>
    <cfRule type="expression" priority="116" dxfId="6">
      <formula>AND(ISNUMBER(I36),I36&lt;0)</formula>
    </cfRule>
  </conditionalFormatting>
  <conditionalFormatting sqref="C58:C67">
    <cfRule type="expression" priority="117" dxfId="2">
      <formula>AND(ISNUMBER(C58),C58&gt;=RAG_Green)</formula>
    </cfRule>
    <cfRule type="expression" priority="118" dxfId="3">
      <formula>AND(ISNUMBER(C58),C58&gt;=RAG_Amber,C58&lt;RAG_Green)</formula>
    </cfRule>
    <cfRule type="expression" priority="119" dxfId="4">
      <formula>AND(ISNUMBER(C58),C58&lt;RAG_Amber)</formula>
    </cfRule>
  </conditionalFormatting>
  <conditionalFormatting sqref="E58:E67">
    <cfRule type="expression" priority="120" dxfId="2">
      <formula>AND(ISNUMBER(E58),E58&gt;=RAG_Green)</formula>
    </cfRule>
    <cfRule type="expression" priority="121" dxfId="3">
      <formula>AND(ISNUMBER(E58),E58&gt;=RAG_Amber,E58&lt;RAG_Green)</formula>
    </cfRule>
    <cfRule type="expression" priority="122" dxfId="4">
      <formula>AND(ISNUMBER(E58),E58&lt;RAG_Amber)</formula>
    </cfRule>
  </conditionalFormatting>
  <conditionalFormatting sqref="G58:G67">
    <cfRule type="dataBar" priority="123">
      <dataBar>
        <cfvo type="num" val="0"/>
        <cfvo type="max"/>
        <color rgb="00E6A46A"/>
      </dataBar>
    </cfRule>
  </conditionalFormatting>
  <conditionalFormatting sqref="I58:I67">
    <cfRule type="dataBar" priority="124">
      <dataBar>
        <cfvo type="num" val="0"/>
        <cfvo type="max"/>
        <color rgb="00E6A46A"/>
      </dataBar>
    </cfRule>
  </conditionalFormatting>
  <conditionalFormatting sqref="K58:K67">
    <cfRule type="dataBar" priority="125">
      <dataBar>
        <cfvo type="num" val="0"/>
        <cfvo type="max"/>
        <color rgb="00E6A46A"/>
      </dataBar>
    </cfRule>
  </conditionalFormatting>
  <dataValidations count="4">
    <dataValidation sqref="B4" showDropDown="0" showInputMessage="0" showErrorMessage="1" allowBlank="0" errorTitle="Scope" error="Choose Global, Area or Zone." type="list">
      <formula1>"Global,Area,Zone"</formula1>
    </dataValidation>
    <dataValidation sqref="E4" showDropDown="0" showInputMessage="0" showErrorMessage="1" allowBlank="1" errorTitle="Select" error="Pick a name from the list. Type part of the name in SEARCH to narrow it." type="list">
      <formula1>=TRANSPORT_SelectList</formula1>
    </dataValidation>
    <dataValidation sqref="I4" showDropDown="0" showInputMessage="0" showErrorMessage="1" allowBlank="1" errorTitle="Week ending" error="Pick 'Latest' or a week from the list." type="list">
      <formula1>=TRANSPORT_WeekList</formula1>
    </dataValidation>
    <dataValidation sqref="K4" showDropDown="0" showInputMessage="0" showErrorMessage="1" allowBlank="1" errorTitle="Comparison window" error="Choose 1, 2, 4, 8, 13, 26 or 52." type="list">
      <formula1>"1,2,4,8,13,26,52"</formula1>
    </dataValidation>
  </dataValidations>
  <hyperlinks>
    <hyperlink xmlns:r="http://schemas.openxmlformats.org/officeDocument/2006/relationships" ref="N1" r:id="rId1"/>
  </hyperlinks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tabColor rgb="001B2A41"/>
    <outlinePr summaryBelow="1" summaryRight="1"/>
    <pageSetUpPr fitToPage="1"/>
  </sheetPr>
  <dimension ref="A1:P6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34" customHeight="1">
      <c r="A1" s="1" t="n"/>
      <c r="B1" s="2" t="inlineStr">
        <is>
          <t>AREA SCORECARD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3" t="inlineStr">
        <is>
          <t>⌂ HOME</t>
        </is>
      </c>
      <c r="O1" s="1" t="n"/>
      <c r="P1" s="1" t="n"/>
    </row>
    <row r="2">
      <c r="A2" s="1" t="n"/>
      <c r="B2" s="4" t="inlineStr">
        <is>
          <t>One Area across every stream, with rank among all Areas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B4" s="36" t="inlineStr">
        <is>
          <t>Stage 2: this dashboard is built after the WSF DASHBOARD is reviewed, using the same control strip, KPI cards, time analysis, rankings and non-reporting layout. Its data is already loaded in the DATA_* sheet.</t>
        </is>
      </c>
    </row>
    <row r="5"/>
    <row r="6"/>
  </sheetData>
  <mergeCells count="1">
    <mergeCell ref="B4:O6"/>
  </mergeCells>
  <hyperlinks>
    <hyperlink xmlns:r="http://schemas.openxmlformats.org/officeDocument/2006/relationships" ref="N1" r:id="rId1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1B2A41"/>
    <outlinePr summaryBelow="1" summaryRight="1"/>
    <pageSetUpPr fitToPage="1"/>
  </sheetPr>
  <dimension ref="A1:P6"/>
  <sheetViews>
    <sheetView showGridLines="0" tabSelected="0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34" customHeight="1">
      <c r="A1" s="1" t="n"/>
      <c r="B1" s="2" t="inlineStr">
        <is>
          <t>ZONE SCORECARD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3" t="inlineStr">
        <is>
          <t>⌂ HOME</t>
        </is>
      </c>
      <c r="O1" s="1" t="n"/>
      <c r="P1" s="1" t="n"/>
    </row>
    <row r="2">
      <c r="A2" s="1" t="n"/>
      <c r="B2" s="4" t="inlineStr">
        <is>
          <t>One Zone across every stream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B4" s="36" t="inlineStr">
        <is>
          <t>Stage 2: this dashboard is built after the WSF DASHBOARD is reviewed, using the same control strip, KPI cards, time analysis, rankings and non-reporting layout. Its data is already loaded in the DATA_* sheet.</t>
        </is>
      </c>
    </row>
    <row r="5"/>
    <row r="6"/>
  </sheetData>
  <mergeCells count="1">
    <mergeCell ref="B4:O6"/>
  </mergeCells>
  <hyperlinks>
    <hyperlink xmlns:r="http://schemas.openxmlformats.org/officeDocument/2006/relationships" ref="N1" r:id="rId1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K25"/>
  <sheetViews>
    <sheetView showGridLines="0"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1" customWidth="1" min="3" max="3"/>
    <col width="34" customWidth="1" min="4" max="4"/>
    <col width="26" customWidth="1" min="5" max="5"/>
    <col width="7" customWidth="1" min="6" max="6"/>
    <col width="12" customWidth="1" min="7" max="7"/>
    <col width="60" customWidth="1" min="8" max="8"/>
    <col width="17" customWidth="1" min="9" max="9"/>
    <col width="14" customWidth="1" min="10" max="10"/>
    <col width="2" customWidth="1" min="11" max="11"/>
  </cols>
  <sheetData>
    <row r="1" ht="34" customHeight="1">
      <c r="A1" s="25" t="n"/>
      <c r="B1" s="160" t="inlineStr">
        <is>
          <t>DATA QUALITY</t>
        </is>
      </c>
      <c r="C1" s="25" t="n"/>
      <c r="D1" s="25" t="n"/>
      <c r="E1" s="25" t="n"/>
      <c r="F1" s="25" t="n"/>
      <c r="G1" s="25" t="n"/>
      <c r="H1" s="25" t="n"/>
      <c r="I1" s="161" t="inlineStr">
        <is>
          <t>⌂ HOME</t>
        </is>
      </c>
      <c r="J1" s="25" t="n"/>
      <c r="K1" s="25" t="n"/>
    </row>
    <row r="2">
      <c r="A2" s="25" t="n"/>
      <c r="B2" s="162" t="inlineStr">
        <is>
          <t>Rejected rows, mismatched totals, duplicates, unknown Areas/Zones/Cells and missing weeks. Fix the source file and drop it in the inbox again; a re-sent file replaces the old rows.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</row>
    <row r="4" ht="22" customHeight="1">
      <c r="B4" s="163" t="inlineStr">
        <is>
          <t>Issues by type</t>
        </is>
      </c>
      <c r="C4" s="164" t="n"/>
      <c r="D4" s="164" t="n"/>
      <c r="E4" s="164" t="n"/>
      <c r="F4" s="164" t="n"/>
      <c r="G4" s="164" t="n"/>
      <c r="H4" s="164" t="n"/>
      <c r="I4" s="164" t="n"/>
    </row>
    <row r="5">
      <c r="B5" s="165" t="inlineStr">
        <is>
          <t>Stream</t>
        </is>
      </c>
      <c r="C5" s="165" t="inlineStr">
        <is>
          <t>Severity</t>
        </is>
      </c>
      <c r="D5" s="165" t="inlineStr">
        <is>
          <t>Issue</t>
        </is>
      </c>
      <c r="E5" s="165" t="inlineStr">
        <is>
          <t>Rows</t>
        </is>
      </c>
    </row>
    <row r="6">
      <c r="B6" s="87" t="inlineStr">
        <is>
          <t>–</t>
        </is>
      </c>
      <c r="C6" s="166" t="inlineStr">
        <is>
          <t>–</t>
        </is>
      </c>
      <c r="D6" s="87" t="inlineStr">
        <is>
          <t>No issues logged</t>
        </is>
      </c>
      <c r="E6" s="167" t="n">
        <v>0</v>
      </c>
    </row>
    <row r="8" ht="22" customHeight="1">
      <c r="B8" s="163" t="inlineStr">
        <is>
          <t>Stream coverage</t>
        </is>
      </c>
      <c r="C8" s="164" t="n"/>
      <c r="D8" s="164" t="n"/>
      <c r="E8" s="164" t="n"/>
      <c r="F8" s="164" t="n"/>
      <c r="G8" s="164" t="n"/>
      <c r="H8" s="164" t="n"/>
      <c r="I8" s="164" t="n"/>
    </row>
    <row r="9">
      <c r="B9" s="165" t="inlineStr">
        <is>
          <t>Stream</t>
        </is>
      </c>
      <c r="C9" s="165" t="inlineStr">
        <is>
          <t>First week</t>
        </is>
      </c>
      <c r="D9" s="165" t="inlineStr">
        <is>
          <t>Latest week</t>
        </is>
      </c>
      <c r="E9" s="165" t="inlineStr">
        <is>
          <t>Weeks loaded</t>
        </is>
      </c>
      <c r="F9" s="165" t="inlineStr">
        <is>
          <t>Rows in workbook</t>
        </is>
      </c>
    </row>
    <row r="10">
      <c r="B10" s="87" t="inlineStr">
        <is>
          <t>WSF</t>
        </is>
      </c>
      <c r="C10" s="93" t="n"/>
      <c r="D10" s="93" t="n"/>
      <c r="E10" s="167" t="n">
        <v>0</v>
      </c>
      <c r="F10" s="167" t="n">
        <v>0</v>
      </c>
    </row>
    <row r="11">
      <c r="B11" s="87" t="inlineStr">
        <is>
          <t>MIDWEEK</t>
        </is>
      </c>
      <c r="C11" s="93" t="n"/>
      <c r="D11" s="93" t="n"/>
      <c r="E11" s="167" t="n">
        <v>0</v>
      </c>
      <c r="F11" s="167" t="n">
        <v>0</v>
      </c>
    </row>
    <row r="12">
      <c r="B12" s="87" t="inlineStr">
        <is>
          <t>CHOP</t>
        </is>
      </c>
      <c r="C12" s="93" t="n"/>
      <c r="D12" s="93" t="n"/>
      <c r="E12" s="167" t="n">
        <v>0</v>
      </c>
      <c r="F12" s="167" t="n">
        <v>0</v>
      </c>
    </row>
    <row r="13">
      <c r="B13" s="87" t="inlineStr">
        <is>
          <t>COMMUNITY</t>
        </is>
      </c>
      <c r="C13" s="93" t="n"/>
      <c r="D13" s="93" t="n"/>
      <c r="E13" s="167" t="n">
        <v>0</v>
      </c>
      <c r="F13" s="167" t="n">
        <v>0</v>
      </c>
    </row>
    <row r="14">
      <c r="B14" s="87" t="inlineStr">
        <is>
          <t>TRANSPORT</t>
        </is>
      </c>
      <c r="C14" s="93" t="n"/>
      <c r="D14" s="93" t="n"/>
      <c r="E14" s="167" t="n">
        <v>0</v>
      </c>
      <c r="F14" s="167" t="n">
        <v>0</v>
      </c>
    </row>
    <row r="15">
      <c r="B15" s="87" t="inlineStr">
        <is>
          <t>TRANSPORT_COSTS</t>
        </is>
      </c>
      <c r="C15" s="93" t="n"/>
      <c r="D15" s="93" t="n"/>
      <c r="E15" s="167" t="n">
        <v>0</v>
      </c>
      <c r="F15" s="167" t="n">
        <v>0</v>
      </c>
    </row>
    <row r="16">
      <c r="B16" s="87" t="inlineStr">
        <is>
          <t>TRANSPORT_BUDGET</t>
        </is>
      </c>
      <c r="C16" s="93" t="n"/>
      <c r="D16" s="93" t="n"/>
      <c r="E16" s="167" t="n">
        <v>0</v>
      </c>
      <c r="F16" s="167" t="n">
        <v>0</v>
      </c>
    </row>
    <row r="18" ht="22" customHeight="1">
      <c r="B18" s="163" t="inlineStr">
        <is>
          <t>Missing weeks (no rows at all between a stream's first and latest week)</t>
        </is>
      </c>
      <c r="C18" s="164" t="n"/>
      <c r="D18" s="164" t="n"/>
      <c r="E18" s="164" t="n"/>
      <c r="F18" s="164" t="n"/>
      <c r="G18" s="164" t="n"/>
      <c r="H18" s="164" t="n"/>
      <c r="I18" s="164" t="n"/>
    </row>
    <row r="19">
      <c r="B19" s="165" t="inlineStr">
        <is>
          <t>Stream</t>
        </is>
      </c>
      <c r="C19" s="165" t="inlineStr">
        <is>
          <t>Week ending</t>
        </is>
      </c>
    </row>
    <row r="20">
      <c r="B20" s="168" t="inlineStr">
        <is>
          <t>None — every stream has data for every week in its range.</t>
        </is>
      </c>
    </row>
    <row r="23" ht="22" customHeight="1">
      <c r="B23" s="163" t="inlineStr">
        <is>
          <t>Issue log (newest first)</t>
        </is>
      </c>
      <c r="C23" s="164" t="n"/>
      <c r="D23" s="164" t="n"/>
      <c r="E23" s="164" t="n"/>
      <c r="F23" s="164" t="n"/>
      <c r="G23" s="164" t="n"/>
      <c r="H23" s="164" t="n"/>
      <c r="I23" s="164" t="n"/>
    </row>
    <row r="24">
      <c r="B24" s="165" t="inlineStr">
        <is>
          <t>Stream</t>
        </is>
      </c>
      <c r="C24" s="165" t="inlineStr">
        <is>
          <t>Severity</t>
        </is>
      </c>
      <c r="D24" s="165" t="inlineStr">
        <is>
          <t>Issue</t>
        </is>
      </c>
      <c r="E24" s="165" t="inlineStr">
        <is>
          <t>Source file</t>
        </is>
      </c>
      <c r="F24" s="165" t="inlineStr">
        <is>
          <t>Row</t>
        </is>
      </c>
      <c r="G24" s="165" t="inlineStr">
        <is>
          <t>Week ending</t>
        </is>
      </c>
      <c r="H24" s="165" t="inlineStr">
        <is>
          <t>Detail</t>
        </is>
      </c>
      <c r="I24" s="165" t="inlineStr">
        <is>
          <t>Logged on</t>
        </is>
      </c>
    </row>
    <row r="25">
      <c r="B25" s="168" t="inlineStr">
        <is>
          <t>No issues logged.</t>
        </is>
      </c>
    </row>
  </sheetData>
  <hyperlinks>
    <hyperlink xmlns:r="http://schemas.openxmlformats.org/officeDocument/2006/relationships" ref="I1" r:id="rId1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6D97C6"/>
    <outlinePr summaryBelow="1" summaryRight="1"/>
    <pageSetUpPr/>
  </sheetPr>
  <dimension ref="A1:N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4" customWidth="1" min="4" max="4"/>
    <col width="11" customWidth="1" min="5" max="5"/>
    <col width="13" customWidth="1" min="6" max="6"/>
    <col width="16" customWidth="1" min="7" max="7"/>
    <col width="9" customWidth="1" min="8" max="8"/>
    <col width="9" customWidth="1" min="9" max="9"/>
    <col width="11" customWidth="1" min="10" max="10"/>
    <col width="9" customWidth="1" min="11" max="11"/>
    <col width="11" customWidth="1" min="12" max="12"/>
    <col width="34" customWidth="1" min="13" max="13"/>
    <col width="17" customWidth="1" min="14" max="14"/>
  </cols>
  <sheetData>
    <row r="1">
      <c r="A1" s="169" t="inlineStr">
        <is>
          <t>Week_Ending</t>
        </is>
      </c>
      <c r="B1" s="169" t="inlineStr">
        <is>
          <t>Report_Date</t>
        </is>
      </c>
      <c r="C1" s="169" t="inlineStr">
        <is>
          <t>Area</t>
        </is>
      </c>
      <c r="D1" s="169" t="inlineStr">
        <is>
          <t>Zone</t>
        </is>
      </c>
      <c r="E1" s="169" t="inlineStr">
        <is>
          <t>Cells_Total</t>
        </is>
      </c>
      <c r="F1" s="169" t="inlineStr">
        <is>
          <t>Cells_Reported</t>
        </is>
      </c>
      <c r="G1" s="169" t="inlineStr">
        <is>
          <t>Cells_Not_Reported</t>
        </is>
      </c>
      <c r="H1" s="169" t="inlineStr">
        <is>
          <t>Male</t>
        </is>
      </c>
      <c r="I1" s="169" t="inlineStr">
        <is>
          <t>Female</t>
        </is>
      </c>
      <c r="J1" s="169" t="inlineStr">
        <is>
          <t>Adult_Total</t>
        </is>
      </c>
      <c r="K1" s="169" t="inlineStr">
        <is>
          <t>Children</t>
        </is>
      </c>
      <c r="L1" s="169" t="inlineStr">
        <is>
          <t>Grand_Total</t>
        </is>
      </c>
      <c r="M1" s="169" t="inlineStr">
        <is>
          <t>Source_File</t>
        </is>
      </c>
      <c r="N1" s="169" t="inlineStr">
        <is>
          <t>Loaded_On</t>
        </is>
      </c>
    </row>
    <row r="2">
      <c r="A2" s="170">
        <f>IF(B2="","",B2+MOD(WeekEndDay-WEEKDAY(B2,2),7))</f>
        <v/>
      </c>
      <c r="B2" s="170" t="n"/>
      <c r="E2" s="171" t="n"/>
      <c r="F2" s="171" t="n"/>
      <c r="G2" s="171">
        <f>IF(E2="","",E2-F2)</f>
        <v/>
      </c>
      <c r="H2" s="171" t="n"/>
      <c r="I2" s="171" t="n"/>
      <c r="J2" s="171">
        <f>IF(H2="","",H2+I2)</f>
        <v/>
      </c>
      <c r="K2" s="171" t="n"/>
      <c r="L2" s="171">
        <f>IF(H2="","",J2+K2)</f>
        <v/>
      </c>
      <c r="N2" s="17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6D97C6"/>
    <outlinePr summaryBelow="1" summaryRight="1"/>
    <pageSetUpPr/>
  </sheetPr>
  <dimension ref="A1:N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4" customWidth="1" min="4" max="4"/>
    <col width="15" customWidth="1" min="5" max="5"/>
    <col width="9" customWidth="1" min="6" max="6"/>
    <col width="8" customWidth="1" min="7" max="7"/>
    <col width="8" customWidth="1" min="8" max="8"/>
    <col width="11" customWidth="1" min="9" max="9"/>
    <col width="9" customWidth="1" min="10" max="10"/>
    <col width="11" customWidth="1" min="11" max="11"/>
    <col width="34" customWidth="1" min="12" max="12"/>
    <col width="17" customWidth="1" min="13" max="13"/>
    <col width="10" customWidth="1" min="14" max="14"/>
  </cols>
  <sheetData>
    <row r="1">
      <c r="A1" s="169" t="inlineStr">
        <is>
          <t>Week_Ending</t>
        </is>
      </c>
      <c r="B1" s="169" t="inlineStr">
        <is>
          <t>Report_Date</t>
        </is>
      </c>
      <c r="C1" s="169" t="inlineStr">
        <is>
          <t>Area</t>
        </is>
      </c>
      <c r="D1" s="169" t="inlineStr">
        <is>
          <t>Zone</t>
        </is>
      </c>
      <c r="E1" s="169" t="inlineStr">
        <is>
          <t>Cell</t>
        </is>
      </c>
      <c r="F1" s="169" t="inlineStr">
        <is>
          <t>Reported</t>
        </is>
      </c>
      <c r="G1" s="169" t="inlineStr">
        <is>
          <t>Male</t>
        </is>
      </c>
      <c r="H1" s="169" t="inlineStr">
        <is>
          <t>Female</t>
        </is>
      </c>
      <c r="I1" s="169" t="inlineStr">
        <is>
          <t>Adult_Total</t>
        </is>
      </c>
      <c r="J1" s="169" t="inlineStr">
        <is>
          <t>Children</t>
        </is>
      </c>
      <c r="K1" s="169" t="inlineStr">
        <is>
          <t>Grand_Total</t>
        </is>
      </c>
      <c r="L1" s="169" t="inlineStr">
        <is>
          <t>Source_File</t>
        </is>
      </c>
      <c r="M1" s="169" t="inlineStr">
        <is>
          <t>Loaded_On</t>
        </is>
      </c>
      <c r="N1" s="169" t="inlineStr">
        <is>
          <t>List_Helper</t>
        </is>
      </c>
    </row>
    <row r="2">
      <c r="A2" s="170">
        <f>IF(B2="","",B2+MOD(WeekEndDay-WEEKDAY(B2,2),7))</f>
        <v/>
      </c>
      <c r="B2" s="170" t="n"/>
      <c r="G2" s="171" t="n"/>
      <c r="H2" s="171" t="n"/>
      <c r="I2" s="171">
        <f>IF(G2="","",G2+H2)</f>
        <v/>
      </c>
      <c r="J2" s="171" t="n"/>
      <c r="K2" s="171">
        <f>IF(G2="","",I2+J2)</f>
        <v/>
      </c>
      <c r="M2" s="172" t="n"/>
      <c r="N2">
        <f>IF(AND(F2="N",A2=CALC_WSF!$B$10,OR(CALC_WSF!$B$6="*",C2=CALC_WSF!$B$6),OR(CALC_WSF!$B$7="*",D2=CALC_WSF!$B$7)),ROW(),"")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63A9A4"/>
    <outlinePr summaryBelow="1" summaryRight="1"/>
    <pageSetUpPr/>
  </sheetPr>
  <dimension ref="A1:K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4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  <col width="34" customWidth="1" min="10" max="10"/>
    <col width="17" customWidth="1" min="11" max="11"/>
  </cols>
  <sheetData>
    <row r="1">
      <c r="A1" s="173" t="inlineStr">
        <is>
          <t>Week_Ending</t>
        </is>
      </c>
      <c r="B1" s="173" t="inlineStr">
        <is>
          <t>Report_Date</t>
        </is>
      </c>
      <c r="C1" s="173" t="inlineStr">
        <is>
          <t>Area</t>
        </is>
      </c>
      <c r="D1" s="173" t="inlineStr">
        <is>
          <t>Zone</t>
        </is>
      </c>
      <c r="E1" s="173" t="inlineStr">
        <is>
          <t>Male</t>
        </is>
      </c>
      <c r="F1" s="173" t="inlineStr">
        <is>
          <t>Female</t>
        </is>
      </c>
      <c r="G1" s="173" t="inlineStr">
        <is>
          <t>Adult_Total</t>
        </is>
      </c>
      <c r="H1" s="173" t="inlineStr">
        <is>
          <t>Children</t>
        </is>
      </c>
      <c r="I1" s="173" t="inlineStr">
        <is>
          <t>Grand_Total</t>
        </is>
      </c>
      <c r="J1" s="173" t="inlineStr">
        <is>
          <t>Source_File</t>
        </is>
      </c>
      <c r="K1" s="173" t="inlineStr">
        <is>
          <t>Loaded_On</t>
        </is>
      </c>
    </row>
    <row r="2">
      <c r="A2" s="170">
        <f>IF(B2="","",B2+MOD(WeekEndDay-WEEKDAY(B2,2),7))</f>
        <v/>
      </c>
      <c r="B2" s="170" t="n"/>
      <c r="E2" s="171" t="n"/>
      <c r="F2" s="171" t="n"/>
      <c r="G2" s="171">
        <f>IF(E2="","",E2+F2)</f>
        <v/>
      </c>
      <c r="H2" s="171" t="n"/>
      <c r="I2" s="171">
        <f>IF(E2="","",G2+H2)</f>
        <v/>
      </c>
      <c r="K2" s="17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9E82C1"/>
    <outlinePr summaryBelow="1" summaryRight="1"/>
    <pageSetUpPr/>
  </sheetPr>
  <dimension ref="A1:K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4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  <col width="34" customWidth="1" min="10" max="10"/>
    <col width="17" customWidth="1" min="11" max="11"/>
  </cols>
  <sheetData>
    <row r="1">
      <c r="A1" s="174" t="inlineStr">
        <is>
          <t>Week_Ending</t>
        </is>
      </c>
      <c r="B1" s="174" t="inlineStr">
        <is>
          <t>Report_Date</t>
        </is>
      </c>
      <c r="C1" s="174" t="inlineStr">
        <is>
          <t>Area</t>
        </is>
      </c>
      <c r="D1" s="174" t="inlineStr">
        <is>
          <t>Zone</t>
        </is>
      </c>
      <c r="E1" s="174" t="inlineStr">
        <is>
          <t>Male</t>
        </is>
      </c>
      <c r="F1" s="174" t="inlineStr">
        <is>
          <t>Female</t>
        </is>
      </c>
      <c r="G1" s="174" t="inlineStr">
        <is>
          <t>Adult_Total</t>
        </is>
      </c>
      <c r="H1" s="174" t="inlineStr">
        <is>
          <t>Children</t>
        </is>
      </c>
      <c r="I1" s="174" t="inlineStr">
        <is>
          <t>Grand_Total</t>
        </is>
      </c>
      <c r="J1" s="174" t="inlineStr">
        <is>
          <t>Source_File</t>
        </is>
      </c>
      <c r="K1" s="174" t="inlineStr">
        <is>
          <t>Loaded_On</t>
        </is>
      </c>
    </row>
    <row r="2">
      <c r="A2" s="170">
        <f>IF(B2="","",B2+MOD(WeekEndDay-WEEKDAY(B2,2),7))</f>
        <v/>
      </c>
      <c r="B2" s="170" t="n"/>
      <c r="E2" s="171" t="n"/>
      <c r="F2" s="171" t="n"/>
      <c r="G2" s="171">
        <f>IF(E2="","",E2+F2)</f>
        <v/>
      </c>
      <c r="H2" s="171" t="n"/>
      <c r="I2" s="171">
        <f>IF(E2="","",G2+H2)</f>
        <v/>
      </c>
      <c r="K2" s="17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CE85A0"/>
    <outlinePr summaryBelow="1" summaryRight="1"/>
    <pageSetUpPr/>
  </sheetPr>
  <dimension ref="A1:K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2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  <col width="34" customWidth="1" min="10" max="10"/>
    <col width="17" customWidth="1" min="11" max="11"/>
  </cols>
  <sheetData>
    <row r="1">
      <c r="A1" s="175" t="inlineStr">
        <is>
          <t>Week_Ending</t>
        </is>
      </c>
      <c r="B1" s="175" t="inlineStr">
        <is>
          <t>Report_Date</t>
        </is>
      </c>
      <c r="C1" s="175" t="inlineStr">
        <is>
          <t>Church</t>
        </is>
      </c>
      <c r="D1" s="175" t="inlineStr">
        <is>
          <t>Service_Type</t>
        </is>
      </c>
      <c r="E1" s="175" t="inlineStr">
        <is>
          <t>Male</t>
        </is>
      </c>
      <c r="F1" s="175" t="inlineStr">
        <is>
          <t>Female</t>
        </is>
      </c>
      <c r="G1" s="175" t="inlineStr">
        <is>
          <t>Adult_Total</t>
        </is>
      </c>
      <c r="H1" s="175" t="inlineStr">
        <is>
          <t>Children</t>
        </is>
      </c>
      <c r="I1" s="175" t="inlineStr">
        <is>
          <t>Grand_Total</t>
        </is>
      </c>
      <c r="J1" s="175" t="inlineStr">
        <is>
          <t>Source_File</t>
        </is>
      </c>
      <c r="K1" s="175" t="inlineStr">
        <is>
          <t>Loaded_On</t>
        </is>
      </c>
    </row>
    <row r="2">
      <c r="A2" s="170">
        <f>IF(B2="","",B2+MOD(WeekEndDay-WEEKDAY(B2,2),7))</f>
        <v/>
      </c>
      <c r="B2" s="170" t="n"/>
      <c r="E2" s="171" t="n"/>
      <c r="F2" s="171" t="n"/>
      <c r="G2" s="171">
        <f>IF(E2="","",E2+F2)</f>
        <v/>
      </c>
      <c r="H2" s="171" t="n"/>
      <c r="I2" s="171">
        <f>IF(E2="","",G2+H2)</f>
        <v/>
      </c>
      <c r="K2" s="17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6A46A"/>
    <outlinePr summaryBelow="1" summaryRight="1"/>
    <pageSetUpPr/>
  </sheetPr>
  <dimension ref="A1:AC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18" customWidth="1" min="5" max="5"/>
    <col width="10" customWidth="1" min="6" max="6"/>
    <col width="30" customWidth="1" min="7" max="7"/>
    <col width="11" customWidth="1" min="8" max="8"/>
    <col width="7" customWidth="1" min="9" max="9"/>
    <col width="9" customWidth="1" min="10" max="10"/>
    <col width="7" customWidth="1" min="11" max="11"/>
    <col width="12" customWidth="1" min="12" max="12"/>
    <col width="8" customWidth="1" min="13" max="13"/>
    <col width="8" customWidth="1" min="14" max="14"/>
    <col width="11" customWidth="1" min="15" max="15"/>
    <col width="9" customWidth="1" min="16" max="16"/>
    <col width="11" customWidth="1" min="17" max="17"/>
    <col width="11" customWidth="1" min="18" max="18"/>
    <col width="12" customWidth="1" min="19" max="19"/>
    <col width="10" customWidth="1" min="20" max="20"/>
    <col width="18" customWidth="1" min="21" max="21"/>
    <col width="18" customWidth="1" min="22" max="22"/>
    <col width="16" customWidth="1" min="23" max="23"/>
    <col width="30" customWidth="1" min="24" max="24"/>
    <col width="9" customWidth="1" min="25" max="25"/>
    <col width="34" customWidth="1" min="26" max="26"/>
    <col width="17" customWidth="1" min="27" max="27"/>
    <col width="9" customWidth="1" min="28" max="28"/>
    <col width="10" customWidth="1" min="29" max="29"/>
  </cols>
  <sheetData>
    <row r="1">
      <c r="A1" s="176" t="inlineStr">
        <is>
          <t>Week_Ending</t>
        </is>
      </c>
      <c r="B1" s="176" t="inlineStr">
        <is>
          <t>Report_Date</t>
        </is>
      </c>
      <c r="C1" s="176" t="inlineStr">
        <is>
          <t>Category</t>
        </is>
      </c>
      <c r="D1" s="176" t="inlineStr">
        <is>
          <t>Vehicle_Type</t>
        </is>
      </c>
      <c r="E1" s="176" t="inlineStr">
        <is>
          <t>Area</t>
        </is>
      </c>
      <c r="F1" s="176" t="inlineStr">
        <is>
          <t>Zone_Code</t>
        </is>
      </c>
      <c r="G1" s="176" t="inlineStr">
        <is>
          <t>Location</t>
        </is>
      </c>
      <c r="H1" s="176" t="inlineStr">
        <is>
          <t>Vehicle_ID</t>
        </is>
      </c>
      <c r="I1" s="176" t="inlineStr">
        <is>
          <t>Buses</t>
        </is>
      </c>
      <c r="J1" s="176" t="inlineStr">
        <is>
          <t>Capacity</t>
        </is>
      </c>
      <c r="K1" s="176" t="inlineStr">
        <is>
          <t>Trips</t>
        </is>
      </c>
      <c r="L1" s="176" t="inlineStr">
        <is>
          <t>Seats_Offered</t>
        </is>
      </c>
      <c r="M1" s="176" t="inlineStr">
        <is>
          <t>Male</t>
        </is>
      </c>
      <c r="N1" s="176" t="inlineStr">
        <is>
          <t>Female</t>
        </is>
      </c>
      <c r="O1" s="176" t="inlineStr">
        <is>
          <t>Adult_Total</t>
        </is>
      </c>
      <c r="P1" s="176" t="inlineStr">
        <is>
          <t>Children</t>
        </is>
      </c>
      <c r="Q1" s="176" t="inlineStr">
        <is>
          <t>Grand_Total</t>
        </is>
      </c>
      <c r="R1" s="176" t="inlineStr">
        <is>
          <t>Riders_With_Seats</t>
        </is>
      </c>
      <c r="S1" s="176" t="inlineStr">
        <is>
          <t>Cost</t>
        </is>
      </c>
      <c r="T1" s="176" t="inlineStr">
        <is>
          <t>Paid_By</t>
        </is>
      </c>
      <c r="U1" s="176" t="inlineStr">
        <is>
          <t>Status</t>
        </is>
      </c>
      <c r="V1" s="176" t="inlineStr">
        <is>
          <t>Service</t>
        </is>
      </c>
      <c r="W1" s="176" t="inlineStr">
        <is>
          <t>Remarks_Category</t>
        </is>
      </c>
      <c r="X1" s="176" t="inlineStr">
        <is>
          <t>Remarks</t>
        </is>
      </c>
      <c r="Y1" s="176" t="inlineStr">
        <is>
          <t>In_Church</t>
        </is>
      </c>
      <c r="Z1" s="176" t="inlineStr">
        <is>
          <t>Source_File</t>
        </is>
      </c>
      <c r="AA1" s="176" t="inlineStr">
        <is>
          <t>Loaded_On</t>
        </is>
      </c>
      <c r="AB1" s="176" t="inlineStr">
        <is>
          <t>Zone_Key</t>
        </is>
      </c>
      <c r="AC1" s="176" t="inlineStr">
        <is>
          <t>Note_Helper</t>
        </is>
      </c>
    </row>
    <row r="2">
      <c r="A2" s="170">
        <f>IF(B2="","",B2+MOD(WeekEndDay-WEEKDAY(B2,2),7))</f>
        <v/>
      </c>
      <c r="B2" s="170" t="n"/>
      <c r="I2" s="171" t="n"/>
      <c r="J2" s="171" t="n"/>
      <c r="K2" s="171" t="n"/>
      <c r="L2" s="171">
        <f>IF(OR(J2="",J2=0),"",IF(U2="Ran",J2*MAX(1,K2),0))</f>
        <v/>
      </c>
      <c r="M2" s="171" t="n"/>
      <c r="N2" s="171" t="n"/>
      <c r="O2" s="171">
        <f>IF(M2="","",M2+N2)</f>
        <v/>
      </c>
      <c r="P2" s="171" t="n"/>
      <c r="Q2" s="171">
        <f>IF(M2="","",O2+P2)</f>
        <v/>
      </c>
      <c r="R2" s="171">
        <f>IF(L2="","",Q2)</f>
        <v/>
      </c>
      <c r="S2" s="177" t="n"/>
      <c r="AA2" s="172" t="n"/>
      <c r="AB2">
        <f>IF(F2="","-",F2)</f>
        <v/>
      </c>
      <c r="AC2">
        <f>IF(AND(A2=CALC_TRANSPORT!$B$10,OR(CALC_TRANSPORT!$B$6="*",E2=CALC_TRANSPORT!$B$6),OR(CALC_TRANSPORT!$B$7="*",F2=CALC_TRANSPORT!$B$7),OR(U2="Breakdown",W2="Extra passengers",ISNUMBER(SEARCH("more bus",X2)))),ROW(),"")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E6A46A"/>
    <outlinePr summaryBelow="1" summaryRight="1"/>
    <pageSetUpPr/>
  </sheetPr>
  <dimension ref="A1:P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8" customWidth="1" min="4" max="4"/>
    <col width="11" customWidth="1" min="5" max="5"/>
    <col width="10" customWidth="1" min="6" max="6"/>
    <col width="10" customWidth="1" min="7" max="7"/>
    <col width="7" customWidth="1" min="8" max="8"/>
    <col width="8" customWidth="1" min="9" max="9"/>
    <col width="10" customWidth="1" min="10" max="10"/>
    <col width="12" customWidth="1" min="11" max="11"/>
    <col width="8" customWidth="1" min="12" max="12"/>
    <col width="12" customWidth="1" min="13" max="13"/>
    <col width="10" customWidth="1" min="14" max="14"/>
    <col width="34" customWidth="1" min="15" max="15"/>
    <col width="17" customWidth="1" min="16" max="16"/>
  </cols>
  <sheetData>
    <row r="1">
      <c r="A1" s="176" t="inlineStr">
        <is>
          <t>Week_Ending</t>
        </is>
      </c>
      <c r="B1" s="176" t="inlineStr">
        <is>
          <t>Report_Date</t>
        </is>
      </c>
      <c r="C1" s="176" t="inlineStr">
        <is>
          <t>Category</t>
        </is>
      </c>
      <c r="D1" s="176" t="inlineStr">
        <is>
          <t>Area</t>
        </is>
      </c>
      <c r="E1" s="176" t="inlineStr">
        <is>
          <t>Vehicle_ID</t>
        </is>
      </c>
      <c r="F1" s="176" t="inlineStr">
        <is>
          <t>Cost_Type</t>
        </is>
      </c>
      <c r="G1" s="176" t="inlineStr">
        <is>
          <t>Hub_Status</t>
        </is>
      </c>
      <c r="H1" s="176" t="inlineStr">
        <is>
          <t>Trips</t>
        </is>
      </c>
      <c r="I1" s="176" t="inlineStr">
        <is>
          <t>Litres</t>
        </is>
      </c>
      <c r="J1" s="176" t="inlineStr">
        <is>
          <t>Unit_Price</t>
        </is>
      </c>
      <c r="K1" s="176" t="inlineStr">
        <is>
          <t>Amount</t>
        </is>
      </c>
      <c r="L1" s="176" t="inlineStr">
        <is>
          <t>Payable</t>
        </is>
      </c>
      <c r="M1" s="176" t="inlineStr">
        <is>
          <t>Paid_Amount</t>
        </is>
      </c>
      <c r="N1" s="176" t="inlineStr">
        <is>
          <t>Paid_By</t>
        </is>
      </c>
      <c r="O1" s="176" t="inlineStr">
        <is>
          <t>Source_File</t>
        </is>
      </c>
      <c r="P1" s="176" t="inlineStr">
        <is>
          <t>Loaded_On</t>
        </is>
      </c>
    </row>
    <row r="2">
      <c r="A2" s="170">
        <f>IF(B2="","",B2+MOD(WeekEndDay-WEEKDAY(B2,2),7))</f>
        <v/>
      </c>
      <c r="B2" s="170" t="n"/>
      <c r="H2" s="171" t="n"/>
      <c r="I2" s="171" t="n"/>
      <c r="J2" s="177" t="n"/>
      <c r="K2" s="177" t="n"/>
      <c r="M2" s="177">
        <f>IF(L2="Y",K2,0)</f>
        <v/>
      </c>
      <c r="P2" s="17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E6A46A"/>
    <outlinePr summaryBelow="1" summaryRight="1"/>
    <pageSetUpPr/>
  </sheetPr>
  <dimension ref="A1:J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8" customWidth="1" min="4" max="4"/>
    <col width="10" customWidth="1" min="5" max="5"/>
    <col width="12" customWidth="1" min="6" max="6"/>
    <col width="14" customWidth="1" min="7" max="7"/>
    <col width="14" customWidth="1" min="8" max="8"/>
    <col width="34" customWidth="1" min="9" max="9"/>
    <col width="17" customWidth="1" min="10" max="10"/>
  </cols>
  <sheetData>
    <row r="1">
      <c r="A1" s="176" t="inlineStr">
        <is>
          <t>Week_Ending</t>
        </is>
      </c>
      <c r="B1" s="176" t="inlineStr">
        <is>
          <t>Report_Date</t>
        </is>
      </c>
      <c r="C1" s="176" t="inlineStr">
        <is>
          <t>Area_No</t>
        </is>
      </c>
      <c r="D1" s="176" t="inlineStr">
        <is>
          <t>Area</t>
        </is>
      </c>
      <c r="E1" s="176" t="inlineStr">
        <is>
          <t>Buses_Allocated</t>
        </is>
      </c>
      <c r="F1" s="176" t="inlineStr">
        <is>
          <t>Cost_Per_Bus</t>
        </is>
      </c>
      <c r="G1" s="176" t="inlineStr">
        <is>
          <t>Expected_Spend</t>
        </is>
      </c>
      <c r="H1" s="176" t="inlineStr">
        <is>
          <t>Payable_This_Week</t>
        </is>
      </c>
      <c r="I1" s="176" t="inlineStr">
        <is>
          <t>Source_File</t>
        </is>
      </c>
      <c r="J1" s="176" t="inlineStr">
        <is>
          <t>Loaded_On</t>
        </is>
      </c>
    </row>
    <row r="2">
      <c r="A2" s="170">
        <f>IF(B2="","",B2+MOD(WeekEndDay-WEEKDAY(B2,2),7))</f>
        <v/>
      </c>
      <c r="B2" s="170" t="n"/>
      <c r="C2" s="171" t="n"/>
      <c r="E2" s="171" t="n"/>
      <c r="F2" s="177" t="n"/>
      <c r="G2" s="177">
        <f>IF(D2="","",E2*F2)</f>
        <v/>
      </c>
      <c r="H2" s="177" t="n"/>
      <c r="J2" s="17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ADB3B7"/>
    <outlinePr summaryBelow="1" summaryRight="1"/>
    <pageSetUpPr/>
  </sheetPr>
  <dimension ref="A1:E9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</cols>
  <sheetData>
    <row r="1">
      <c r="A1" s="178" t="inlineStr">
        <is>
          <t>Area_ID</t>
        </is>
      </c>
      <c r="B1" s="178" t="inlineStr">
        <is>
          <t>Area_Name</t>
        </is>
      </c>
      <c r="C1" s="178" t="inlineStr">
        <is>
          <t>Active</t>
        </is>
      </c>
      <c r="D1" s="178" t="inlineStr">
        <is>
          <t>Area_No</t>
        </is>
      </c>
      <c r="E1" s="178" t="inlineStr">
        <is>
          <t>Aliases</t>
        </is>
      </c>
    </row>
    <row r="2">
      <c r="A2" t="inlineStr">
        <is>
          <t>A01</t>
        </is>
      </c>
      <c r="B2" t="inlineStr">
        <is>
          <t>CANAANLAND 2</t>
        </is>
      </c>
      <c r="C2" t="inlineStr">
        <is>
          <t>Y</t>
        </is>
      </c>
      <c r="D2" t="inlineStr">
        <is>
          <t>1</t>
        </is>
      </c>
      <c r="E2" t="inlineStr">
        <is>
          <t>CANAANLAND 2 (IGE DARAMOLA);CANAAN LAND 2</t>
        </is>
      </c>
    </row>
    <row r="3">
      <c r="A3" t="inlineStr">
        <is>
          <t>A02</t>
        </is>
      </c>
      <c r="B3" t="inlineStr">
        <is>
          <t>IYESI 1</t>
        </is>
      </c>
      <c r="C3" t="inlineStr">
        <is>
          <t>Y</t>
        </is>
      </c>
      <c r="D3" t="inlineStr">
        <is>
          <t>2</t>
        </is>
      </c>
      <c r="E3" t="inlineStr">
        <is>
          <t>IYESI;IYESI1</t>
        </is>
      </c>
    </row>
    <row r="4">
      <c r="A4" t="inlineStr">
        <is>
          <t>A03</t>
        </is>
      </c>
      <c r="B4" t="inlineStr">
        <is>
          <t>OBASANJO</t>
        </is>
      </c>
      <c r="C4" t="inlineStr">
        <is>
          <t>Y</t>
        </is>
      </c>
      <c r="D4" t="inlineStr">
        <is>
          <t>3</t>
        </is>
      </c>
      <c r="E4" t="inlineStr"/>
    </row>
    <row r="5">
      <c r="A5" t="inlineStr">
        <is>
          <t>A04</t>
        </is>
      </c>
      <c r="B5" t="inlineStr">
        <is>
          <t>OJU ORE</t>
        </is>
      </c>
      <c r="C5" t="inlineStr">
        <is>
          <t>Y</t>
        </is>
      </c>
      <c r="D5" t="inlineStr">
        <is>
          <t>4</t>
        </is>
      </c>
      <c r="E5" t="inlineStr">
        <is>
          <t>OJUORE</t>
        </is>
      </c>
    </row>
    <row r="6">
      <c r="A6" t="inlineStr">
        <is>
          <t>A05</t>
        </is>
      </c>
      <c r="B6" t="inlineStr">
        <is>
          <t>CAPERNAUM</t>
        </is>
      </c>
      <c r="C6" t="inlineStr">
        <is>
          <t>Y</t>
        </is>
      </c>
      <c r="D6" t="inlineStr">
        <is>
          <t>5</t>
        </is>
      </c>
      <c r="E6" t="inlineStr"/>
    </row>
    <row r="7">
      <c r="A7" t="inlineStr">
        <is>
          <t>A06</t>
        </is>
      </c>
      <c r="B7" t="inlineStr">
        <is>
          <t>NAZARETH</t>
        </is>
      </c>
      <c r="C7" t="inlineStr">
        <is>
          <t>Y</t>
        </is>
      </c>
      <c r="D7" t="inlineStr">
        <is>
          <t>6</t>
        </is>
      </c>
      <c r="E7" t="inlineStr">
        <is>
          <t>NAZARATH</t>
        </is>
      </c>
    </row>
    <row r="8">
      <c r="A8" t="inlineStr">
        <is>
          <t>A07</t>
        </is>
      </c>
      <c r="B8" t="inlineStr">
        <is>
          <t>GOWON ESTATE</t>
        </is>
      </c>
      <c r="C8" t="inlineStr">
        <is>
          <t>Y</t>
        </is>
      </c>
      <c r="D8" t="inlineStr">
        <is>
          <t>7</t>
        </is>
      </c>
      <c r="E8" t="inlineStr"/>
    </row>
    <row r="9">
      <c r="A9" t="inlineStr">
        <is>
          <t>A08</t>
        </is>
      </c>
      <c r="B9" t="inlineStr">
        <is>
          <t>BARUWA</t>
        </is>
      </c>
      <c r="C9" t="inlineStr">
        <is>
          <t>Y</t>
        </is>
      </c>
      <c r="D9" t="inlineStr">
        <is>
          <t>8</t>
        </is>
      </c>
      <c r="E9" t="inlineStr"/>
    </row>
    <row r="10">
      <c r="A10" t="inlineStr">
        <is>
          <t>A09</t>
        </is>
      </c>
      <c r="B10" t="inlineStr">
        <is>
          <t>ABORU</t>
        </is>
      </c>
      <c r="C10" t="inlineStr">
        <is>
          <t>Y</t>
        </is>
      </c>
      <c r="D10" t="inlineStr">
        <is>
          <t>9</t>
        </is>
      </c>
      <c r="E10" t="inlineStr"/>
    </row>
    <row r="11">
      <c r="A11" t="inlineStr">
        <is>
          <t>A10</t>
        </is>
      </c>
      <c r="B11" t="inlineStr">
        <is>
          <t>IYANA ISASHI</t>
        </is>
      </c>
      <c r="C11" t="inlineStr">
        <is>
          <t>Y</t>
        </is>
      </c>
      <c r="D11" t="inlineStr">
        <is>
          <t>10</t>
        </is>
      </c>
      <c r="E11" t="inlineStr">
        <is>
          <t>IYANA ISHASHI</t>
        </is>
      </c>
    </row>
    <row r="12">
      <c r="A12" t="inlineStr">
        <is>
          <t>A11</t>
        </is>
      </c>
      <c r="B12" t="inlineStr">
        <is>
          <t>WILKY</t>
        </is>
      </c>
      <c r="C12" t="inlineStr">
        <is>
          <t>Y</t>
        </is>
      </c>
      <c r="D12" t="inlineStr">
        <is>
          <t>11</t>
        </is>
      </c>
      <c r="E12" t="inlineStr"/>
    </row>
    <row r="13">
      <c r="A13" t="inlineStr">
        <is>
          <t>A12</t>
        </is>
      </c>
      <c r="B13" t="inlineStr">
        <is>
          <t>PEDRO</t>
        </is>
      </c>
      <c r="C13" t="inlineStr">
        <is>
          <t>Y</t>
        </is>
      </c>
      <c r="D13" t="inlineStr">
        <is>
          <t>12</t>
        </is>
      </c>
      <c r="E13" t="inlineStr">
        <is>
          <t>PETRO</t>
        </is>
      </c>
    </row>
    <row r="14">
      <c r="A14" t="inlineStr">
        <is>
          <t>A13</t>
        </is>
      </c>
      <c r="B14" t="inlineStr">
        <is>
          <t>IJAIYE</t>
        </is>
      </c>
      <c r="C14" t="inlineStr">
        <is>
          <t>Y</t>
        </is>
      </c>
      <c r="D14" t="inlineStr">
        <is>
          <t>13</t>
        </is>
      </c>
      <c r="E14" t="inlineStr"/>
    </row>
    <row r="15">
      <c r="A15" t="inlineStr">
        <is>
          <t>A14</t>
        </is>
      </c>
      <c r="B15" t="inlineStr">
        <is>
          <t>OGBA</t>
        </is>
      </c>
      <c r="C15" t="inlineStr">
        <is>
          <t>Y</t>
        </is>
      </c>
      <c r="D15" t="inlineStr">
        <is>
          <t>14</t>
        </is>
      </c>
      <c r="E15" t="inlineStr"/>
    </row>
    <row r="16">
      <c r="A16" t="inlineStr">
        <is>
          <t>A15</t>
        </is>
      </c>
      <c r="B16" t="inlineStr">
        <is>
          <t>YABA</t>
        </is>
      </c>
      <c r="C16" t="inlineStr">
        <is>
          <t>Y</t>
        </is>
      </c>
      <c r="D16" t="inlineStr">
        <is>
          <t>15</t>
        </is>
      </c>
      <c r="E16" t="inlineStr"/>
    </row>
    <row r="17">
      <c r="A17" t="inlineStr">
        <is>
          <t>A16</t>
        </is>
      </c>
      <c r="B17" t="inlineStr">
        <is>
          <t>MUSHIN</t>
        </is>
      </c>
      <c r="C17" t="inlineStr">
        <is>
          <t>Y</t>
        </is>
      </c>
      <c r="D17" t="inlineStr">
        <is>
          <t>16</t>
        </is>
      </c>
      <c r="E17" t="inlineStr"/>
    </row>
    <row r="18">
      <c r="A18" t="inlineStr">
        <is>
          <t>A17</t>
        </is>
      </c>
      <c r="B18" t="inlineStr">
        <is>
          <t>AMUWO</t>
        </is>
      </c>
      <c r="C18" t="inlineStr">
        <is>
          <t>Y</t>
        </is>
      </c>
      <c r="D18" t="inlineStr">
        <is>
          <t>17</t>
        </is>
      </c>
      <c r="E18" t="inlineStr">
        <is>
          <t>AMUWO ODOFIN</t>
        </is>
      </c>
    </row>
    <row r="19">
      <c r="A19" t="inlineStr">
        <is>
          <t>A18</t>
        </is>
      </c>
      <c r="B19" t="inlineStr">
        <is>
          <t>AYOBO</t>
        </is>
      </c>
      <c r="C19" t="inlineStr">
        <is>
          <t>Y</t>
        </is>
      </c>
      <c r="D19" t="inlineStr">
        <is>
          <t>18</t>
        </is>
      </c>
      <c r="E19" t="inlineStr"/>
    </row>
    <row r="20">
      <c r="A20" t="inlineStr">
        <is>
          <t>A19</t>
        </is>
      </c>
      <c r="B20" t="inlineStr">
        <is>
          <t>OLAYEMI</t>
        </is>
      </c>
      <c r="C20" t="inlineStr">
        <is>
          <t>Y</t>
        </is>
      </c>
      <c r="D20" t="inlineStr">
        <is>
          <t>19</t>
        </is>
      </c>
      <c r="E20" t="inlineStr"/>
    </row>
    <row r="21">
      <c r="A21" t="inlineStr">
        <is>
          <t>A20</t>
        </is>
      </c>
      <c r="B21" t="inlineStr">
        <is>
          <t>CANDOS</t>
        </is>
      </c>
      <c r="C21" t="inlineStr">
        <is>
          <t>Y</t>
        </is>
      </c>
      <c r="D21" t="inlineStr">
        <is>
          <t>20</t>
        </is>
      </c>
      <c r="E21" t="inlineStr"/>
    </row>
    <row r="22">
      <c r="A22" t="inlineStr">
        <is>
          <t>A21</t>
        </is>
      </c>
      <c r="B22" t="inlineStr">
        <is>
          <t>MAJIYAGBE</t>
        </is>
      </c>
      <c r="C22" t="inlineStr">
        <is>
          <t>Y</t>
        </is>
      </c>
      <c r="D22" t="inlineStr">
        <is>
          <t>21</t>
        </is>
      </c>
      <c r="E22" t="inlineStr">
        <is>
          <t>MAJIYAIGBE</t>
        </is>
      </c>
    </row>
    <row r="23">
      <c r="A23" t="inlineStr">
        <is>
          <t>A22</t>
        </is>
      </c>
      <c r="B23" t="inlineStr">
        <is>
          <t>LAFENWA</t>
        </is>
      </c>
      <c r="C23" t="inlineStr">
        <is>
          <t>Y</t>
        </is>
      </c>
      <c r="D23" t="inlineStr">
        <is>
          <t>22</t>
        </is>
      </c>
      <c r="E23" t="inlineStr"/>
    </row>
    <row r="24">
      <c r="A24" t="inlineStr">
        <is>
          <t>A23</t>
        </is>
      </c>
      <c r="B24" t="inlineStr">
        <is>
          <t>PERFECT PEACE</t>
        </is>
      </c>
      <c r="C24" t="inlineStr">
        <is>
          <t>Y</t>
        </is>
      </c>
      <c r="D24" t="inlineStr">
        <is>
          <t>23</t>
        </is>
      </c>
      <c r="E24" t="inlineStr"/>
    </row>
    <row r="25">
      <c r="A25" t="inlineStr">
        <is>
          <t>A24</t>
        </is>
      </c>
      <c r="B25" t="inlineStr">
        <is>
          <t>ANTHONY</t>
        </is>
      </c>
      <c r="C25" t="inlineStr">
        <is>
          <t>Y</t>
        </is>
      </c>
      <c r="D25" t="inlineStr">
        <is>
          <t>24</t>
        </is>
      </c>
      <c r="E25" t="inlineStr"/>
    </row>
    <row r="26">
      <c r="A26" t="inlineStr">
        <is>
          <t>A25</t>
        </is>
      </c>
      <c r="B26" t="inlineStr">
        <is>
          <t>AKUTE</t>
        </is>
      </c>
      <c r="C26" t="inlineStr">
        <is>
          <t>Y</t>
        </is>
      </c>
      <c r="D26" t="inlineStr">
        <is>
          <t>25</t>
        </is>
      </c>
      <c r="E26" t="inlineStr"/>
    </row>
    <row r="27">
      <c r="A27" t="inlineStr">
        <is>
          <t>A26</t>
        </is>
      </c>
      <c r="B27" t="inlineStr">
        <is>
          <t>DENRO</t>
        </is>
      </c>
      <c r="C27" t="inlineStr">
        <is>
          <t>Y</t>
        </is>
      </c>
      <c r="D27" t="inlineStr">
        <is>
          <t>26</t>
        </is>
      </c>
      <c r="E27" t="inlineStr"/>
    </row>
    <row r="28">
      <c r="A28" t="inlineStr">
        <is>
          <t>A27</t>
        </is>
      </c>
      <c r="B28" t="inlineStr">
        <is>
          <t>OLODI APAPA</t>
        </is>
      </c>
      <c r="C28" t="inlineStr">
        <is>
          <t>Y</t>
        </is>
      </c>
      <c r="D28" t="inlineStr">
        <is>
          <t>27</t>
        </is>
      </c>
      <c r="E28" t="inlineStr">
        <is>
          <t>0L0DI APAPA</t>
        </is>
      </c>
    </row>
    <row r="29">
      <c r="A29" t="inlineStr">
        <is>
          <t>A28</t>
        </is>
      </c>
      <c r="B29" t="inlineStr">
        <is>
          <t>PARKLANE APAPA</t>
        </is>
      </c>
      <c r="C29" t="inlineStr">
        <is>
          <t>Y</t>
        </is>
      </c>
      <c r="D29" t="inlineStr">
        <is>
          <t>28</t>
        </is>
      </c>
      <c r="E29" t="inlineStr">
        <is>
          <t>PARKLANE, APAPA;APAPA PARKLANE</t>
        </is>
      </c>
    </row>
    <row r="30">
      <c r="A30" t="inlineStr">
        <is>
          <t>A29</t>
        </is>
      </c>
      <c r="B30" t="inlineStr">
        <is>
          <t>ALAGBADO AKINDE</t>
        </is>
      </c>
      <c r="C30" t="inlineStr">
        <is>
          <t>Y</t>
        </is>
      </c>
      <c r="D30" t="inlineStr">
        <is>
          <t>29</t>
        </is>
      </c>
      <c r="E30" t="inlineStr"/>
    </row>
    <row r="31">
      <c r="A31" t="inlineStr">
        <is>
          <t>A30</t>
        </is>
      </c>
      <c r="B31" t="inlineStr">
        <is>
          <t>AIT</t>
        </is>
      </c>
      <c r="C31" t="inlineStr">
        <is>
          <t>Y</t>
        </is>
      </c>
      <c r="D31" t="inlineStr">
        <is>
          <t>30</t>
        </is>
      </c>
      <c r="E31" t="inlineStr">
        <is>
          <t>ALT</t>
        </is>
      </c>
    </row>
    <row r="32">
      <c r="A32" t="inlineStr">
        <is>
          <t>A31</t>
        </is>
      </c>
      <c r="B32" t="inlineStr">
        <is>
          <t>AGEGE</t>
        </is>
      </c>
      <c r="C32" t="inlineStr">
        <is>
          <t>Y</t>
        </is>
      </c>
      <c r="D32" t="inlineStr">
        <is>
          <t>31</t>
        </is>
      </c>
      <c r="E32" t="inlineStr"/>
    </row>
    <row r="33">
      <c r="A33" t="inlineStr">
        <is>
          <t>A32</t>
        </is>
      </c>
      <c r="B33" t="inlineStr">
        <is>
          <t>FAGBA</t>
        </is>
      </c>
      <c r="C33" t="inlineStr">
        <is>
          <t>Y</t>
        </is>
      </c>
      <c r="D33" t="inlineStr">
        <is>
          <t>32</t>
        </is>
      </c>
      <c r="E33" t="inlineStr"/>
    </row>
    <row r="34">
      <c r="A34" t="inlineStr">
        <is>
          <t>A33</t>
        </is>
      </c>
      <c r="B34" t="inlineStr">
        <is>
          <t>ATAN 1</t>
        </is>
      </c>
      <c r="C34" t="inlineStr">
        <is>
          <t>Y</t>
        </is>
      </c>
      <c r="D34" t="inlineStr">
        <is>
          <t>33</t>
        </is>
      </c>
      <c r="E34" t="inlineStr">
        <is>
          <t>ATAN;ATAN1</t>
        </is>
      </c>
    </row>
    <row r="35">
      <c r="A35" t="inlineStr">
        <is>
          <t>A34</t>
        </is>
      </c>
      <c r="B35" t="inlineStr">
        <is>
          <t>ADELANS 1</t>
        </is>
      </c>
      <c r="C35" t="inlineStr">
        <is>
          <t>Y</t>
        </is>
      </c>
      <c r="D35" t="inlineStr">
        <is>
          <t>34</t>
        </is>
      </c>
      <c r="E35" t="inlineStr">
        <is>
          <t>ADELANS;ADELANS1</t>
        </is>
      </c>
    </row>
    <row r="36">
      <c r="A36" t="inlineStr">
        <is>
          <t>A35</t>
        </is>
      </c>
      <c r="B36" t="inlineStr">
        <is>
          <t>LUSADA</t>
        </is>
      </c>
      <c r="C36" t="inlineStr">
        <is>
          <t>Y</t>
        </is>
      </c>
      <c r="D36" t="inlineStr">
        <is>
          <t>35</t>
        </is>
      </c>
      <c r="E36" t="inlineStr"/>
    </row>
    <row r="37">
      <c r="A37" t="inlineStr">
        <is>
          <t>A36</t>
        </is>
      </c>
      <c r="B37" t="inlineStr">
        <is>
          <t>IJEGUN IKOTUN</t>
        </is>
      </c>
      <c r="C37" t="inlineStr">
        <is>
          <t>Y</t>
        </is>
      </c>
      <c r="D37" t="inlineStr">
        <is>
          <t>36</t>
        </is>
      </c>
      <c r="E37" t="inlineStr"/>
    </row>
    <row r="38">
      <c r="A38" t="inlineStr">
        <is>
          <t>A37</t>
        </is>
      </c>
      <c r="B38" t="inlineStr">
        <is>
          <t>IGANDO</t>
        </is>
      </c>
      <c r="C38" t="inlineStr">
        <is>
          <t>Y</t>
        </is>
      </c>
      <c r="D38" t="inlineStr">
        <is>
          <t>37</t>
        </is>
      </c>
      <c r="E38" t="inlineStr"/>
    </row>
    <row r="39">
      <c r="A39" t="inlineStr">
        <is>
          <t>A38</t>
        </is>
      </c>
      <c r="B39" t="inlineStr">
        <is>
          <t>IYANA ODO</t>
        </is>
      </c>
      <c r="C39" t="inlineStr">
        <is>
          <t>Y</t>
        </is>
      </c>
      <c r="D39" t="inlineStr">
        <is>
          <t>38</t>
        </is>
      </c>
      <c r="E39" t="inlineStr">
        <is>
          <t>IYANA- ODO</t>
        </is>
      </c>
    </row>
    <row r="40">
      <c r="A40" t="inlineStr">
        <is>
          <t>A39</t>
        </is>
      </c>
      <c r="B40" t="inlineStr">
        <is>
          <t>ARIDA</t>
        </is>
      </c>
      <c r="C40" t="inlineStr">
        <is>
          <t>Y</t>
        </is>
      </c>
      <c r="D40" t="inlineStr">
        <is>
          <t>39</t>
        </is>
      </c>
      <c r="E40" t="inlineStr"/>
    </row>
    <row r="41">
      <c r="A41" t="inlineStr">
        <is>
          <t>A40</t>
        </is>
      </c>
      <c r="B41" t="inlineStr">
        <is>
          <t>SHASHA</t>
        </is>
      </c>
      <c r="C41" t="inlineStr">
        <is>
          <t>Y</t>
        </is>
      </c>
      <c r="D41" t="inlineStr">
        <is>
          <t>40</t>
        </is>
      </c>
      <c r="E41" t="inlineStr"/>
    </row>
    <row r="42">
      <c r="A42" t="inlineStr">
        <is>
          <t>A41</t>
        </is>
      </c>
      <c r="B42" t="inlineStr">
        <is>
          <t>EGBEDA</t>
        </is>
      </c>
      <c r="C42" t="inlineStr">
        <is>
          <t>Y</t>
        </is>
      </c>
      <c r="D42" t="inlineStr">
        <is>
          <t>41</t>
        </is>
      </c>
      <c r="E42" t="inlineStr"/>
    </row>
    <row r="43">
      <c r="A43" t="inlineStr">
        <is>
          <t>A42</t>
        </is>
      </c>
      <c r="B43" t="inlineStr">
        <is>
          <t>OREGUN IKEJA</t>
        </is>
      </c>
      <c r="C43" t="inlineStr">
        <is>
          <t>Y</t>
        </is>
      </c>
      <c r="D43" t="inlineStr">
        <is>
          <t>42</t>
        </is>
      </c>
      <c r="E43" t="inlineStr">
        <is>
          <t>OREGUN-IKEJA;IKEJA</t>
        </is>
      </c>
    </row>
    <row r="44">
      <c r="A44" t="inlineStr">
        <is>
          <t>A43</t>
        </is>
      </c>
      <c r="B44" t="inlineStr">
        <is>
          <t>CEMENT</t>
        </is>
      </c>
      <c r="C44" t="inlineStr">
        <is>
          <t>Y</t>
        </is>
      </c>
      <c r="D44" t="inlineStr">
        <is>
          <t>43</t>
        </is>
      </c>
      <c r="E44" t="inlineStr"/>
    </row>
    <row r="45">
      <c r="A45" t="inlineStr">
        <is>
          <t>A44</t>
        </is>
      </c>
      <c r="B45" t="inlineStr">
        <is>
          <t>OJODU BERGER 1</t>
        </is>
      </c>
      <c r="C45" t="inlineStr">
        <is>
          <t>Y</t>
        </is>
      </c>
      <c r="D45" t="inlineStr">
        <is>
          <t>44</t>
        </is>
      </c>
      <c r="E45" t="inlineStr"/>
    </row>
    <row r="46">
      <c r="A46" t="inlineStr">
        <is>
          <t>A45</t>
        </is>
      </c>
      <c r="B46" t="inlineStr">
        <is>
          <t>IFAKO</t>
        </is>
      </c>
      <c r="C46" t="inlineStr">
        <is>
          <t>Y</t>
        </is>
      </c>
      <c r="D46" t="inlineStr">
        <is>
          <t>45</t>
        </is>
      </c>
      <c r="E46" t="inlineStr"/>
    </row>
    <row r="47">
      <c r="A47" t="inlineStr">
        <is>
          <t>A46</t>
        </is>
      </c>
      <c r="B47" t="inlineStr">
        <is>
          <t>ISHERI OPIC</t>
        </is>
      </c>
      <c r="C47" t="inlineStr">
        <is>
          <t>Y</t>
        </is>
      </c>
      <c r="D47" t="inlineStr">
        <is>
          <t>46</t>
        </is>
      </c>
      <c r="E47" t="inlineStr">
        <is>
          <t>ISHERI-OPIC</t>
        </is>
      </c>
    </row>
    <row r="48">
      <c r="A48" t="inlineStr">
        <is>
          <t>A47</t>
        </is>
      </c>
      <c r="B48" t="inlineStr">
        <is>
          <t>OJODU BERGER 2</t>
        </is>
      </c>
      <c r="C48" t="inlineStr">
        <is>
          <t>Y</t>
        </is>
      </c>
      <c r="D48" t="inlineStr">
        <is>
          <t>47</t>
        </is>
      </c>
      <c r="E48" t="inlineStr"/>
    </row>
    <row r="49">
      <c r="A49" t="inlineStr">
        <is>
          <t>A48</t>
        </is>
      </c>
      <c r="B49" t="inlineStr">
        <is>
          <t>IKOSI KETU</t>
        </is>
      </c>
      <c r="C49" t="inlineStr">
        <is>
          <t>Y</t>
        </is>
      </c>
      <c r="D49" t="inlineStr">
        <is>
          <t>48</t>
        </is>
      </c>
      <c r="E49" t="inlineStr">
        <is>
          <t>IKOSI-KETU</t>
        </is>
      </c>
    </row>
    <row r="50">
      <c r="A50" t="inlineStr">
        <is>
          <t>A49</t>
        </is>
      </c>
      <c r="B50" t="inlineStr">
        <is>
          <t>MAGODO GRA</t>
        </is>
      </c>
      <c r="C50" t="inlineStr">
        <is>
          <t>Y</t>
        </is>
      </c>
      <c r="D50" t="inlineStr">
        <is>
          <t>49</t>
        </is>
      </c>
      <c r="E50" t="inlineStr">
        <is>
          <t>MAGODO</t>
        </is>
      </c>
    </row>
    <row r="51">
      <c r="A51" t="inlineStr">
        <is>
          <t>A50</t>
        </is>
      </c>
      <c r="B51" t="inlineStr">
        <is>
          <t>OKOKOMAIKO</t>
        </is>
      </c>
      <c r="C51" t="inlineStr">
        <is>
          <t>Y</t>
        </is>
      </c>
      <c r="D51" t="inlineStr">
        <is>
          <t>50</t>
        </is>
      </c>
      <c r="E51" t="inlineStr"/>
    </row>
    <row r="52">
      <c r="A52" t="inlineStr">
        <is>
          <t>A51</t>
        </is>
      </c>
      <c r="B52" t="inlineStr">
        <is>
          <t>AGBARA</t>
        </is>
      </c>
      <c r="C52" t="inlineStr">
        <is>
          <t>Y</t>
        </is>
      </c>
      <c r="D52" t="inlineStr">
        <is>
          <t>51</t>
        </is>
      </c>
      <c r="E52" t="inlineStr"/>
    </row>
    <row r="53">
      <c r="A53" t="inlineStr">
        <is>
          <t>A52</t>
        </is>
      </c>
      <c r="B53" t="inlineStr">
        <is>
          <t>IDORAWA EDU</t>
        </is>
      </c>
      <c r="C53" t="inlineStr">
        <is>
          <t>Y</t>
        </is>
      </c>
      <c r="D53" t="inlineStr">
        <is>
          <t>52</t>
        </is>
      </c>
      <c r="E53" t="inlineStr">
        <is>
          <t>IDORAWA;IDOWARA EDU</t>
        </is>
      </c>
    </row>
    <row r="54">
      <c r="A54" t="inlineStr">
        <is>
          <t>A53</t>
        </is>
      </c>
      <c r="B54" t="inlineStr">
        <is>
          <t>IJURI</t>
        </is>
      </c>
      <c r="C54" t="inlineStr">
        <is>
          <t>Y</t>
        </is>
      </c>
      <c r="D54" t="inlineStr">
        <is>
          <t>53</t>
        </is>
      </c>
      <c r="E54" t="inlineStr"/>
    </row>
    <row r="55">
      <c r="A55" t="inlineStr">
        <is>
          <t>A54</t>
        </is>
      </c>
      <c r="B55" t="inlineStr">
        <is>
          <t>BADAGRY</t>
        </is>
      </c>
      <c r="C55" t="inlineStr">
        <is>
          <t>Y</t>
        </is>
      </c>
      <c r="D55" t="inlineStr">
        <is>
          <t>54</t>
        </is>
      </c>
      <c r="E55" t="inlineStr"/>
    </row>
    <row r="56">
      <c r="A56" t="inlineStr">
        <is>
          <t>A55</t>
        </is>
      </c>
      <c r="B56" t="inlineStr">
        <is>
          <t>IBIYE</t>
        </is>
      </c>
      <c r="C56" t="inlineStr">
        <is>
          <t>Y</t>
        </is>
      </c>
      <c r="D56" t="inlineStr">
        <is>
          <t>55</t>
        </is>
      </c>
      <c r="E56" t="inlineStr"/>
    </row>
    <row r="57">
      <c r="A57" t="inlineStr">
        <is>
          <t>A56</t>
        </is>
      </c>
      <c r="B57" t="inlineStr">
        <is>
          <t>OKOTA</t>
        </is>
      </c>
      <c r="C57" t="inlineStr">
        <is>
          <t>Y</t>
        </is>
      </c>
      <c r="D57" t="inlineStr">
        <is>
          <t>56</t>
        </is>
      </c>
      <c r="E57" t="inlineStr"/>
    </row>
    <row r="58">
      <c r="A58" t="inlineStr">
        <is>
          <t>A57</t>
        </is>
      </c>
      <c r="B58" t="inlineStr">
        <is>
          <t>OSHODI</t>
        </is>
      </c>
      <c r="C58" t="inlineStr">
        <is>
          <t>Y</t>
        </is>
      </c>
      <c r="D58" t="inlineStr">
        <is>
          <t>57</t>
        </is>
      </c>
      <c r="E58" t="inlineStr"/>
    </row>
    <row r="59">
      <c r="A59" t="inlineStr">
        <is>
          <t>A58</t>
        </is>
      </c>
      <c r="B59" t="inlineStr">
        <is>
          <t>FESTAC</t>
        </is>
      </c>
      <c r="C59" t="inlineStr">
        <is>
          <t>Y</t>
        </is>
      </c>
      <c r="D59" t="inlineStr">
        <is>
          <t>58</t>
        </is>
      </c>
      <c r="E59" t="inlineStr"/>
    </row>
    <row r="60">
      <c r="A60" t="inlineStr">
        <is>
          <t>A59</t>
        </is>
      </c>
      <c r="B60" t="inlineStr">
        <is>
          <t>IJU ISHAGA</t>
        </is>
      </c>
      <c r="C60" t="inlineStr">
        <is>
          <t>Y</t>
        </is>
      </c>
      <c r="D60" t="inlineStr">
        <is>
          <t>59</t>
        </is>
      </c>
      <c r="E60" t="inlineStr">
        <is>
          <t>IJU - ISHAGA;IJU-ISHAGA</t>
        </is>
      </c>
    </row>
    <row r="61">
      <c r="A61" t="inlineStr">
        <is>
          <t>A60</t>
        </is>
      </c>
      <c r="B61" t="inlineStr">
        <is>
          <t>EMDEO</t>
        </is>
      </c>
      <c r="C61" t="inlineStr">
        <is>
          <t>Y</t>
        </is>
      </c>
      <c r="D61" t="inlineStr">
        <is>
          <t>60</t>
        </is>
      </c>
      <c r="E61" t="inlineStr"/>
    </row>
    <row r="62">
      <c r="A62" t="inlineStr">
        <is>
          <t>A61</t>
        </is>
      </c>
      <c r="B62" t="inlineStr">
        <is>
          <t>AGBADO</t>
        </is>
      </c>
      <c r="C62" t="inlineStr">
        <is>
          <t>Y</t>
        </is>
      </c>
      <c r="D62" t="inlineStr">
        <is>
          <t>61</t>
        </is>
      </c>
      <c r="E62" t="inlineStr"/>
    </row>
    <row r="63">
      <c r="A63" t="inlineStr">
        <is>
          <t>A62</t>
        </is>
      </c>
      <c r="B63" t="inlineStr">
        <is>
          <t>BODE WILLIAMS</t>
        </is>
      </c>
      <c r="C63" t="inlineStr">
        <is>
          <t>Y</t>
        </is>
      </c>
      <c r="D63" t="inlineStr">
        <is>
          <t>62</t>
        </is>
      </c>
      <c r="E63" t="inlineStr"/>
    </row>
    <row r="64">
      <c r="A64" t="inlineStr">
        <is>
          <t>A63</t>
        </is>
      </c>
      <c r="B64" t="inlineStr">
        <is>
          <t>LEKKI</t>
        </is>
      </c>
      <c r="C64" t="inlineStr">
        <is>
          <t>Y</t>
        </is>
      </c>
      <c r="D64" t="inlineStr">
        <is>
          <t>63</t>
        </is>
      </c>
      <c r="E64" t="inlineStr"/>
    </row>
    <row r="65">
      <c r="A65" t="inlineStr">
        <is>
          <t>A64</t>
        </is>
      </c>
      <c r="B65" t="inlineStr">
        <is>
          <t>VGC</t>
        </is>
      </c>
      <c r="C65" t="inlineStr">
        <is>
          <t>Y</t>
        </is>
      </c>
      <c r="D65" t="inlineStr">
        <is>
          <t>64</t>
        </is>
      </c>
      <c r="E65" t="inlineStr"/>
    </row>
    <row r="66">
      <c r="A66" t="inlineStr">
        <is>
          <t>A65</t>
        </is>
      </c>
      <c r="B66" t="inlineStr">
        <is>
          <t>AJAH</t>
        </is>
      </c>
      <c r="C66" t="inlineStr">
        <is>
          <t>Y</t>
        </is>
      </c>
      <c r="D66" t="inlineStr">
        <is>
          <t>65</t>
        </is>
      </c>
      <c r="E66" t="inlineStr"/>
    </row>
    <row r="67">
      <c r="A67" t="inlineStr">
        <is>
          <t>A66</t>
        </is>
      </c>
      <c r="B67" t="inlineStr">
        <is>
          <t>BADORE</t>
        </is>
      </c>
      <c r="C67" t="inlineStr">
        <is>
          <t>Y</t>
        </is>
      </c>
      <c r="D67" t="inlineStr">
        <is>
          <t>66</t>
        </is>
      </c>
      <c r="E67" t="inlineStr"/>
    </row>
    <row r="68">
      <c r="A68" t="inlineStr">
        <is>
          <t>A67</t>
        </is>
      </c>
      <c r="B68" t="inlineStr">
        <is>
          <t>SURULERE</t>
        </is>
      </c>
      <c r="C68" t="inlineStr">
        <is>
          <t>Y</t>
        </is>
      </c>
      <c r="D68" t="inlineStr">
        <is>
          <t>67</t>
        </is>
      </c>
      <c r="E68" t="inlineStr"/>
    </row>
    <row r="69">
      <c r="A69" t="inlineStr">
        <is>
          <t>A68</t>
        </is>
      </c>
      <c r="B69" t="inlineStr">
        <is>
          <t>LAWANSON</t>
        </is>
      </c>
      <c r="C69" t="inlineStr">
        <is>
          <t>Y</t>
        </is>
      </c>
      <c r="D69" t="inlineStr">
        <is>
          <t>68</t>
        </is>
      </c>
      <c r="E69" t="inlineStr"/>
    </row>
    <row r="70">
      <c r="A70" t="inlineStr">
        <is>
          <t>A69</t>
        </is>
      </c>
      <c r="B70" t="inlineStr">
        <is>
          <t>MASHA</t>
        </is>
      </c>
      <c r="C70" t="inlineStr">
        <is>
          <t>Y</t>
        </is>
      </c>
      <c r="D70" t="inlineStr">
        <is>
          <t>69</t>
        </is>
      </c>
      <c r="E70" t="inlineStr"/>
    </row>
    <row r="71">
      <c r="A71" t="inlineStr">
        <is>
          <t>A70</t>
        </is>
      </c>
      <c r="B71" t="inlineStr">
        <is>
          <t>ILAJE</t>
        </is>
      </c>
      <c r="C71" t="inlineStr">
        <is>
          <t>Y</t>
        </is>
      </c>
      <c r="D71" t="inlineStr">
        <is>
          <t>70</t>
        </is>
      </c>
      <c r="E71" t="inlineStr"/>
    </row>
    <row r="72">
      <c r="A72" t="inlineStr">
        <is>
          <t>A71</t>
        </is>
      </c>
      <c r="B72" t="inlineStr">
        <is>
          <t>OWODE</t>
        </is>
      </c>
      <c r="C72" t="inlineStr">
        <is>
          <t>Y</t>
        </is>
      </c>
      <c r="D72" t="inlineStr">
        <is>
          <t>71</t>
        </is>
      </c>
      <c r="E72" t="inlineStr"/>
    </row>
    <row r="73">
      <c r="A73" t="inlineStr">
        <is>
          <t>A72</t>
        </is>
      </c>
      <c r="B73" t="inlineStr">
        <is>
          <t>SANGO OTA</t>
        </is>
      </c>
      <c r="C73" t="inlineStr">
        <is>
          <t>Y</t>
        </is>
      </c>
      <c r="D73" t="inlineStr">
        <is>
          <t>72</t>
        </is>
      </c>
      <c r="E73" t="inlineStr">
        <is>
          <t>SANGO-OTA</t>
        </is>
      </c>
    </row>
    <row r="74">
      <c r="A74" t="inlineStr">
        <is>
          <t>A73</t>
        </is>
      </c>
      <c r="B74" t="inlineStr">
        <is>
          <t>ABEBI OTA</t>
        </is>
      </c>
      <c r="C74" t="inlineStr">
        <is>
          <t>Y</t>
        </is>
      </c>
      <c r="D74" t="inlineStr">
        <is>
          <t>73</t>
        </is>
      </c>
      <c r="E74" t="inlineStr">
        <is>
          <t>ABEBI - OTA</t>
        </is>
      </c>
    </row>
    <row r="75">
      <c r="A75" t="inlineStr">
        <is>
          <t>A74</t>
        </is>
      </c>
      <c r="B75" t="inlineStr">
        <is>
          <t>IGBALA</t>
        </is>
      </c>
      <c r="C75" t="inlineStr">
        <is>
          <t>Y</t>
        </is>
      </c>
      <c r="D75" t="inlineStr">
        <is>
          <t>74</t>
        </is>
      </c>
      <c r="E75" t="inlineStr"/>
    </row>
    <row r="76">
      <c r="A76" t="inlineStr">
        <is>
          <t>A75</t>
        </is>
      </c>
      <c r="B76" t="inlineStr">
        <is>
          <t>ILOGBO OTA</t>
        </is>
      </c>
      <c r="C76" t="inlineStr">
        <is>
          <t>Y</t>
        </is>
      </c>
      <c r="D76" t="inlineStr">
        <is>
          <t>75</t>
        </is>
      </c>
      <c r="E76" t="inlineStr">
        <is>
          <t>ILOGBO, OTA;ILOGBO</t>
        </is>
      </c>
    </row>
    <row r="77">
      <c r="A77" t="inlineStr">
        <is>
          <t>A76</t>
        </is>
      </c>
      <c r="B77" t="inlineStr">
        <is>
          <t>IJOKO</t>
        </is>
      </c>
      <c r="C77" t="inlineStr">
        <is>
          <t>Y</t>
        </is>
      </c>
      <c r="D77" t="inlineStr">
        <is>
          <t>76</t>
        </is>
      </c>
      <c r="E77" t="inlineStr">
        <is>
          <t>IJOKO (76)</t>
        </is>
      </c>
    </row>
    <row r="78">
      <c r="A78" t="inlineStr">
        <is>
          <t>A77</t>
        </is>
      </c>
      <c r="B78" t="inlineStr">
        <is>
          <t>WHITEHOUSE</t>
        </is>
      </c>
      <c r="C78" t="inlineStr">
        <is>
          <t>Y</t>
        </is>
      </c>
      <c r="D78" t="inlineStr">
        <is>
          <t>77</t>
        </is>
      </c>
      <c r="E78" t="inlineStr">
        <is>
          <t>WHITEHOUSE (77)</t>
        </is>
      </c>
    </row>
    <row r="79">
      <c r="A79" t="inlineStr">
        <is>
          <t>A78</t>
        </is>
      </c>
      <c r="B79" t="inlineStr">
        <is>
          <t>IYESI 2</t>
        </is>
      </c>
      <c r="C79" t="inlineStr">
        <is>
          <t>Y</t>
        </is>
      </c>
      <c r="D79" t="inlineStr">
        <is>
          <t>78</t>
        </is>
      </c>
      <c r="E79" t="inlineStr"/>
    </row>
    <row r="80">
      <c r="A80" t="inlineStr">
        <is>
          <t>A79</t>
        </is>
      </c>
      <c r="B80" t="inlineStr">
        <is>
          <t>HIGH COURT</t>
        </is>
      </c>
      <c r="C80" t="inlineStr">
        <is>
          <t>Y</t>
        </is>
      </c>
      <c r="D80" t="inlineStr">
        <is>
          <t>79</t>
        </is>
      </c>
      <c r="E80" t="inlineStr">
        <is>
          <t>HIGH COURT (79)</t>
        </is>
      </c>
    </row>
    <row r="81">
      <c r="A81" t="inlineStr">
        <is>
          <t>A80</t>
        </is>
      </c>
      <c r="B81" t="inlineStr">
        <is>
          <t>ATAN 2</t>
        </is>
      </c>
      <c r="C81" t="inlineStr">
        <is>
          <t>Y</t>
        </is>
      </c>
      <c r="D81" t="inlineStr">
        <is>
          <t>80</t>
        </is>
      </c>
      <c r="E81" t="inlineStr"/>
    </row>
    <row r="82">
      <c r="A82" t="inlineStr">
        <is>
          <t>A81</t>
        </is>
      </c>
      <c r="B82" t="inlineStr">
        <is>
          <t>ADELANS 2</t>
        </is>
      </c>
      <c r="C82" t="inlineStr">
        <is>
          <t>Y</t>
        </is>
      </c>
      <c r="D82" t="inlineStr">
        <is>
          <t>81</t>
        </is>
      </c>
      <c r="E82" t="inlineStr"/>
    </row>
    <row r="83">
      <c r="A83" t="inlineStr">
        <is>
          <t>A82</t>
        </is>
      </c>
      <c r="B83" t="inlineStr">
        <is>
          <t>AMJE</t>
        </is>
      </c>
      <c r="C83" t="inlineStr">
        <is>
          <t>Y</t>
        </is>
      </c>
      <c r="D83" t="inlineStr">
        <is>
          <t>82</t>
        </is>
      </c>
      <c r="E83" t="inlineStr"/>
    </row>
    <row r="84">
      <c r="A84" t="inlineStr">
        <is>
          <t>A83</t>
        </is>
      </c>
      <c r="B84" t="inlineStr">
        <is>
          <t>IKOLA COMMAND</t>
        </is>
      </c>
      <c r="C84" t="inlineStr">
        <is>
          <t>Y</t>
        </is>
      </c>
      <c r="D84" t="inlineStr">
        <is>
          <t>83</t>
        </is>
      </c>
      <c r="E84" t="inlineStr">
        <is>
          <t>IKOLA/COMMAND</t>
        </is>
      </c>
    </row>
    <row r="85">
      <c r="A85" t="inlineStr">
        <is>
          <t>A84</t>
        </is>
      </c>
      <c r="B85" t="inlineStr">
        <is>
          <t>EJIGBO</t>
        </is>
      </c>
      <c r="C85" t="inlineStr">
        <is>
          <t>Y</t>
        </is>
      </c>
      <c r="D85" t="inlineStr">
        <is>
          <t>84</t>
        </is>
      </c>
      <c r="E85" t="inlineStr"/>
    </row>
    <row r="86">
      <c r="A86" t="inlineStr">
        <is>
          <t>A85</t>
        </is>
      </c>
      <c r="B86" t="inlineStr">
        <is>
          <t>IJEDODO</t>
        </is>
      </c>
      <c r="C86" t="inlineStr">
        <is>
          <t>Y</t>
        </is>
      </c>
      <c r="D86" t="inlineStr">
        <is>
          <t>85</t>
        </is>
      </c>
      <c r="E86" t="inlineStr"/>
    </row>
    <row r="87">
      <c r="A87" t="inlineStr">
        <is>
          <t>A86</t>
        </is>
      </c>
      <c r="B87" t="inlineStr">
        <is>
          <t>LSDPC</t>
        </is>
      </c>
      <c r="C87" t="inlineStr">
        <is>
          <t>Y</t>
        </is>
      </c>
      <c r="D87" t="inlineStr">
        <is>
          <t>86</t>
        </is>
      </c>
      <c r="E87" t="inlineStr"/>
    </row>
    <row r="88">
      <c r="A88" t="inlineStr">
        <is>
          <t>A87</t>
        </is>
      </c>
      <c r="B88" t="inlineStr">
        <is>
          <t>ILOGBO OKOKO</t>
        </is>
      </c>
      <c r="C88" t="inlineStr">
        <is>
          <t>Y</t>
        </is>
      </c>
      <c r="D88" t="inlineStr">
        <is>
          <t>87</t>
        </is>
      </c>
      <c r="E88" t="inlineStr">
        <is>
          <t>ILOGBO,OKOKO;ILOGBO-OKOKO</t>
        </is>
      </c>
    </row>
    <row r="89">
      <c r="A89" t="inlineStr">
        <is>
          <t>A88</t>
        </is>
      </c>
      <c r="B89" t="inlineStr">
        <is>
          <t>GBAGADA</t>
        </is>
      </c>
      <c r="C89" t="inlineStr">
        <is>
          <t>Y</t>
        </is>
      </c>
      <c r="D89" t="inlineStr">
        <is>
          <t>88</t>
        </is>
      </c>
      <c r="E89" t="inlineStr"/>
    </row>
    <row r="90">
      <c r="A90" t="inlineStr">
        <is>
          <t>A89</t>
        </is>
      </c>
      <c r="B90" t="inlineStr">
        <is>
          <t>ILUPEJU</t>
        </is>
      </c>
      <c r="C90" t="inlineStr">
        <is>
          <t>Y</t>
        </is>
      </c>
      <c r="D90" t="inlineStr">
        <is>
          <t>89</t>
        </is>
      </c>
      <c r="E90" t="inlineStr">
        <is>
          <t>ILLUPEJU</t>
        </is>
      </c>
    </row>
    <row r="91">
      <c r="A91" t="inlineStr">
        <is>
          <t>A90</t>
        </is>
      </c>
      <c r="B91" t="inlineStr">
        <is>
          <t>SATELLITE TOWN</t>
        </is>
      </c>
      <c r="C91" t="inlineStr">
        <is>
          <t>Y</t>
        </is>
      </c>
      <c r="D91" t="inlineStr">
        <is>
          <t>90</t>
        </is>
      </c>
      <c r="E91" t="inlineStr">
        <is>
          <t>SATELITE;SATELLITE</t>
        </is>
      </c>
    </row>
    <row r="92">
      <c r="A92" t="inlineStr">
        <is>
          <t>A91</t>
        </is>
      </c>
      <c r="B92" t="inlineStr">
        <is>
          <t>IKOYI</t>
        </is>
      </c>
      <c r="C92" t="inlineStr">
        <is>
          <t>Y</t>
        </is>
      </c>
      <c r="D92" t="inlineStr">
        <is>
          <t>91</t>
        </is>
      </c>
      <c r="E92" t="inlineStr"/>
    </row>
    <row r="93">
      <c r="A93" t="inlineStr">
        <is>
          <t>A92</t>
        </is>
      </c>
      <c r="B93" t="inlineStr">
        <is>
          <t>ETI-OSA</t>
        </is>
      </c>
      <c r="C93" t="inlineStr">
        <is>
          <t>Y</t>
        </is>
      </c>
      <c r="D93" t="inlineStr">
        <is>
          <t>92</t>
        </is>
      </c>
      <c r="E93" t="inlineStr">
        <is>
          <t>ETI -OSA;ETI OSA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ADB3B7"/>
    <outlinePr summaryBelow="1" summaryRight="1"/>
    <pageSetUpPr/>
  </sheetPr>
  <dimension ref="A1:E116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0" customWidth="1" min="4" max="4"/>
    <col width="8" customWidth="1" min="5" max="5"/>
  </cols>
  <sheetData>
    <row r="1">
      <c r="A1" s="178" t="inlineStr">
        <is>
          <t>Zone_ID</t>
        </is>
      </c>
      <c r="B1" s="178" t="inlineStr">
        <is>
          <t>Zone_Name</t>
        </is>
      </c>
      <c r="C1" s="178" t="inlineStr">
        <is>
          <t>Area_Name</t>
        </is>
      </c>
      <c r="D1" s="178" t="inlineStr">
        <is>
          <t>Has_CHOP</t>
        </is>
      </c>
      <c r="E1" s="178" t="inlineStr">
        <is>
          <t>Active</t>
        </is>
      </c>
    </row>
    <row r="2">
      <c r="A2" t="inlineStr">
        <is>
          <t>LFC0101</t>
        </is>
      </c>
      <c r="B2" t="inlineStr">
        <is>
          <t>LFC0101</t>
        </is>
      </c>
      <c r="C2" t="inlineStr">
        <is>
          <t>CANAANLAND 2</t>
        </is>
      </c>
      <c r="D2" t="inlineStr"/>
      <c r="E2" t="inlineStr">
        <is>
          <t>Y</t>
        </is>
      </c>
    </row>
    <row r="3">
      <c r="A3" t="inlineStr">
        <is>
          <t>LFC0102</t>
        </is>
      </c>
      <c r="B3" t="inlineStr">
        <is>
          <t>LFC0102</t>
        </is>
      </c>
      <c r="C3" t="inlineStr">
        <is>
          <t>CANAANLAND 2</t>
        </is>
      </c>
      <c r="D3" t="inlineStr"/>
      <c r="E3" t="inlineStr">
        <is>
          <t>Y</t>
        </is>
      </c>
    </row>
    <row r="4">
      <c r="A4" t="inlineStr">
        <is>
          <t>LFC0103</t>
        </is>
      </c>
      <c r="B4" t="inlineStr">
        <is>
          <t>LFC0103</t>
        </is>
      </c>
      <c r="C4" t="inlineStr">
        <is>
          <t>CANAANLAND 2</t>
        </is>
      </c>
      <c r="D4" t="inlineStr"/>
      <c r="E4" t="inlineStr">
        <is>
          <t>Y</t>
        </is>
      </c>
    </row>
    <row r="5">
      <c r="A5" t="inlineStr">
        <is>
          <t>LFC0104</t>
        </is>
      </c>
      <c r="B5" t="inlineStr">
        <is>
          <t>LFC0104</t>
        </is>
      </c>
      <c r="C5" t="inlineStr">
        <is>
          <t>CANAANLAND 2</t>
        </is>
      </c>
      <c r="D5" t="inlineStr"/>
      <c r="E5" t="inlineStr">
        <is>
          <t>Y</t>
        </is>
      </c>
    </row>
    <row r="6">
      <c r="A6" t="inlineStr">
        <is>
          <t>LFC0105</t>
        </is>
      </c>
      <c r="B6" t="inlineStr">
        <is>
          <t>LFC0105</t>
        </is>
      </c>
      <c r="C6" t="inlineStr">
        <is>
          <t>CANAANLAND 2</t>
        </is>
      </c>
      <c r="D6" t="inlineStr"/>
      <c r="E6" t="inlineStr">
        <is>
          <t>Y</t>
        </is>
      </c>
    </row>
    <row r="7">
      <c r="A7" t="inlineStr">
        <is>
          <t>LFC0106</t>
        </is>
      </c>
      <c r="B7" t="inlineStr">
        <is>
          <t>LFC0106</t>
        </is>
      </c>
      <c r="C7" t="inlineStr">
        <is>
          <t>CANAANLAND 2</t>
        </is>
      </c>
      <c r="D7" t="inlineStr"/>
      <c r="E7" t="inlineStr">
        <is>
          <t>Y</t>
        </is>
      </c>
    </row>
    <row r="8">
      <c r="A8" t="inlineStr">
        <is>
          <t>LFC0107</t>
        </is>
      </c>
      <c r="B8" t="inlineStr">
        <is>
          <t>LFC0107</t>
        </is>
      </c>
      <c r="C8" t="inlineStr">
        <is>
          <t>CANAANLAND 2</t>
        </is>
      </c>
      <c r="D8" t="inlineStr"/>
      <c r="E8" t="inlineStr">
        <is>
          <t>Y</t>
        </is>
      </c>
    </row>
    <row r="9">
      <c r="A9" t="inlineStr">
        <is>
          <t>LFC0108</t>
        </is>
      </c>
      <c r="B9" t="inlineStr">
        <is>
          <t>LFC0108</t>
        </is>
      </c>
      <c r="C9" t="inlineStr">
        <is>
          <t>CANAANLAND 2</t>
        </is>
      </c>
      <c r="D9" t="inlineStr"/>
      <c r="E9" t="inlineStr">
        <is>
          <t>Y</t>
        </is>
      </c>
    </row>
    <row r="10">
      <c r="A10" t="inlineStr">
        <is>
          <t>LFC0109</t>
        </is>
      </c>
      <c r="B10" t="inlineStr">
        <is>
          <t>LFC0109</t>
        </is>
      </c>
      <c r="C10" t="inlineStr">
        <is>
          <t>CANAANLAND 2</t>
        </is>
      </c>
      <c r="D10" t="inlineStr"/>
      <c r="E10" t="inlineStr">
        <is>
          <t>Y</t>
        </is>
      </c>
    </row>
    <row r="11">
      <c r="A11" t="inlineStr">
        <is>
          <t>LFC0110</t>
        </is>
      </c>
      <c r="B11" t="inlineStr">
        <is>
          <t>LFC0110</t>
        </is>
      </c>
      <c r="C11" t="inlineStr">
        <is>
          <t>CANAANLAND 2</t>
        </is>
      </c>
      <c r="D11" t="inlineStr"/>
      <c r="E11" t="inlineStr">
        <is>
          <t>Y</t>
        </is>
      </c>
    </row>
    <row r="12">
      <c r="A12" t="inlineStr">
        <is>
          <t>LFC0111</t>
        </is>
      </c>
      <c r="B12" t="inlineStr">
        <is>
          <t>LFC0111</t>
        </is>
      </c>
      <c r="C12" t="inlineStr">
        <is>
          <t>CANAANLAND 2</t>
        </is>
      </c>
      <c r="D12" t="inlineStr"/>
      <c r="E12" t="inlineStr">
        <is>
          <t>Y</t>
        </is>
      </c>
    </row>
    <row r="13">
      <c r="A13" t="inlineStr">
        <is>
          <t>LFC0112</t>
        </is>
      </c>
      <c r="B13" t="inlineStr">
        <is>
          <t>LFC0112</t>
        </is>
      </c>
      <c r="C13" t="inlineStr">
        <is>
          <t>CANAANLAND 2</t>
        </is>
      </c>
      <c r="D13" t="inlineStr"/>
      <c r="E13" t="inlineStr">
        <is>
          <t>Y</t>
        </is>
      </c>
    </row>
    <row r="14">
      <c r="A14" t="inlineStr">
        <is>
          <t>LFC0113</t>
        </is>
      </c>
      <c r="B14" t="inlineStr">
        <is>
          <t>LFC0113</t>
        </is>
      </c>
      <c r="C14" t="inlineStr">
        <is>
          <t>CANAANLAND 2</t>
        </is>
      </c>
      <c r="D14" t="inlineStr"/>
      <c r="E14" t="inlineStr">
        <is>
          <t>Y</t>
        </is>
      </c>
    </row>
    <row r="15">
      <c r="A15" t="inlineStr">
        <is>
          <t>LFC0114</t>
        </is>
      </c>
      <c r="B15" t="inlineStr">
        <is>
          <t>LFC0114</t>
        </is>
      </c>
      <c r="C15" t="inlineStr">
        <is>
          <t>CANAANLAND 2</t>
        </is>
      </c>
      <c r="D15" t="inlineStr"/>
      <c r="E15" t="inlineStr">
        <is>
          <t>Y</t>
        </is>
      </c>
    </row>
    <row r="16">
      <c r="A16" t="inlineStr">
        <is>
          <t>LFC0115</t>
        </is>
      </c>
      <c r="B16" t="inlineStr">
        <is>
          <t>LFC0115</t>
        </is>
      </c>
      <c r="C16" t="inlineStr">
        <is>
          <t>CANAANLAND 2</t>
        </is>
      </c>
      <c r="D16" t="inlineStr"/>
      <c r="E16" t="inlineStr">
        <is>
          <t>Y</t>
        </is>
      </c>
    </row>
    <row r="17">
      <c r="A17" t="inlineStr">
        <is>
          <t>LFC0116</t>
        </is>
      </c>
      <c r="B17" t="inlineStr">
        <is>
          <t>LFC0116</t>
        </is>
      </c>
      <c r="C17" t="inlineStr">
        <is>
          <t>CANAANLAND 2</t>
        </is>
      </c>
      <c r="D17" t="inlineStr"/>
      <c r="E17" t="inlineStr">
        <is>
          <t>Y</t>
        </is>
      </c>
    </row>
    <row r="18">
      <c r="A18" t="inlineStr">
        <is>
          <t>LFC0117</t>
        </is>
      </c>
      <c r="B18" t="inlineStr">
        <is>
          <t>LFC0117</t>
        </is>
      </c>
      <c r="C18" t="inlineStr">
        <is>
          <t>CANAANLAND 2</t>
        </is>
      </c>
      <c r="D18" t="inlineStr"/>
      <c r="E18" t="inlineStr">
        <is>
          <t>Y</t>
        </is>
      </c>
    </row>
    <row r="19">
      <c r="A19" t="inlineStr">
        <is>
          <t>LFC0122</t>
        </is>
      </c>
      <c r="B19" t="inlineStr">
        <is>
          <t>LFC0122</t>
        </is>
      </c>
      <c r="C19" t="inlineStr">
        <is>
          <t>CANAANLAND 2</t>
        </is>
      </c>
      <c r="D19" t="inlineStr"/>
      <c r="E19" t="inlineStr">
        <is>
          <t>Y</t>
        </is>
      </c>
    </row>
    <row r="20">
      <c r="A20" t="inlineStr">
        <is>
          <t>LFC0201</t>
        </is>
      </c>
      <c r="B20" t="inlineStr">
        <is>
          <t>LFC0201</t>
        </is>
      </c>
      <c r="C20" t="inlineStr">
        <is>
          <t>IYESI 1</t>
        </is>
      </c>
      <c r="D20" t="inlineStr"/>
      <c r="E20" t="inlineStr">
        <is>
          <t>Y</t>
        </is>
      </c>
    </row>
    <row r="21">
      <c r="A21" t="inlineStr">
        <is>
          <t>LFC0202</t>
        </is>
      </c>
      <c r="B21" t="inlineStr">
        <is>
          <t>LFC0202</t>
        </is>
      </c>
      <c r="C21" t="inlineStr">
        <is>
          <t>IYESI 1</t>
        </is>
      </c>
      <c r="D21" t="inlineStr"/>
      <c r="E21" t="inlineStr">
        <is>
          <t>Y</t>
        </is>
      </c>
    </row>
    <row r="22">
      <c r="A22" t="inlineStr">
        <is>
          <t>LFC0203</t>
        </is>
      </c>
      <c r="B22" t="inlineStr">
        <is>
          <t>LFC0203</t>
        </is>
      </c>
      <c r="C22" t="inlineStr">
        <is>
          <t>IYESI 1</t>
        </is>
      </c>
      <c r="D22" t="inlineStr"/>
      <c r="E22" t="inlineStr">
        <is>
          <t>Y</t>
        </is>
      </c>
    </row>
    <row r="23">
      <c r="A23" t="inlineStr">
        <is>
          <t>LFC0204</t>
        </is>
      </c>
      <c r="B23" t="inlineStr">
        <is>
          <t>LFC0204</t>
        </is>
      </c>
      <c r="C23" t="inlineStr">
        <is>
          <t>IYESI 1</t>
        </is>
      </c>
      <c r="D23" t="inlineStr"/>
      <c r="E23" t="inlineStr">
        <is>
          <t>Y</t>
        </is>
      </c>
    </row>
    <row r="24">
      <c r="A24" t="inlineStr">
        <is>
          <t>LFC0205</t>
        </is>
      </c>
      <c r="B24" t="inlineStr">
        <is>
          <t>LFC0205</t>
        </is>
      </c>
      <c r="C24" t="inlineStr">
        <is>
          <t>IYESI 1</t>
        </is>
      </c>
      <c r="D24" t="inlineStr"/>
      <c r="E24" t="inlineStr">
        <is>
          <t>Y</t>
        </is>
      </c>
    </row>
    <row r="25">
      <c r="A25" t="inlineStr">
        <is>
          <t>LFC0206</t>
        </is>
      </c>
      <c r="B25" t="inlineStr">
        <is>
          <t>LFC0206</t>
        </is>
      </c>
      <c r="C25" t="inlineStr">
        <is>
          <t>IYESI 1</t>
        </is>
      </c>
      <c r="D25" t="inlineStr"/>
      <c r="E25" t="inlineStr">
        <is>
          <t>Y</t>
        </is>
      </c>
    </row>
    <row r="26">
      <c r="A26" t="inlineStr">
        <is>
          <t>LFC0207</t>
        </is>
      </c>
      <c r="B26" t="inlineStr">
        <is>
          <t>LFC0207</t>
        </is>
      </c>
      <c r="C26" t="inlineStr">
        <is>
          <t>IYESI 1</t>
        </is>
      </c>
      <c r="D26" t="inlineStr"/>
      <c r="E26" t="inlineStr">
        <is>
          <t>Y</t>
        </is>
      </c>
    </row>
    <row r="27">
      <c r="A27" t="inlineStr">
        <is>
          <t>LFC0208</t>
        </is>
      </c>
      <c r="B27" t="inlineStr">
        <is>
          <t>LFC0208</t>
        </is>
      </c>
      <c r="C27" t="inlineStr">
        <is>
          <t>IYESI 1</t>
        </is>
      </c>
      <c r="D27" t="inlineStr"/>
      <c r="E27" t="inlineStr">
        <is>
          <t>Y</t>
        </is>
      </c>
    </row>
    <row r="28">
      <c r="A28" t="inlineStr">
        <is>
          <t>LFC0209</t>
        </is>
      </c>
      <c r="B28" t="inlineStr">
        <is>
          <t>LFC0209</t>
        </is>
      </c>
      <c r="C28" t="inlineStr">
        <is>
          <t>IYESI 1</t>
        </is>
      </c>
      <c r="D28" t="inlineStr"/>
      <c r="E28" t="inlineStr">
        <is>
          <t>Y</t>
        </is>
      </c>
    </row>
    <row r="29">
      <c r="A29" t="inlineStr">
        <is>
          <t>LFC0210</t>
        </is>
      </c>
      <c r="B29" t="inlineStr">
        <is>
          <t>LFC0210</t>
        </is>
      </c>
      <c r="C29" t="inlineStr">
        <is>
          <t>IYESI 1</t>
        </is>
      </c>
      <c r="D29" t="inlineStr"/>
      <c r="E29" t="inlineStr">
        <is>
          <t>Y</t>
        </is>
      </c>
    </row>
    <row r="30">
      <c r="A30" t="inlineStr">
        <is>
          <t>LFC0211</t>
        </is>
      </c>
      <c r="B30" t="inlineStr">
        <is>
          <t>LFC0211</t>
        </is>
      </c>
      <c r="C30" t="inlineStr">
        <is>
          <t>IYESI 1</t>
        </is>
      </c>
      <c r="D30" t="inlineStr"/>
      <c r="E30" t="inlineStr">
        <is>
          <t>Y</t>
        </is>
      </c>
    </row>
    <row r="31">
      <c r="A31" t="inlineStr">
        <is>
          <t>LFC0212</t>
        </is>
      </c>
      <c r="B31" t="inlineStr">
        <is>
          <t>LFC0212</t>
        </is>
      </c>
      <c r="C31" t="inlineStr">
        <is>
          <t>IYESI 1</t>
        </is>
      </c>
      <c r="D31" t="inlineStr"/>
      <c r="E31" t="inlineStr">
        <is>
          <t>Y</t>
        </is>
      </c>
    </row>
    <row r="32">
      <c r="A32" t="inlineStr">
        <is>
          <t>LFC0213</t>
        </is>
      </c>
      <c r="B32" t="inlineStr">
        <is>
          <t>LFC0213</t>
        </is>
      </c>
      <c r="C32" t="inlineStr">
        <is>
          <t>IYESI 1</t>
        </is>
      </c>
      <c r="D32" t="inlineStr"/>
      <c r="E32" t="inlineStr">
        <is>
          <t>Y</t>
        </is>
      </c>
    </row>
    <row r="33">
      <c r="A33" t="inlineStr">
        <is>
          <t>LFC0214</t>
        </is>
      </c>
      <c r="B33" t="inlineStr">
        <is>
          <t>LFC0214</t>
        </is>
      </c>
      <c r="C33" t="inlineStr">
        <is>
          <t>IYESI 1</t>
        </is>
      </c>
      <c r="D33" t="inlineStr"/>
      <c r="E33" t="inlineStr">
        <is>
          <t>Y</t>
        </is>
      </c>
    </row>
    <row r="34">
      <c r="A34" t="inlineStr">
        <is>
          <t>LFC0215</t>
        </is>
      </c>
      <c r="B34" t="inlineStr">
        <is>
          <t>LFC0215</t>
        </is>
      </c>
      <c r="C34" t="inlineStr">
        <is>
          <t>IYESI 1</t>
        </is>
      </c>
      <c r="D34" t="inlineStr"/>
      <c r="E34" t="inlineStr">
        <is>
          <t>Y</t>
        </is>
      </c>
    </row>
    <row r="35">
      <c r="A35" t="inlineStr">
        <is>
          <t>LFC0216</t>
        </is>
      </c>
      <c r="B35" t="inlineStr">
        <is>
          <t>LFC0216</t>
        </is>
      </c>
      <c r="C35" t="inlineStr">
        <is>
          <t>IYESI 1</t>
        </is>
      </c>
      <c r="D35" t="inlineStr"/>
      <c r="E35" t="inlineStr">
        <is>
          <t>Y</t>
        </is>
      </c>
    </row>
    <row r="36">
      <c r="A36" t="inlineStr">
        <is>
          <t>LFC0217</t>
        </is>
      </c>
      <c r="B36" t="inlineStr">
        <is>
          <t>LFC0217</t>
        </is>
      </c>
      <c r="C36" t="inlineStr">
        <is>
          <t>IYESI 1</t>
        </is>
      </c>
      <c r="D36" t="inlineStr"/>
      <c r="E36" t="inlineStr">
        <is>
          <t>Y</t>
        </is>
      </c>
    </row>
    <row r="37">
      <c r="A37" t="inlineStr">
        <is>
          <t>LFC0218</t>
        </is>
      </c>
      <c r="B37" t="inlineStr">
        <is>
          <t>LFC0218</t>
        </is>
      </c>
      <c r="C37" t="inlineStr">
        <is>
          <t>IYESI 1</t>
        </is>
      </c>
      <c r="D37" t="inlineStr"/>
      <c r="E37" t="inlineStr">
        <is>
          <t>Y</t>
        </is>
      </c>
    </row>
    <row r="38">
      <c r="A38" t="inlineStr">
        <is>
          <t>LFC0219</t>
        </is>
      </c>
      <c r="B38" t="inlineStr">
        <is>
          <t>LFC0219</t>
        </is>
      </c>
      <c r="C38" t="inlineStr">
        <is>
          <t>IYESI 1</t>
        </is>
      </c>
      <c r="D38" t="inlineStr"/>
      <c r="E38" t="inlineStr">
        <is>
          <t>Y</t>
        </is>
      </c>
    </row>
    <row r="39">
      <c r="A39" t="inlineStr">
        <is>
          <t>LFC0220</t>
        </is>
      </c>
      <c r="B39" t="inlineStr">
        <is>
          <t>LFC0220</t>
        </is>
      </c>
      <c r="C39" t="inlineStr">
        <is>
          <t>IYESI 1</t>
        </is>
      </c>
      <c r="D39" t="inlineStr"/>
      <c r="E39" t="inlineStr">
        <is>
          <t>Y</t>
        </is>
      </c>
    </row>
    <row r="40">
      <c r="A40" t="inlineStr">
        <is>
          <t>LFC0221</t>
        </is>
      </c>
      <c r="B40" t="inlineStr">
        <is>
          <t>LFC0221</t>
        </is>
      </c>
      <c r="C40" t="inlineStr">
        <is>
          <t>IYESI 1</t>
        </is>
      </c>
      <c r="D40" t="inlineStr"/>
      <c r="E40" t="inlineStr">
        <is>
          <t>Y</t>
        </is>
      </c>
    </row>
    <row r="41">
      <c r="A41" t="inlineStr">
        <is>
          <t>LFC0301</t>
        </is>
      </c>
      <c r="B41" t="inlineStr">
        <is>
          <t>LFC0301</t>
        </is>
      </c>
      <c r="C41" t="inlineStr">
        <is>
          <t>OBASANJO</t>
        </is>
      </c>
      <c r="D41" t="inlineStr"/>
      <c r="E41" t="inlineStr">
        <is>
          <t>Y</t>
        </is>
      </c>
    </row>
    <row r="42">
      <c r="A42" t="inlineStr">
        <is>
          <t>LFC0302</t>
        </is>
      </c>
      <c r="B42" t="inlineStr">
        <is>
          <t>LFC0302</t>
        </is>
      </c>
      <c r="C42" t="inlineStr">
        <is>
          <t>OBASANJO</t>
        </is>
      </c>
      <c r="D42" t="inlineStr"/>
      <c r="E42" t="inlineStr">
        <is>
          <t>Y</t>
        </is>
      </c>
    </row>
    <row r="43">
      <c r="A43" t="inlineStr">
        <is>
          <t>LFC0303</t>
        </is>
      </c>
      <c r="B43" t="inlineStr">
        <is>
          <t>LFC0303</t>
        </is>
      </c>
      <c r="C43" t="inlineStr">
        <is>
          <t>OBASANJO</t>
        </is>
      </c>
      <c r="D43" t="inlineStr"/>
      <c r="E43" t="inlineStr">
        <is>
          <t>Y</t>
        </is>
      </c>
    </row>
    <row r="44">
      <c r="A44" t="inlineStr">
        <is>
          <t>LFC0304</t>
        </is>
      </c>
      <c r="B44" t="inlineStr">
        <is>
          <t>LFC0304</t>
        </is>
      </c>
      <c r="C44" t="inlineStr">
        <is>
          <t>OBASANJO</t>
        </is>
      </c>
      <c r="D44" t="inlineStr"/>
      <c r="E44" t="inlineStr">
        <is>
          <t>Y</t>
        </is>
      </c>
    </row>
    <row r="45">
      <c r="A45" t="inlineStr">
        <is>
          <t>LFC0305</t>
        </is>
      </c>
      <c r="B45" t="inlineStr">
        <is>
          <t>LFC0305</t>
        </is>
      </c>
      <c r="C45" t="inlineStr">
        <is>
          <t>OBASANJO</t>
        </is>
      </c>
      <c r="D45" t="inlineStr"/>
      <c r="E45" t="inlineStr">
        <is>
          <t>Y</t>
        </is>
      </c>
    </row>
    <row r="46">
      <c r="A46" t="inlineStr">
        <is>
          <t>LFC0306</t>
        </is>
      </c>
      <c r="B46" t="inlineStr">
        <is>
          <t>LFC0306</t>
        </is>
      </c>
      <c r="C46" t="inlineStr">
        <is>
          <t>OBASANJO</t>
        </is>
      </c>
      <c r="D46" t="inlineStr"/>
      <c r="E46" t="inlineStr">
        <is>
          <t>Y</t>
        </is>
      </c>
    </row>
    <row r="47">
      <c r="A47" t="inlineStr">
        <is>
          <t>LFC0307</t>
        </is>
      </c>
      <c r="B47" t="inlineStr">
        <is>
          <t>LFC0307</t>
        </is>
      </c>
      <c r="C47" t="inlineStr">
        <is>
          <t>OBASANJO</t>
        </is>
      </c>
      <c r="D47" t="inlineStr"/>
      <c r="E47" t="inlineStr">
        <is>
          <t>Y</t>
        </is>
      </c>
    </row>
    <row r="48">
      <c r="A48" t="inlineStr">
        <is>
          <t>LFC0308</t>
        </is>
      </c>
      <c r="B48" t="inlineStr">
        <is>
          <t>LFC0308</t>
        </is>
      </c>
      <c r="C48" t="inlineStr">
        <is>
          <t>OBASANJO</t>
        </is>
      </c>
      <c r="D48" t="inlineStr"/>
      <c r="E48" t="inlineStr">
        <is>
          <t>Y</t>
        </is>
      </c>
    </row>
    <row r="49">
      <c r="A49" t="inlineStr">
        <is>
          <t>LFC0309</t>
        </is>
      </c>
      <c r="B49" t="inlineStr">
        <is>
          <t>LFC0309</t>
        </is>
      </c>
      <c r="C49" t="inlineStr">
        <is>
          <t>OBASANJO</t>
        </is>
      </c>
      <c r="D49" t="inlineStr"/>
      <c r="E49" t="inlineStr">
        <is>
          <t>Y</t>
        </is>
      </c>
    </row>
    <row r="50">
      <c r="A50" t="inlineStr">
        <is>
          <t>LFC0310</t>
        </is>
      </c>
      <c r="B50" t="inlineStr">
        <is>
          <t>LFC0310</t>
        </is>
      </c>
      <c r="C50" t="inlineStr">
        <is>
          <t>OBASANJO</t>
        </is>
      </c>
      <c r="D50" t="inlineStr"/>
      <c r="E50" t="inlineStr">
        <is>
          <t>Y</t>
        </is>
      </c>
    </row>
    <row r="51">
      <c r="A51" t="inlineStr">
        <is>
          <t>LFC0311</t>
        </is>
      </c>
      <c r="B51" t="inlineStr">
        <is>
          <t>LFC0311</t>
        </is>
      </c>
      <c r="C51" t="inlineStr">
        <is>
          <t>OBASANJO</t>
        </is>
      </c>
      <c r="D51" t="inlineStr"/>
      <c r="E51" t="inlineStr">
        <is>
          <t>Y</t>
        </is>
      </c>
    </row>
    <row r="52">
      <c r="A52" t="inlineStr">
        <is>
          <t>LFC0312</t>
        </is>
      </c>
      <c r="B52" t="inlineStr">
        <is>
          <t>LFC0312</t>
        </is>
      </c>
      <c r="C52" t="inlineStr">
        <is>
          <t>OBASANJO</t>
        </is>
      </c>
      <c r="D52" t="inlineStr"/>
      <c r="E52" t="inlineStr">
        <is>
          <t>Y</t>
        </is>
      </c>
    </row>
    <row r="53">
      <c r="A53" t="inlineStr">
        <is>
          <t>LFC0313</t>
        </is>
      </c>
      <c r="B53" t="inlineStr">
        <is>
          <t>LFC0313</t>
        </is>
      </c>
      <c r="C53" t="inlineStr">
        <is>
          <t>OBASANJO</t>
        </is>
      </c>
      <c r="D53" t="inlineStr"/>
      <c r="E53" t="inlineStr">
        <is>
          <t>Y</t>
        </is>
      </c>
    </row>
    <row r="54">
      <c r="A54" t="inlineStr">
        <is>
          <t>LFC0314</t>
        </is>
      </c>
      <c r="B54" t="inlineStr">
        <is>
          <t>LFC0314</t>
        </is>
      </c>
      <c r="C54" t="inlineStr">
        <is>
          <t>OBASANJO</t>
        </is>
      </c>
      <c r="D54" t="inlineStr"/>
      <c r="E54" t="inlineStr">
        <is>
          <t>Y</t>
        </is>
      </c>
    </row>
    <row r="55">
      <c r="A55" t="inlineStr">
        <is>
          <t>LFC0315</t>
        </is>
      </c>
      <c r="B55" t="inlineStr">
        <is>
          <t>LFC0315</t>
        </is>
      </c>
      <c r="C55" t="inlineStr">
        <is>
          <t>OBASANJO</t>
        </is>
      </c>
      <c r="D55" t="inlineStr"/>
      <c r="E55" t="inlineStr">
        <is>
          <t>Y</t>
        </is>
      </c>
    </row>
    <row r="56">
      <c r="A56" t="inlineStr">
        <is>
          <t>LFC0316</t>
        </is>
      </c>
      <c r="B56" t="inlineStr">
        <is>
          <t>LFC0316</t>
        </is>
      </c>
      <c r="C56" t="inlineStr">
        <is>
          <t>OBASANJO</t>
        </is>
      </c>
      <c r="D56" t="inlineStr"/>
      <c r="E56" t="inlineStr">
        <is>
          <t>Y</t>
        </is>
      </c>
    </row>
    <row r="57">
      <c r="A57" t="inlineStr">
        <is>
          <t>LFC0317</t>
        </is>
      </c>
      <c r="B57" t="inlineStr">
        <is>
          <t>LFC0317</t>
        </is>
      </c>
      <c r="C57" t="inlineStr">
        <is>
          <t>OBASANJO</t>
        </is>
      </c>
      <c r="D57" t="inlineStr"/>
      <c r="E57" t="inlineStr">
        <is>
          <t>Y</t>
        </is>
      </c>
    </row>
    <row r="58">
      <c r="A58" t="inlineStr">
        <is>
          <t>LFC0318</t>
        </is>
      </c>
      <c r="B58" t="inlineStr">
        <is>
          <t>LFC0318</t>
        </is>
      </c>
      <c r="C58" t="inlineStr">
        <is>
          <t>OBASANJO</t>
        </is>
      </c>
      <c r="D58" t="inlineStr"/>
      <c r="E58" t="inlineStr">
        <is>
          <t>Y</t>
        </is>
      </c>
    </row>
    <row r="59">
      <c r="A59" t="inlineStr">
        <is>
          <t>LFC0319</t>
        </is>
      </c>
      <c r="B59" t="inlineStr">
        <is>
          <t>LFC0319</t>
        </is>
      </c>
      <c r="C59" t="inlineStr">
        <is>
          <t>OBASANJO</t>
        </is>
      </c>
      <c r="D59" t="inlineStr"/>
      <c r="E59" t="inlineStr">
        <is>
          <t>Y</t>
        </is>
      </c>
    </row>
    <row r="60">
      <c r="A60" t="inlineStr">
        <is>
          <t>LFC0320</t>
        </is>
      </c>
      <c r="B60" t="inlineStr">
        <is>
          <t>LFC0320</t>
        </is>
      </c>
      <c r="C60" t="inlineStr">
        <is>
          <t>OBASANJO</t>
        </is>
      </c>
      <c r="D60" t="inlineStr"/>
      <c r="E60" t="inlineStr">
        <is>
          <t>Y</t>
        </is>
      </c>
    </row>
    <row r="61">
      <c r="A61" t="inlineStr">
        <is>
          <t>LFC0321</t>
        </is>
      </c>
      <c r="B61" t="inlineStr">
        <is>
          <t>LFC0321</t>
        </is>
      </c>
      <c r="C61" t="inlineStr">
        <is>
          <t>OBASANJO</t>
        </is>
      </c>
      <c r="D61" t="inlineStr"/>
      <c r="E61" t="inlineStr">
        <is>
          <t>Y</t>
        </is>
      </c>
    </row>
    <row r="62">
      <c r="A62" t="inlineStr">
        <is>
          <t>LFC0322</t>
        </is>
      </c>
      <c r="B62" t="inlineStr">
        <is>
          <t>LFC0322</t>
        </is>
      </c>
      <c r="C62" t="inlineStr">
        <is>
          <t>OBASANJO</t>
        </is>
      </c>
      <c r="D62" t="inlineStr"/>
      <c r="E62" t="inlineStr">
        <is>
          <t>Y</t>
        </is>
      </c>
    </row>
    <row r="63">
      <c r="A63" t="inlineStr">
        <is>
          <t>LFC0401</t>
        </is>
      </c>
      <c r="B63" t="inlineStr">
        <is>
          <t>LFC0401</t>
        </is>
      </c>
      <c r="C63" t="inlineStr">
        <is>
          <t>OJU ORE</t>
        </is>
      </c>
      <c r="D63" t="inlineStr"/>
      <c r="E63" t="inlineStr">
        <is>
          <t>Y</t>
        </is>
      </c>
    </row>
    <row r="64">
      <c r="A64" t="inlineStr">
        <is>
          <t>LFC0402</t>
        </is>
      </c>
      <c r="B64" t="inlineStr">
        <is>
          <t>LFC0402</t>
        </is>
      </c>
      <c r="C64" t="inlineStr">
        <is>
          <t>OJU ORE</t>
        </is>
      </c>
      <c r="D64" t="inlineStr"/>
      <c r="E64" t="inlineStr">
        <is>
          <t>Y</t>
        </is>
      </c>
    </row>
    <row r="65">
      <c r="A65" t="inlineStr">
        <is>
          <t>LFC0403</t>
        </is>
      </c>
      <c r="B65" t="inlineStr">
        <is>
          <t>LFC0403</t>
        </is>
      </c>
      <c r="C65" t="inlineStr">
        <is>
          <t>OJU ORE</t>
        </is>
      </c>
      <c r="D65" t="inlineStr"/>
      <c r="E65" t="inlineStr">
        <is>
          <t>Y</t>
        </is>
      </c>
    </row>
    <row r="66">
      <c r="A66" t="inlineStr">
        <is>
          <t>LFC0404</t>
        </is>
      </c>
      <c r="B66" t="inlineStr">
        <is>
          <t>LFC0404</t>
        </is>
      </c>
      <c r="C66" t="inlineStr">
        <is>
          <t>OJU ORE</t>
        </is>
      </c>
      <c r="D66" t="inlineStr"/>
      <c r="E66" t="inlineStr">
        <is>
          <t>Y</t>
        </is>
      </c>
    </row>
    <row r="67">
      <c r="A67" t="inlineStr">
        <is>
          <t>LFC0405</t>
        </is>
      </c>
      <c r="B67" t="inlineStr">
        <is>
          <t>LFC0405</t>
        </is>
      </c>
      <c r="C67" t="inlineStr">
        <is>
          <t>OJU ORE</t>
        </is>
      </c>
      <c r="D67" t="inlineStr"/>
      <c r="E67" t="inlineStr">
        <is>
          <t>Y</t>
        </is>
      </c>
    </row>
    <row r="68">
      <c r="A68" t="inlineStr">
        <is>
          <t>LFC0406</t>
        </is>
      </c>
      <c r="B68" t="inlineStr">
        <is>
          <t>LFC0406</t>
        </is>
      </c>
      <c r="C68" t="inlineStr">
        <is>
          <t>OJU ORE</t>
        </is>
      </c>
      <c r="D68" t="inlineStr"/>
      <c r="E68" t="inlineStr">
        <is>
          <t>Y</t>
        </is>
      </c>
    </row>
    <row r="69">
      <c r="A69" t="inlineStr">
        <is>
          <t>LFC0407</t>
        </is>
      </c>
      <c r="B69" t="inlineStr">
        <is>
          <t>LFC0407</t>
        </is>
      </c>
      <c r="C69" t="inlineStr">
        <is>
          <t>OJU ORE</t>
        </is>
      </c>
      <c r="D69" t="inlineStr"/>
      <c r="E69" t="inlineStr">
        <is>
          <t>Y</t>
        </is>
      </c>
    </row>
    <row r="70">
      <c r="A70" t="inlineStr">
        <is>
          <t>LFC0408</t>
        </is>
      </c>
      <c r="B70" t="inlineStr">
        <is>
          <t>LFC0408</t>
        </is>
      </c>
      <c r="C70" t="inlineStr">
        <is>
          <t>OJU ORE</t>
        </is>
      </c>
      <c r="D70" t="inlineStr"/>
      <c r="E70" t="inlineStr">
        <is>
          <t>Y</t>
        </is>
      </c>
    </row>
    <row r="71">
      <c r="A71" t="inlineStr">
        <is>
          <t>LFC0409</t>
        </is>
      </c>
      <c r="B71" t="inlineStr">
        <is>
          <t>LFC0409</t>
        </is>
      </c>
      <c r="C71" t="inlineStr">
        <is>
          <t>OJU ORE</t>
        </is>
      </c>
      <c r="D71" t="inlineStr"/>
      <c r="E71" t="inlineStr">
        <is>
          <t>Y</t>
        </is>
      </c>
    </row>
    <row r="72">
      <c r="A72" t="inlineStr">
        <is>
          <t>LFC0410</t>
        </is>
      </c>
      <c r="B72" t="inlineStr">
        <is>
          <t>LFC0410</t>
        </is>
      </c>
      <c r="C72" t="inlineStr">
        <is>
          <t>OJU ORE</t>
        </is>
      </c>
      <c r="D72" t="inlineStr"/>
      <c r="E72" t="inlineStr">
        <is>
          <t>Y</t>
        </is>
      </c>
    </row>
    <row r="73">
      <c r="A73" t="inlineStr">
        <is>
          <t>LFC0411</t>
        </is>
      </c>
      <c r="B73" t="inlineStr">
        <is>
          <t>LFC0411</t>
        </is>
      </c>
      <c r="C73" t="inlineStr">
        <is>
          <t>OJU ORE</t>
        </is>
      </c>
      <c r="D73" t="inlineStr"/>
      <c r="E73" t="inlineStr">
        <is>
          <t>Y</t>
        </is>
      </c>
    </row>
    <row r="74">
      <c r="A74" t="inlineStr">
        <is>
          <t>LFC0412</t>
        </is>
      </c>
      <c r="B74" t="inlineStr">
        <is>
          <t>LFC0412</t>
        </is>
      </c>
      <c r="C74" t="inlineStr">
        <is>
          <t>OJU ORE</t>
        </is>
      </c>
      <c r="D74" t="inlineStr"/>
      <c r="E74" t="inlineStr">
        <is>
          <t>Y</t>
        </is>
      </c>
    </row>
    <row r="75">
      <c r="A75" t="inlineStr">
        <is>
          <t>LFC0413</t>
        </is>
      </c>
      <c r="B75" t="inlineStr">
        <is>
          <t>LFC0413</t>
        </is>
      </c>
      <c r="C75" t="inlineStr">
        <is>
          <t>OJU ORE</t>
        </is>
      </c>
      <c r="D75" t="inlineStr"/>
      <c r="E75" t="inlineStr">
        <is>
          <t>Y</t>
        </is>
      </c>
    </row>
    <row r="76">
      <c r="A76" t="inlineStr">
        <is>
          <t>LFC0414</t>
        </is>
      </c>
      <c r="B76" t="inlineStr">
        <is>
          <t>LFC0414</t>
        </is>
      </c>
      <c r="C76" t="inlineStr">
        <is>
          <t>OJU ORE</t>
        </is>
      </c>
      <c r="D76" t="inlineStr"/>
      <c r="E76" t="inlineStr">
        <is>
          <t>Y</t>
        </is>
      </c>
    </row>
    <row r="77">
      <c r="A77" t="inlineStr">
        <is>
          <t>LFC0415</t>
        </is>
      </c>
      <c r="B77" t="inlineStr">
        <is>
          <t>LFC0415</t>
        </is>
      </c>
      <c r="C77" t="inlineStr">
        <is>
          <t>OJU ORE</t>
        </is>
      </c>
      <c r="D77" t="inlineStr"/>
      <c r="E77" t="inlineStr">
        <is>
          <t>Y</t>
        </is>
      </c>
    </row>
    <row r="78">
      <c r="A78" t="inlineStr">
        <is>
          <t>LFC0416</t>
        </is>
      </c>
      <c r="B78" t="inlineStr">
        <is>
          <t>LFC0416</t>
        </is>
      </c>
      <c r="C78" t="inlineStr">
        <is>
          <t>OJU ORE</t>
        </is>
      </c>
      <c r="D78" t="inlineStr"/>
      <c r="E78" t="inlineStr">
        <is>
          <t>Y</t>
        </is>
      </c>
    </row>
    <row r="79">
      <c r="A79" t="inlineStr">
        <is>
          <t>LFC0417</t>
        </is>
      </c>
      <c r="B79" t="inlineStr">
        <is>
          <t>LFC0417</t>
        </is>
      </c>
      <c r="C79" t="inlineStr">
        <is>
          <t>OJU ORE</t>
        </is>
      </c>
      <c r="D79" t="inlineStr"/>
      <c r="E79" t="inlineStr">
        <is>
          <t>Y</t>
        </is>
      </c>
    </row>
    <row r="80">
      <c r="A80" t="inlineStr">
        <is>
          <t>LFC0418</t>
        </is>
      </c>
      <c r="B80" t="inlineStr">
        <is>
          <t>LFC0418</t>
        </is>
      </c>
      <c r="C80" t="inlineStr">
        <is>
          <t>OJU ORE</t>
        </is>
      </c>
      <c r="D80" t="inlineStr"/>
      <c r="E80" t="inlineStr">
        <is>
          <t>Y</t>
        </is>
      </c>
    </row>
    <row r="81">
      <c r="A81" t="inlineStr">
        <is>
          <t>LFC0419</t>
        </is>
      </c>
      <c r="B81" t="inlineStr">
        <is>
          <t>LFC0419</t>
        </is>
      </c>
      <c r="C81" t="inlineStr">
        <is>
          <t>OJU ORE</t>
        </is>
      </c>
      <c r="D81" t="inlineStr"/>
      <c r="E81" t="inlineStr">
        <is>
          <t>Y</t>
        </is>
      </c>
    </row>
    <row r="82">
      <c r="A82" t="inlineStr">
        <is>
          <t>LFC0420</t>
        </is>
      </c>
      <c r="B82" t="inlineStr">
        <is>
          <t>LFC0420</t>
        </is>
      </c>
      <c r="C82" t="inlineStr">
        <is>
          <t>OJU ORE</t>
        </is>
      </c>
      <c r="D82" t="inlineStr"/>
      <c r="E82" t="inlineStr">
        <is>
          <t>Y</t>
        </is>
      </c>
    </row>
    <row r="83">
      <c r="A83" t="inlineStr">
        <is>
          <t>LFC0421</t>
        </is>
      </c>
      <c r="B83" t="inlineStr">
        <is>
          <t>LFC0421</t>
        </is>
      </c>
      <c r="C83" t="inlineStr">
        <is>
          <t>OJU ORE</t>
        </is>
      </c>
      <c r="D83" t="inlineStr"/>
      <c r="E83" t="inlineStr">
        <is>
          <t>Y</t>
        </is>
      </c>
    </row>
    <row r="84">
      <c r="A84" t="inlineStr">
        <is>
          <t>LFC0422</t>
        </is>
      </c>
      <c r="B84" t="inlineStr">
        <is>
          <t>LFC0422</t>
        </is>
      </c>
      <c r="C84" t="inlineStr">
        <is>
          <t>OJU ORE</t>
        </is>
      </c>
      <c r="D84" t="inlineStr"/>
      <c r="E84" t="inlineStr">
        <is>
          <t>Y</t>
        </is>
      </c>
    </row>
    <row r="85">
      <c r="A85" t="inlineStr">
        <is>
          <t>LFC0423</t>
        </is>
      </c>
      <c r="B85" t="inlineStr">
        <is>
          <t>LFC0423</t>
        </is>
      </c>
      <c r="C85" t="inlineStr">
        <is>
          <t>OJU ORE</t>
        </is>
      </c>
      <c r="D85" t="inlineStr"/>
      <c r="E85" t="inlineStr">
        <is>
          <t>Y</t>
        </is>
      </c>
    </row>
    <row r="86">
      <c r="A86" t="inlineStr">
        <is>
          <t>LFC0501</t>
        </is>
      </c>
      <c r="B86" t="inlineStr">
        <is>
          <t>LFC0501</t>
        </is>
      </c>
      <c r="C86" t="inlineStr">
        <is>
          <t>CAPERNAUM</t>
        </is>
      </c>
      <c r="D86" t="inlineStr"/>
      <c r="E86" t="inlineStr">
        <is>
          <t>Y</t>
        </is>
      </c>
    </row>
    <row r="87">
      <c r="A87" t="inlineStr">
        <is>
          <t>LFC0502</t>
        </is>
      </c>
      <c r="B87" t="inlineStr">
        <is>
          <t>LFC0502</t>
        </is>
      </c>
      <c r="C87" t="inlineStr">
        <is>
          <t>CAPERNAUM</t>
        </is>
      </c>
      <c r="D87" t="inlineStr"/>
      <c r="E87" t="inlineStr">
        <is>
          <t>Y</t>
        </is>
      </c>
    </row>
    <row r="88">
      <c r="A88" t="inlineStr">
        <is>
          <t>LFC0503</t>
        </is>
      </c>
      <c r="B88" t="inlineStr">
        <is>
          <t>LFC0503</t>
        </is>
      </c>
      <c r="C88" t="inlineStr">
        <is>
          <t>CAPERNAUM</t>
        </is>
      </c>
      <c r="D88" t="inlineStr"/>
      <c r="E88" t="inlineStr">
        <is>
          <t>Y</t>
        </is>
      </c>
    </row>
    <row r="89">
      <c r="A89" t="inlineStr">
        <is>
          <t>LFC0504</t>
        </is>
      </c>
      <c r="B89" t="inlineStr">
        <is>
          <t>LFC0504</t>
        </is>
      </c>
      <c r="C89" t="inlineStr">
        <is>
          <t>CAPERNAUM</t>
        </is>
      </c>
      <c r="D89" t="inlineStr"/>
      <c r="E89" t="inlineStr">
        <is>
          <t>Y</t>
        </is>
      </c>
    </row>
    <row r="90">
      <c r="A90" t="inlineStr">
        <is>
          <t>LFC0505</t>
        </is>
      </c>
      <c r="B90" t="inlineStr">
        <is>
          <t>LFC0505</t>
        </is>
      </c>
      <c r="C90" t="inlineStr">
        <is>
          <t>CAPERNAUM</t>
        </is>
      </c>
      <c r="D90" t="inlineStr"/>
      <c r="E90" t="inlineStr">
        <is>
          <t>Y</t>
        </is>
      </c>
    </row>
    <row r="91">
      <c r="A91" t="inlineStr">
        <is>
          <t>LFC0506</t>
        </is>
      </c>
      <c r="B91" t="inlineStr">
        <is>
          <t>LFC0506</t>
        </is>
      </c>
      <c r="C91" t="inlineStr">
        <is>
          <t>CAPERNAUM</t>
        </is>
      </c>
      <c r="D91" t="inlineStr"/>
      <c r="E91" t="inlineStr">
        <is>
          <t>Y</t>
        </is>
      </c>
    </row>
    <row r="92">
      <c r="A92" t="inlineStr">
        <is>
          <t>LFC0507</t>
        </is>
      </c>
      <c r="B92" t="inlineStr">
        <is>
          <t>LFC0507</t>
        </is>
      </c>
      <c r="C92" t="inlineStr">
        <is>
          <t>CAPERNAUM</t>
        </is>
      </c>
      <c r="D92" t="inlineStr"/>
      <c r="E92" t="inlineStr">
        <is>
          <t>Y</t>
        </is>
      </c>
    </row>
    <row r="93">
      <c r="A93" t="inlineStr">
        <is>
          <t>LFC0508</t>
        </is>
      </c>
      <c r="B93" t="inlineStr">
        <is>
          <t>LFC0508</t>
        </is>
      </c>
      <c r="C93" t="inlineStr">
        <is>
          <t>CAPERNAUM</t>
        </is>
      </c>
      <c r="D93" t="inlineStr"/>
      <c r="E93" t="inlineStr">
        <is>
          <t>Y</t>
        </is>
      </c>
    </row>
    <row r="94">
      <c r="A94" t="inlineStr">
        <is>
          <t>LFC0509</t>
        </is>
      </c>
      <c r="B94" t="inlineStr">
        <is>
          <t>LFC0509</t>
        </is>
      </c>
      <c r="C94" t="inlineStr">
        <is>
          <t>CAPERNAUM</t>
        </is>
      </c>
      <c r="D94" t="inlineStr"/>
      <c r="E94" t="inlineStr">
        <is>
          <t>Y</t>
        </is>
      </c>
    </row>
    <row r="95">
      <c r="A95" t="inlineStr">
        <is>
          <t>LFC0510</t>
        </is>
      </c>
      <c r="B95" t="inlineStr">
        <is>
          <t>LFC0510</t>
        </is>
      </c>
      <c r="C95" t="inlineStr">
        <is>
          <t>CAPERNAUM</t>
        </is>
      </c>
      <c r="D95" t="inlineStr"/>
      <c r="E95" t="inlineStr">
        <is>
          <t>Y</t>
        </is>
      </c>
    </row>
    <row r="96">
      <c r="A96" t="inlineStr">
        <is>
          <t>LFC0511</t>
        </is>
      </c>
      <c r="B96" t="inlineStr">
        <is>
          <t>LFC0511</t>
        </is>
      </c>
      <c r="C96" t="inlineStr">
        <is>
          <t>CAPERNAUM</t>
        </is>
      </c>
      <c r="D96" t="inlineStr"/>
      <c r="E96" t="inlineStr">
        <is>
          <t>Y</t>
        </is>
      </c>
    </row>
    <row r="97">
      <c r="A97" t="inlineStr">
        <is>
          <t>LFC0512</t>
        </is>
      </c>
      <c r="B97" t="inlineStr">
        <is>
          <t>LFC0512</t>
        </is>
      </c>
      <c r="C97" t="inlineStr">
        <is>
          <t>CAPERNAUM</t>
        </is>
      </c>
      <c r="D97" t="inlineStr"/>
      <c r="E97" t="inlineStr">
        <is>
          <t>Y</t>
        </is>
      </c>
    </row>
    <row r="98">
      <c r="A98" t="inlineStr">
        <is>
          <t>LFC0520</t>
        </is>
      </c>
      <c r="B98" t="inlineStr">
        <is>
          <t>LFC0520</t>
        </is>
      </c>
      <c r="C98" t="inlineStr">
        <is>
          <t>CAPERNAUM</t>
        </is>
      </c>
      <c r="D98" t="inlineStr"/>
      <c r="E98" t="inlineStr">
        <is>
          <t>Y</t>
        </is>
      </c>
    </row>
    <row r="99">
      <c r="A99" t="inlineStr">
        <is>
          <t>LFC0521</t>
        </is>
      </c>
      <c r="B99" t="inlineStr">
        <is>
          <t>LFC0521</t>
        </is>
      </c>
      <c r="C99" t="inlineStr">
        <is>
          <t>CAPERNAUM</t>
        </is>
      </c>
      <c r="D99" t="inlineStr"/>
      <c r="E99" t="inlineStr">
        <is>
          <t>Y</t>
        </is>
      </c>
    </row>
    <row r="100">
      <c r="A100" t="inlineStr">
        <is>
          <t>LFC0522</t>
        </is>
      </c>
      <c r="B100" t="inlineStr">
        <is>
          <t>LFC0522</t>
        </is>
      </c>
      <c r="C100" t="inlineStr">
        <is>
          <t>CAPERNAUM</t>
        </is>
      </c>
      <c r="D100" t="inlineStr"/>
      <c r="E100" t="inlineStr">
        <is>
          <t>Y</t>
        </is>
      </c>
    </row>
    <row r="101">
      <c r="A101" t="inlineStr">
        <is>
          <t>LFC0601</t>
        </is>
      </c>
      <c r="B101" t="inlineStr">
        <is>
          <t>LFC0601</t>
        </is>
      </c>
      <c r="C101" t="inlineStr">
        <is>
          <t>NAZARETH</t>
        </is>
      </c>
      <c r="D101" t="inlineStr"/>
      <c r="E101" t="inlineStr">
        <is>
          <t>Y</t>
        </is>
      </c>
    </row>
    <row r="102">
      <c r="A102" t="inlineStr">
        <is>
          <t>LFC0602</t>
        </is>
      </c>
      <c r="B102" t="inlineStr">
        <is>
          <t>LFC0602</t>
        </is>
      </c>
      <c r="C102" t="inlineStr">
        <is>
          <t>NAZARETH</t>
        </is>
      </c>
      <c r="D102" t="inlineStr"/>
      <c r="E102" t="inlineStr">
        <is>
          <t>Y</t>
        </is>
      </c>
    </row>
    <row r="103">
      <c r="A103" t="inlineStr">
        <is>
          <t>LFC0603</t>
        </is>
      </c>
      <c r="B103" t="inlineStr">
        <is>
          <t>LFC0603</t>
        </is>
      </c>
      <c r="C103" t="inlineStr">
        <is>
          <t>NAZARETH</t>
        </is>
      </c>
      <c r="D103" t="inlineStr"/>
      <c r="E103" t="inlineStr">
        <is>
          <t>Y</t>
        </is>
      </c>
    </row>
    <row r="104">
      <c r="A104" t="inlineStr">
        <is>
          <t>LFC0604</t>
        </is>
      </c>
      <c r="B104" t="inlineStr">
        <is>
          <t>LFC0604</t>
        </is>
      </c>
      <c r="C104" t="inlineStr">
        <is>
          <t>NAZARETH</t>
        </is>
      </c>
      <c r="D104" t="inlineStr"/>
      <c r="E104" t="inlineStr">
        <is>
          <t>Y</t>
        </is>
      </c>
    </row>
    <row r="105">
      <c r="A105" t="inlineStr">
        <is>
          <t>LFC0605</t>
        </is>
      </c>
      <c r="B105" t="inlineStr">
        <is>
          <t>LFC0605</t>
        </is>
      </c>
      <c r="C105" t="inlineStr">
        <is>
          <t>NAZARETH</t>
        </is>
      </c>
      <c r="D105" t="inlineStr"/>
      <c r="E105" t="inlineStr">
        <is>
          <t>Y</t>
        </is>
      </c>
    </row>
    <row r="106">
      <c r="A106" t="inlineStr">
        <is>
          <t>LFC0606</t>
        </is>
      </c>
      <c r="B106" t="inlineStr">
        <is>
          <t>LFC0606</t>
        </is>
      </c>
      <c r="C106" t="inlineStr">
        <is>
          <t>NAZARETH</t>
        </is>
      </c>
      <c r="D106" t="inlineStr"/>
      <c r="E106" t="inlineStr">
        <is>
          <t>Y</t>
        </is>
      </c>
    </row>
    <row r="107">
      <c r="A107" t="inlineStr">
        <is>
          <t>LFC0607</t>
        </is>
      </c>
      <c r="B107" t="inlineStr">
        <is>
          <t>LFC0607</t>
        </is>
      </c>
      <c r="C107" t="inlineStr">
        <is>
          <t>NAZARETH</t>
        </is>
      </c>
      <c r="D107" t="inlineStr"/>
      <c r="E107" t="inlineStr">
        <is>
          <t>Y</t>
        </is>
      </c>
    </row>
    <row r="108">
      <c r="A108" t="inlineStr">
        <is>
          <t>LFC0608</t>
        </is>
      </c>
      <c r="B108" t="inlineStr">
        <is>
          <t>LFC0608</t>
        </is>
      </c>
      <c r="C108" t="inlineStr">
        <is>
          <t>NAZARETH</t>
        </is>
      </c>
      <c r="D108" t="inlineStr"/>
      <c r="E108" t="inlineStr">
        <is>
          <t>Y</t>
        </is>
      </c>
    </row>
    <row r="109">
      <c r="A109" t="inlineStr">
        <is>
          <t>LFC0609</t>
        </is>
      </c>
      <c r="B109" t="inlineStr">
        <is>
          <t>LFC0609</t>
        </is>
      </c>
      <c r="C109" t="inlineStr">
        <is>
          <t>NAZARETH</t>
        </is>
      </c>
      <c r="D109" t="inlineStr"/>
      <c r="E109" t="inlineStr">
        <is>
          <t>Y</t>
        </is>
      </c>
    </row>
    <row r="110">
      <c r="A110" t="inlineStr">
        <is>
          <t>LFC0610</t>
        </is>
      </c>
      <c r="B110" t="inlineStr">
        <is>
          <t>LFC0610</t>
        </is>
      </c>
      <c r="C110" t="inlineStr">
        <is>
          <t>NAZARETH</t>
        </is>
      </c>
      <c r="D110" t="inlineStr"/>
      <c r="E110" t="inlineStr">
        <is>
          <t>Y</t>
        </is>
      </c>
    </row>
    <row r="111">
      <c r="A111" t="inlineStr">
        <is>
          <t>LFC0701</t>
        </is>
      </c>
      <c r="B111" t="inlineStr">
        <is>
          <t>LFC0701</t>
        </is>
      </c>
      <c r="C111" t="inlineStr">
        <is>
          <t>GOWON ESTATE</t>
        </is>
      </c>
      <c r="D111" t="inlineStr"/>
      <c r="E111" t="inlineStr">
        <is>
          <t>Y</t>
        </is>
      </c>
    </row>
    <row r="112">
      <c r="A112" t="inlineStr">
        <is>
          <t>LFC0702</t>
        </is>
      </c>
      <c r="B112" t="inlineStr">
        <is>
          <t>LFC0702</t>
        </is>
      </c>
      <c r="C112" t="inlineStr">
        <is>
          <t>GOWON ESTATE</t>
        </is>
      </c>
      <c r="D112" t="inlineStr"/>
      <c r="E112" t="inlineStr">
        <is>
          <t>Y</t>
        </is>
      </c>
    </row>
    <row r="113">
      <c r="A113" t="inlineStr">
        <is>
          <t>LFC0703</t>
        </is>
      </c>
      <c r="B113" t="inlineStr">
        <is>
          <t>LFC0703</t>
        </is>
      </c>
      <c r="C113" t="inlineStr">
        <is>
          <t>GOWON ESTATE</t>
        </is>
      </c>
      <c r="D113" t="inlineStr"/>
      <c r="E113" t="inlineStr">
        <is>
          <t>Y</t>
        </is>
      </c>
    </row>
    <row r="114">
      <c r="A114" t="inlineStr">
        <is>
          <t>LFC0704</t>
        </is>
      </c>
      <c r="B114" t="inlineStr">
        <is>
          <t>LFC0704</t>
        </is>
      </c>
      <c r="C114" t="inlineStr">
        <is>
          <t>GOWON ESTATE</t>
        </is>
      </c>
      <c r="D114" t="inlineStr"/>
      <c r="E114" t="inlineStr">
        <is>
          <t>Y</t>
        </is>
      </c>
    </row>
    <row r="115">
      <c r="A115" t="inlineStr">
        <is>
          <t>LFC0705</t>
        </is>
      </c>
      <c r="B115" t="inlineStr">
        <is>
          <t>LFC0705</t>
        </is>
      </c>
      <c r="C115" t="inlineStr">
        <is>
          <t>GOWON ESTATE</t>
        </is>
      </c>
      <c r="D115" t="inlineStr"/>
      <c r="E115" t="inlineStr">
        <is>
          <t>Y</t>
        </is>
      </c>
    </row>
    <row r="116">
      <c r="A116" t="inlineStr">
        <is>
          <t>LFC0706</t>
        </is>
      </c>
      <c r="B116" t="inlineStr">
        <is>
          <t>LFC0706</t>
        </is>
      </c>
      <c r="C116" t="inlineStr">
        <is>
          <t>GOWON ESTATE</t>
        </is>
      </c>
      <c r="D116" t="inlineStr"/>
      <c r="E116" t="inlineStr">
        <is>
          <t>Y</t>
        </is>
      </c>
    </row>
    <row r="117">
      <c r="A117" t="inlineStr">
        <is>
          <t>LFC0707</t>
        </is>
      </c>
      <c r="B117" t="inlineStr">
        <is>
          <t>LFC0707</t>
        </is>
      </c>
      <c r="C117" t="inlineStr">
        <is>
          <t>GOWON ESTATE</t>
        </is>
      </c>
      <c r="D117" t="inlineStr"/>
      <c r="E117" t="inlineStr">
        <is>
          <t>Y</t>
        </is>
      </c>
    </row>
    <row r="118">
      <c r="A118" t="inlineStr">
        <is>
          <t>LFC0708</t>
        </is>
      </c>
      <c r="B118" t="inlineStr">
        <is>
          <t>LFC0708</t>
        </is>
      </c>
      <c r="C118" t="inlineStr">
        <is>
          <t>GOWON ESTATE</t>
        </is>
      </c>
      <c r="D118" t="inlineStr"/>
      <c r="E118" t="inlineStr">
        <is>
          <t>Y</t>
        </is>
      </c>
    </row>
    <row r="119">
      <c r="A119" t="inlineStr">
        <is>
          <t>LFC0709</t>
        </is>
      </c>
      <c r="B119" t="inlineStr">
        <is>
          <t>LFC0709</t>
        </is>
      </c>
      <c r="C119" t="inlineStr">
        <is>
          <t>GOWON ESTATE</t>
        </is>
      </c>
      <c r="D119" t="inlineStr"/>
      <c r="E119" t="inlineStr">
        <is>
          <t>Y</t>
        </is>
      </c>
    </row>
    <row r="120">
      <c r="A120" t="inlineStr">
        <is>
          <t>LFC0710</t>
        </is>
      </c>
      <c r="B120" t="inlineStr">
        <is>
          <t>LFC0710</t>
        </is>
      </c>
      <c r="C120" t="inlineStr">
        <is>
          <t>GOWON ESTATE</t>
        </is>
      </c>
      <c r="D120" t="inlineStr"/>
      <c r="E120" t="inlineStr">
        <is>
          <t>Y</t>
        </is>
      </c>
    </row>
    <row r="121">
      <c r="A121" t="inlineStr">
        <is>
          <t>LFC0711</t>
        </is>
      </c>
      <c r="B121" t="inlineStr">
        <is>
          <t>LFC0711</t>
        </is>
      </c>
      <c r="C121" t="inlineStr">
        <is>
          <t>GOWON ESTATE</t>
        </is>
      </c>
      <c r="D121" t="inlineStr"/>
      <c r="E121" t="inlineStr">
        <is>
          <t>Y</t>
        </is>
      </c>
    </row>
    <row r="122">
      <c r="A122" t="inlineStr">
        <is>
          <t>LFC0712</t>
        </is>
      </c>
      <c r="B122" t="inlineStr">
        <is>
          <t>LFC0712</t>
        </is>
      </c>
      <c r="C122" t="inlineStr">
        <is>
          <t>GOWON ESTATE</t>
        </is>
      </c>
      <c r="D122" t="inlineStr"/>
      <c r="E122" t="inlineStr">
        <is>
          <t>Y</t>
        </is>
      </c>
    </row>
    <row r="123">
      <c r="A123" t="inlineStr">
        <is>
          <t>LFC0713</t>
        </is>
      </c>
      <c r="B123" t="inlineStr">
        <is>
          <t>LFC0713</t>
        </is>
      </c>
      <c r="C123" t="inlineStr">
        <is>
          <t>GOWON ESTATE</t>
        </is>
      </c>
      <c r="D123" t="inlineStr"/>
      <c r="E123" t="inlineStr">
        <is>
          <t>Y</t>
        </is>
      </c>
    </row>
    <row r="124">
      <c r="A124" t="inlineStr">
        <is>
          <t>LFC0714</t>
        </is>
      </c>
      <c r="B124" t="inlineStr">
        <is>
          <t>LFC0714</t>
        </is>
      </c>
      <c r="C124" t="inlineStr">
        <is>
          <t>GOWON ESTATE</t>
        </is>
      </c>
      <c r="D124" t="inlineStr"/>
      <c r="E124" t="inlineStr">
        <is>
          <t>Y</t>
        </is>
      </c>
    </row>
    <row r="125">
      <c r="A125" t="inlineStr">
        <is>
          <t>LFC0715</t>
        </is>
      </c>
      <c r="B125" t="inlineStr">
        <is>
          <t>LFC0715</t>
        </is>
      </c>
      <c r="C125" t="inlineStr">
        <is>
          <t>GOWON ESTATE</t>
        </is>
      </c>
      <c r="D125" t="inlineStr"/>
      <c r="E125" t="inlineStr">
        <is>
          <t>Y</t>
        </is>
      </c>
    </row>
    <row r="126">
      <c r="A126" t="inlineStr">
        <is>
          <t>LFC0716</t>
        </is>
      </c>
      <c r="B126" t="inlineStr">
        <is>
          <t>LFC0716</t>
        </is>
      </c>
      <c r="C126" t="inlineStr">
        <is>
          <t>GOWON ESTATE</t>
        </is>
      </c>
      <c r="D126" t="inlineStr"/>
      <c r="E126" t="inlineStr">
        <is>
          <t>Y</t>
        </is>
      </c>
    </row>
    <row r="127">
      <c r="A127" t="inlineStr">
        <is>
          <t>LFC0801</t>
        </is>
      </c>
      <c r="B127" t="inlineStr">
        <is>
          <t>LFC0801</t>
        </is>
      </c>
      <c r="C127" t="inlineStr">
        <is>
          <t>BARUWA</t>
        </is>
      </c>
      <c r="D127" t="inlineStr"/>
      <c r="E127" t="inlineStr">
        <is>
          <t>Y</t>
        </is>
      </c>
    </row>
    <row r="128">
      <c r="A128" t="inlineStr">
        <is>
          <t>LFC0802</t>
        </is>
      </c>
      <c r="B128" t="inlineStr">
        <is>
          <t>LFC0802</t>
        </is>
      </c>
      <c r="C128" t="inlineStr">
        <is>
          <t>BARUWA</t>
        </is>
      </c>
      <c r="D128" t="inlineStr"/>
      <c r="E128" t="inlineStr">
        <is>
          <t>Y</t>
        </is>
      </c>
    </row>
    <row r="129">
      <c r="A129" t="inlineStr">
        <is>
          <t>LFC0803</t>
        </is>
      </c>
      <c r="B129" t="inlineStr">
        <is>
          <t>LFC0803</t>
        </is>
      </c>
      <c r="C129" t="inlineStr">
        <is>
          <t>BARUWA</t>
        </is>
      </c>
      <c r="D129" t="inlineStr"/>
      <c r="E129" t="inlineStr">
        <is>
          <t>Y</t>
        </is>
      </c>
    </row>
    <row r="130">
      <c r="A130" t="inlineStr">
        <is>
          <t>LFC0804</t>
        </is>
      </c>
      <c r="B130" t="inlineStr">
        <is>
          <t>LFC0804</t>
        </is>
      </c>
      <c r="C130" t="inlineStr">
        <is>
          <t>BARUWA</t>
        </is>
      </c>
      <c r="D130" t="inlineStr"/>
      <c r="E130" t="inlineStr">
        <is>
          <t>Y</t>
        </is>
      </c>
    </row>
    <row r="131">
      <c r="A131" t="inlineStr">
        <is>
          <t>LFC0805</t>
        </is>
      </c>
      <c r="B131" t="inlineStr">
        <is>
          <t>LFC0805</t>
        </is>
      </c>
      <c r="C131" t="inlineStr">
        <is>
          <t>BARUWA</t>
        </is>
      </c>
      <c r="D131" t="inlineStr"/>
      <c r="E131" t="inlineStr">
        <is>
          <t>Y</t>
        </is>
      </c>
    </row>
    <row r="132">
      <c r="A132" t="inlineStr">
        <is>
          <t>LFC0806</t>
        </is>
      </c>
      <c r="B132" t="inlineStr">
        <is>
          <t>LFC0806</t>
        </is>
      </c>
      <c r="C132" t="inlineStr">
        <is>
          <t>BARUWA</t>
        </is>
      </c>
      <c r="D132" t="inlineStr"/>
      <c r="E132" t="inlineStr">
        <is>
          <t>Y</t>
        </is>
      </c>
    </row>
    <row r="133">
      <c r="A133" t="inlineStr">
        <is>
          <t>LFC0807</t>
        </is>
      </c>
      <c r="B133" t="inlineStr">
        <is>
          <t>LFC0807</t>
        </is>
      </c>
      <c r="C133" t="inlineStr">
        <is>
          <t>BARUWA</t>
        </is>
      </c>
      <c r="D133" t="inlineStr"/>
      <c r="E133" t="inlineStr">
        <is>
          <t>Y</t>
        </is>
      </c>
    </row>
    <row r="134">
      <c r="A134" t="inlineStr">
        <is>
          <t>LFC0808</t>
        </is>
      </c>
      <c r="B134" t="inlineStr">
        <is>
          <t>LFC0808</t>
        </is>
      </c>
      <c r="C134" t="inlineStr">
        <is>
          <t>BARUWA</t>
        </is>
      </c>
      <c r="D134" t="inlineStr"/>
      <c r="E134" t="inlineStr">
        <is>
          <t>Y</t>
        </is>
      </c>
    </row>
    <row r="135">
      <c r="A135" t="inlineStr">
        <is>
          <t>LFC0809</t>
        </is>
      </c>
      <c r="B135" t="inlineStr">
        <is>
          <t>LFC0809</t>
        </is>
      </c>
      <c r="C135" t="inlineStr">
        <is>
          <t>BARUWA</t>
        </is>
      </c>
      <c r="D135" t="inlineStr"/>
      <c r="E135" t="inlineStr">
        <is>
          <t>Y</t>
        </is>
      </c>
    </row>
    <row r="136">
      <c r="A136" t="inlineStr">
        <is>
          <t>LFC0810</t>
        </is>
      </c>
      <c r="B136" t="inlineStr">
        <is>
          <t>LFC0810</t>
        </is>
      </c>
      <c r="C136" t="inlineStr">
        <is>
          <t>BARUWA</t>
        </is>
      </c>
      <c r="D136" t="inlineStr"/>
      <c r="E136" t="inlineStr">
        <is>
          <t>Y</t>
        </is>
      </c>
    </row>
    <row r="137">
      <c r="A137" t="inlineStr">
        <is>
          <t>LFC0811</t>
        </is>
      </c>
      <c r="B137" t="inlineStr">
        <is>
          <t>LFC0811</t>
        </is>
      </c>
      <c r="C137" t="inlineStr">
        <is>
          <t>BARUWA</t>
        </is>
      </c>
      <c r="D137" t="inlineStr"/>
      <c r="E137" t="inlineStr">
        <is>
          <t>Y</t>
        </is>
      </c>
    </row>
    <row r="138">
      <c r="A138" t="inlineStr">
        <is>
          <t>LFC0812</t>
        </is>
      </c>
      <c r="B138" t="inlineStr">
        <is>
          <t>LFC0812</t>
        </is>
      </c>
      <c r="C138" t="inlineStr">
        <is>
          <t>BARUWA</t>
        </is>
      </c>
      <c r="D138" t="inlineStr"/>
      <c r="E138" t="inlineStr">
        <is>
          <t>Y</t>
        </is>
      </c>
    </row>
    <row r="139">
      <c r="A139" t="inlineStr">
        <is>
          <t>LFC0813</t>
        </is>
      </c>
      <c r="B139" t="inlineStr">
        <is>
          <t>LFC0813</t>
        </is>
      </c>
      <c r="C139" t="inlineStr">
        <is>
          <t>BARUWA</t>
        </is>
      </c>
      <c r="D139" t="inlineStr"/>
      <c r="E139" t="inlineStr">
        <is>
          <t>Y</t>
        </is>
      </c>
    </row>
    <row r="140">
      <c r="A140" t="inlineStr">
        <is>
          <t>LFC0814</t>
        </is>
      </c>
      <c r="B140" t="inlineStr">
        <is>
          <t>LFC0814</t>
        </is>
      </c>
      <c r="C140" t="inlineStr">
        <is>
          <t>BARUWA</t>
        </is>
      </c>
      <c r="D140" t="inlineStr"/>
      <c r="E140" t="inlineStr">
        <is>
          <t>Y</t>
        </is>
      </c>
    </row>
    <row r="141">
      <c r="A141" t="inlineStr">
        <is>
          <t>LFC0901</t>
        </is>
      </c>
      <c r="B141" t="inlineStr">
        <is>
          <t>LFC0901</t>
        </is>
      </c>
      <c r="C141" t="inlineStr">
        <is>
          <t>ABORU</t>
        </is>
      </c>
      <c r="D141" t="inlineStr"/>
      <c r="E141" t="inlineStr">
        <is>
          <t>Y</t>
        </is>
      </c>
    </row>
    <row r="142">
      <c r="A142" t="inlineStr">
        <is>
          <t>LFC0902</t>
        </is>
      </c>
      <c r="B142" t="inlineStr">
        <is>
          <t>LFC0902</t>
        </is>
      </c>
      <c r="C142" t="inlineStr">
        <is>
          <t>ABORU</t>
        </is>
      </c>
      <c r="D142" t="inlineStr"/>
      <c r="E142" t="inlineStr">
        <is>
          <t>Y</t>
        </is>
      </c>
    </row>
    <row r="143">
      <c r="A143" t="inlineStr">
        <is>
          <t>LFC0903</t>
        </is>
      </c>
      <c r="B143" t="inlineStr">
        <is>
          <t>LFC0903</t>
        </is>
      </c>
      <c r="C143" t="inlineStr">
        <is>
          <t>ABORU</t>
        </is>
      </c>
      <c r="D143" t="inlineStr"/>
      <c r="E143" t="inlineStr">
        <is>
          <t>Y</t>
        </is>
      </c>
    </row>
    <row r="144">
      <c r="A144" t="inlineStr">
        <is>
          <t>LFC0904</t>
        </is>
      </c>
      <c r="B144" t="inlineStr">
        <is>
          <t>LFC0904</t>
        </is>
      </c>
      <c r="C144" t="inlineStr">
        <is>
          <t>ABORU</t>
        </is>
      </c>
      <c r="D144" t="inlineStr"/>
      <c r="E144" t="inlineStr">
        <is>
          <t>Y</t>
        </is>
      </c>
    </row>
    <row r="145">
      <c r="A145" t="inlineStr">
        <is>
          <t>LFC0905</t>
        </is>
      </c>
      <c r="B145" t="inlineStr">
        <is>
          <t>LFC0905</t>
        </is>
      </c>
      <c r="C145" t="inlineStr">
        <is>
          <t>ABORU</t>
        </is>
      </c>
      <c r="D145" t="inlineStr"/>
      <c r="E145" t="inlineStr">
        <is>
          <t>Y</t>
        </is>
      </c>
    </row>
    <row r="146">
      <c r="A146" t="inlineStr">
        <is>
          <t>LFC0906</t>
        </is>
      </c>
      <c r="B146" t="inlineStr">
        <is>
          <t>LFC0906</t>
        </is>
      </c>
      <c r="C146" t="inlineStr">
        <is>
          <t>ABORU</t>
        </is>
      </c>
      <c r="D146" t="inlineStr"/>
      <c r="E146" t="inlineStr">
        <is>
          <t>Y</t>
        </is>
      </c>
    </row>
    <row r="147">
      <c r="A147" t="inlineStr">
        <is>
          <t>LFC0907</t>
        </is>
      </c>
      <c r="B147" t="inlineStr">
        <is>
          <t>LFC0907</t>
        </is>
      </c>
      <c r="C147" t="inlineStr">
        <is>
          <t>ABORU</t>
        </is>
      </c>
      <c r="D147" t="inlineStr"/>
      <c r="E147" t="inlineStr">
        <is>
          <t>Y</t>
        </is>
      </c>
    </row>
    <row r="148">
      <c r="A148" t="inlineStr">
        <is>
          <t>LFC0908</t>
        </is>
      </c>
      <c r="B148" t="inlineStr">
        <is>
          <t>LFC0908</t>
        </is>
      </c>
      <c r="C148" t="inlineStr">
        <is>
          <t>ABORU</t>
        </is>
      </c>
      <c r="D148" t="inlineStr"/>
      <c r="E148" t="inlineStr">
        <is>
          <t>Y</t>
        </is>
      </c>
    </row>
    <row r="149">
      <c r="A149" t="inlineStr">
        <is>
          <t>LFC0909</t>
        </is>
      </c>
      <c r="B149" t="inlineStr">
        <is>
          <t>LFC0909</t>
        </is>
      </c>
      <c r="C149" t="inlineStr">
        <is>
          <t>ABORU</t>
        </is>
      </c>
      <c r="D149" t="inlineStr"/>
      <c r="E149" t="inlineStr">
        <is>
          <t>Y</t>
        </is>
      </c>
    </row>
    <row r="150">
      <c r="A150" t="inlineStr">
        <is>
          <t>LFC0910</t>
        </is>
      </c>
      <c r="B150" t="inlineStr">
        <is>
          <t>LFC0910</t>
        </is>
      </c>
      <c r="C150" t="inlineStr">
        <is>
          <t>ABORU</t>
        </is>
      </c>
      <c r="D150" t="inlineStr"/>
      <c r="E150" t="inlineStr">
        <is>
          <t>Y</t>
        </is>
      </c>
    </row>
    <row r="151">
      <c r="A151" t="inlineStr">
        <is>
          <t>LFC0911</t>
        </is>
      </c>
      <c r="B151" t="inlineStr">
        <is>
          <t>LFC0911</t>
        </is>
      </c>
      <c r="C151" t="inlineStr">
        <is>
          <t>ABORU</t>
        </is>
      </c>
      <c r="D151" t="inlineStr"/>
      <c r="E151" t="inlineStr">
        <is>
          <t>Y</t>
        </is>
      </c>
    </row>
    <row r="152">
      <c r="A152" t="inlineStr">
        <is>
          <t>LFC0912</t>
        </is>
      </c>
      <c r="B152" t="inlineStr">
        <is>
          <t>LFC0912</t>
        </is>
      </c>
      <c r="C152" t="inlineStr">
        <is>
          <t>ABORU</t>
        </is>
      </c>
      <c r="D152" t="inlineStr"/>
      <c r="E152" t="inlineStr">
        <is>
          <t>Y</t>
        </is>
      </c>
    </row>
    <row r="153">
      <c r="A153" t="inlineStr">
        <is>
          <t>LFC0913</t>
        </is>
      </c>
      <c r="B153" t="inlineStr">
        <is>
          <t>LFC0913</t>
        </is>
      </c>
      <c r="C153" t="inlineStr">
        <is>
          <t>ABORU</t>
        </is>
      </c>
      <c r="D153" t="inlineStr"/>
      <c r="E153" t="inlineStr">
        <is>
          <t>Y</t>
        </is>
      </c>
    </row>
    <row r="154">
      <c r="A154" t="inlineStr">
        <is>
          <t>LFC1001</t>
        </is>
      </c>
      <c r="B154" t="inlineStr">
        <is>
          <t>LFC1001</t>
        </is>
      </c>
      <c r="C154" t="inlineStr">
        <is>
          <t>IYANA ISASHI</t>
        </is>
      </c>
      <c r="D154" t="inlineStr"/>
      <c r="E154" t="inlineStr">
        <is>
          <t>Y</t>
        </is>
      </c>
    </row>
    <row r="155">
      <c r="A155" t="inlineStr">
        <is>
          <t>LFC1002</t>
        </is>
      </c>
      <c r="B155" t="inlineStr">
        <is>
          <t>LFC1002</t>
        </is>
      </c>
      <c r="C155" t="inlineStr">
        <is>
          <t>IYANA ISASHI</t>
        </is>
      </c>
      <c r="D155" t="inlineStr"/>
      <c r="E155" t="inlineStr">
        <is>
          <t>Y</t>
        </is>
      </c>
    </row>
    <row r="156">
      <c r="A156" t="inlineStr">
        <is>
          <t>LFC1003</t>
        </is>
      </c>
      <c r="B156" t="inlineStr">
        <is>
          <t>LFC1003</t>
        </is>
      </c>
      <c r="C156" t="inlineStr">
        <is>
          <t>IYANA ISASHI</t>
        </is>
      </c>
      <c r="D156" t="inlineStr"/>
      <c r="E156" t="inlineStr">
        <is>
          <t>Y</t>
        </is>
      </c>
    </row>
    <row r="157">
      <c r="A157" t="inlineStr">
        <is>
          <t>LFC1004</t>
        </is>
      </c>
      <c r="B157" t="inlineStr">
        <is>
          <t>LFC1004</t>
        </is>
      </c>
      <c r="C157" t="inlineStr">
        <is>
          <t>IYANA ISASHI</t>
        </is>
      </c>
      <c r="D157" t="inlineStr"/>
      <c r="E157" t="inlineStr">
        <is>
          <t>Y</t>
        </is>
      </c>
    </row>
    <row r="158">
      <c r="A158" t="inlineStr">
        <is>
          <t>LFC1005</t>
        </is>
      </c>
      <c r="B158" t="inlineStr">
        <is>
          <t>LFC1005</t>
        </is>
      </c>
      <c r="C158" t="inlineStr">
        <is>
          <t>IYANA ISASHI</t>
        </is>
      </c>
      <c r="D158" t="inlineStr"/>
      <c r="E158" t="inlineStr">
        <is>
          <t>Y</t>
        </is>
      </c>
    </row>
    <row r="159">
      <c r="A159" t="inlineStr">
        <is>
          <t>LFC1006</t>
        </is>
      </c>
      <c r="B159" t="inlineStr">
        <is>
          <t>LFC1006</t>
        </is>
      </c>
      <c r="C159" t="inlineStr">
        <is>
          <t>IYANA ISASHI</t>
        </is>
      </c>
      <c r="D159" t="inlineStr"/>
      <c r="E159" t="inlineStr">
        <is>
          <t>Y</t>
        </is>
      </c>
    </row>
    <row r="160">
      <c r="A160" t="inlineStr">
        <is>
          <t>LFC1007</t>
        </is>
      </c>
      <c r="B160" t="inlineStr">
        <is>
          <t>LFC1007</t>
        </is>
      </c>
      <c r="C160" t="inlineStr">
        <is>
          <t>IYANA ISASHI</t>
        </is>
      </c>
      <c r="D160" t="inlineStr"/>
      <c r="E160" t="inlineStr">
        <is>
          <t>Y</t>
        </is>
      </c>
    </row>
    <row r="161">
      <c r="A161" t="inlineStr">
        <is>
          <t>LFC1008</t>
        </is>
      </c>
      <c r="B161" t="inlineStr">
        <is>
          <t>LFC1008</t>
        </is>
      </c>
      <c r="C161" t="inlineStr">
        <is>
          <t>IYANA ISASHI</t>
        </is>
      </c>
      <c r="D161" t="inlineStr"/>
      <c r="E161" t="inlineStr">
        <is>
          <t>Y</t>
        </is>
      </c>
    </row>
    <row r="162">
      <c r="A162" t="inlineStr">
        <is>
          <t>LFC1009</t>
        </is>
      </c>
      <c r="B162" t="inlineStr">
        <is>
          <t>LFC1009</t>
        </is>
      </c>
      <c r="C162" t="inlineStr">
        <is>
          <t>IYANA ISASHI</t>
        </is>
      </c>
      <c r="D162" t="inlineStr"/>
      <c r="E162" t="inlineStr">
        <is>
          <t>Y</t>
        </is>
      </c>
    </row>
    <row r="163">
      <c r="A163" t="inlineStr">
        <is>
          <t>LFC1010</t>
        </is>
      </c>
      <c r="B163" t="inlineStr">
        <is>
          <t>LFC1010</t>
        </is>
      </c>
      <c r="C163" t="inlineStr">
        <is>
          <t>IYANA ISASHI</t>
        </is>
      </c>
      <c r="D163" t="inlineStr"/>
      <c r="E163" t="inlineStr">
        <is>
          <t>Y</t>
        </is>
      </c>
    </row>
    <row r="164">
      <c r="A164" t="inlineStr">
        <is>
          <t>LFC1011</t>
        </is>
      </c>
      <c r="B164" t="inlineStr">
        <is>
          <t>LFC1011</t>
        </is>
      </c>
      <c r="C164" t="inlineStr">
        <is>
          <t>IYANA ISASHI</t>
        </is>
      </c>
      <c r="D164" t="inlineStr"/>
      <c r="E164" t="inlineStr">
        <is>
          <t>Y</t>
        </is>
      </c>
    </row>
    <row r="165">
      <c r="A165" t="inlineStr">
        <is>
          <t>LFC1012</t>
        </is>
      </c>
      <c r="B165" t="inlineStr">
        <is>
          <t>LFC1012</t>
        </is>
      </c>
      <c r="C165" t="inlineStr">
        <is>
          <t>IYANA ISASHI</t>
        </is>
      </c>
      <c r="D165" t="inlineStr"/>
      <c r="E165" t="inlineStr">
        <is>
          <t>Y</t>
        </is>
      </c>
    </row>
    <row r="166">
      <c r="A166" t="inlineStr">
        <is>
          <t>LFC1013</t>
        </is>
      </c>
      <c r="B166" t="inlineStr">
        <is>
          <t>LFC1013</t>
        </is>
      </c>
      <c r="C166" t="inlineStr">
        <is>
          <t>IYANA ISASHI</t>
        </is>
      </c>
      <c r="D166" t="inlineStr"/>
      <c r="E166" t="inlineStr">
        <is>
          <t>Y</t>
        </is>
      </c>
    </row>
    <row r="167">
      <c r="A167" t="inlineStr">
        <is>
          <t>LFC1014</t>
        </is>
      </c>
      <c r="B167" t="inlineStr">
        <is>
          <t>LFC1014</t>
        </is>
      </c>
      <c r="C167" t="inlineStr">
        <is>
          <t>IYANA ISASHI</t>
        </is>
      </c>
      <c r="D167" t="inlineStr"/>
      <c r="E167" t="inlineStr">
        <is>
          <t>Y</t>
        </is>
      </c>
    </row>
    <row r="168">
      <c r="A168" t="inlineStr">
        <is>
          <t>LFC1015</t>
        </is>
      </c>
      <c r="B168" t="inlineStr">
        <is>
          <t>LFC1015</t>
        </is>
      </c>
      <c r="C168" t="inlineStr">
        <is>
          <t>IYANA ISASHI</t>
        </is>
      </c>
      <c r="D168" t="inlineStr"/>
      <c r="E168" t="inlineStr">
        <is>
          <t>Y</t>
        </is>
      </c>
    </row>
    <row r="169">
      <c r="A169" t="inlineStr">
        <is>
          <t>LFC1101</t>
        </is>
      </c>
      <c r="B169" t="inlineStr">
        <is>
          <t>LFC1101</t>
        </is>
      </c>
      <c r="C169" t="inlineStr">
        <is>
          <t>WILKY</t>
        </is>
      </c>
      <c r="D169" t="inlineStr"/>
      <c r="E169" t="inlineStr">
        <is>
          <t>Y</t>
        </is>
      </c>
    </row>
    <row r="170">
      <c r="A170" t="inlineStr">
        <is>
          <t>LFC1102</t>
        </is>
      </c>
      <c r="B170" t="inlineStr">
        <is>
          <t>LFC1102</t>
        </is>
      </c>
      <c r="C170" t="inlineStr">
        <is>
          <t>WILKY</t>
        </is>
      </c>
      <c r="D170" t="inlineStr"/>
      <c r="E170" t="inlineStr">
        <is>
          <t>Y</t>
        </is>
      </c>
    </row>
    <row r="171">
      <c r="A171" t="inlineStr">
        <is>
          <t>LFC1103</t>
        </is>
      </c>
      <c r="B171" t="inlineStr">
        <is>
          <t>LFC1103</t>
        </is>
      </c>
      <c r="C171" t="inlineStr">
        <is>
          <t>WILKY</t>
        </is>
      </c>
      <c r="D171" t="inlineStr"/>
      <c r="E171" t="inlineStr">
        <is>
          <t>Y</t>
        </is>
      </c>
    </row>
    <row r="172">
      <c r="A172" t="inlineStr">
        <is>
          <t>LFC1104</t>
        </is>
      </c>
      <c r="B172" t="inlineStr">
        <is>
          <t>LFC1104</t>
        </is>
      </c>
      <c r="C172" t="inlineStr">
        <is>
          <t>WILKY</t>
        </is>
      </c>
      <c r="D172" t="inlineStr"/>
      <c r="E172" t="inlineStr">
        <is>
          <t>Y</t>
        </is>
      </c>
    </row>
    <row r="173">
      <c r="A173" t="inlineStr">
        <is>
          <t>LFC1105</t>
        </is>
      </c>
      <c r="B173" t="inlineStr">
        <is>
          <t>LFC1105</t>
        </is>
      </c>
      <c r="C173" t="inlineStr">
        <is>
          <t>WILKY</t>
        </is>
      </c>
      <c r="D173" t="inlineStr"/>
      <c r="E173" t="inlineStr">
        <is>
          <t>Y</t>
        </is>
      </c>
    </row>
    <row r="174">
      <c r="A174" t="inlineStr">
        <is>
          <t>LFC1201</t>
        </is>
      </c>
      <c r="B174" t="inlineStr">
        <is>
          <t>LFC1201</t>
        </is>
      </c>
      <c r="C174" t="inlineStr">
        <is>
          <t>PEDRO</t>
        </is>
      </c>
      <c r="D174" t="inlineStr"/>
      <c r="E174" t="inlineStr">
        <is>
          <t>Y</t>
        </is>
      </c>
    </row>
    <row r="175">
      <c r="A175" t="inlineStr">
        <is>
          <t>LFC1202</t>
        </is>
      </c>
      <c r="B175" t="inlineStr">
        <is>
          <t>LFC1202</t>
        </is>
      </c>
      <c r="C175" t="inlineStr">
        <is>
          <t>PEDRO</t>
        </is>
      </c>
      <c r="D175" t="inlineStr"/>
      <c r="E175" t="inlineStr">
        <is>
          <t>Y</t>
        </is>
      </c>
    </row>
    <row r="176">
      <c r="A176" t="inlineStr">
        <is>
          <t>LFC1203</t>
        </is>
      </c>
      <c r="B176" t="inlineStr">
        <is>
          <t>LFC1203</t>
        </is>
      </c>
      <c r="C176" t="inlineStr">
        <is>
          <t>PEDRO</t>
        </is>
      </c>
      <c r="D176" t="inlineStr"/>
      <c r="E176" t="inlineStr">
        <is>
          <t>Y</t>
        </is>
      </c>
    </row>
    <row r="177">
      <c r="A177" t="inlineStr">
        <is>
          <t>LFC1204</t>
        </is>
      </c>
      <c r="B177" t="inlineStr">
        <is>
          <t>LFC1204</t>
        </is>
      </c>
      <c r="C177" t="inlineStr">
        <is>
          <t>PEDRO</t>
        </is>
      </c>
      <c r="D177" t="inlineStr"/>
      <c r="E177" t="inlineStr">
        <is>
          <t>Y</t>
        </is>
      </c>
    </row>
    <row r="178">
      <c r="A178" t="inlineStr">
        <is>
          <t>LFC1205</t>
        </is>
      </c>
      <c r="B178" t="inlineStr">
        <is>
          <t>LFC1205</t>
        </is>
      </c>
      <c r="C178" t="inlineStr">
        <is>
          <t>PEDRO</t>
        </is>
      </c>
      <c r="D178" t="inlineStr"/>
      <c r="E178" t="inlineStr">
        <is>
          <t>Y</t>
        </is>
      </c>
    </row>
    <row r="179">
      <c r="A179" t="inlineStr">
        <is>
          <t>LFC1206</t>
        </is>
      </c>
      <c r="B179" t="inlineStr">
        <is>
          <t>LFC1206</t>
        </is>
      </c>
      <c r="C179" t="inlineStr">
        <is>
          <t>PEDRO</t>
        </is>
      </c>
      <c r="D179" t="inlineStr"/>
      <c r="E179" t="inlineStr">
        <is>
          <t>Y</t>
        </is>
      </c>
    </row>
    <row r="180">
      <c r="A180" t="inlineStr">
        <is>
          <t>LFC1301</t>
        </is>
      </c>
      <c r="B180" t="inlineStr">
        <is>
          <t>LFC1301</t>
        </is>
      </c>
      <c r="C180" t="inlineStr">
        <is>
          <t>IJAIYE</t>
        </is>
      </c>
      <c r="D180" t="inlineStr"/>
      <c r="E180" t="inlineStr">
        <is>
          <t>Y</t>
        </is>
      </c>
    </row>
    <row r="181">
      <c r="A181" t="inlineStr">
        <is>
          <t>LFC1302</t>
        </is>
      </c>
      <c r="B181" t="inlineStr">
        <is>
          <t>LFC1302</t>
        </is>
      </c>
      <c r="C181" t="inlineStr">
        <is>
          <t>IJAIYE</t>
        </is>
      </c>
      <c r="D181" t="inlineStr"/>
      <c r="E181" t="inlineStr">
        <is>
          <t>Y</t>
        </is>
      </c>
    </row>
    <row r="182">
      <c r="A182" t="inlineStr">
        <is>
          <t>LFC1303</t>
        </is>
      </c>
      <c r="B182" t="inlineStr">
        <is>
          <t>LFC1303</t>
        </is>
      </c>
      <c r="C182" t="inlineStr">
        <is>
          <t>IJAIYE</t>
        </is>
      </c>
      <c r="D182" t="inlineStr"/>
      <c r="E182" t="inlineStr">
        <is>
          <t>Y</t>
        </is>
      </c>
    </row>
    <row r="183">
      <c r="A183" t="inlineStr">
        <is>
          <t>LFC1304</t>
        </is>
      </c>
      <c r="B183" t="inlineStr">
        <is>
          <t>LFC1304</t>
        </is>
      </c>
      <c r="C183" t="inlineStr">
        <is>
          <t>IJAIYE</t>
        </is>
      </c>
      <c r="D183" t="inlineStr"/>
      <c r="E183" t="inlineStr">
        <is>
          <t>Y</t>
        </is>
      </c>
    </row>
    <row r="184">
      <c r="A184" t="inlineStr">
        <is>
          <t>LFC1305</t>
        </is>
      </c>
      <c r="B184" t="inlineStr">
        <is>
          <t>LFC1305</t>
        </is>
      </c>
      <c r="C184" t="inlineStr">
        <is>
          <t>IJAIYE</t>
        </is>
      </c>
      <c r="D184" t="inlineStr"/>
      <c r="E184" t="inlineStr">
        <is>
          <t>Y</t>
        </is>
      </c>
    </row>
    <row r="185">
      <c r="A185" t="inlineStr">
        <is>
          <t>LFC1306</t>
        </is>
      </c>
      <c r="B185" t="inlineStr">
        <is>
          <t>LFC1306</t>
        </is>
      </c>
      <c r="C185" t="inlineStr">
        <is>
          <t>IJAIYE</t>
        </is>
      </c>
      <c r="D185" t="inlineStr"/>
      <c r="E185" t="inlineStr">
        <is>
          <t>Y</t>
        </is>
      </c>
    </row>
    <row r="186">
      <c r="A186" t="inlineStr">
        <is>
          <t>LFC1307</t>
        </is>
      </c>
      <c r="B186" t="inlineStr">
        <is>
          <t>LFC1307</t>
        </is>
      </c>
      <c r="C186" t="inlineStr">
        <is>
          <t>IJAIYE</t>
        </is>
      </c>
      <c r="D186" t="inlineStr"/>
      <c r="E186" t="inlineStr">
        <is>
          <t>Y</t>
        </is>
      </c>
    </row>
    <row r="187">
      <c r="A187" t="inlineStr">
        <is>
          <t>LFC1308</t>
        </is>
      </c>
      <c r="B187" t="inlineStr">
        <is>
          <t>LFC1308</t>
        </is>
      </c>
      <c r="C187" t="inlineStr">
        <is>
          <t>IJAIYE</t>
        </is>
      </c>
      <c r="D187" t="inlineStr"/>
      <c r="E187" t="inlineStr">
        <is>
          <t>Y</t>
        </is>
      </c>
    </row>
    <row r="188">
      <c r="A188" t="inlineStr">
        <is>
          <t>LFC1309</t>
        </is>
      </c>
      <c r="B188" t="inlineStr">
        <is>
          <t>LFC1309</t>
        </is>
      </c>
      <c r="C188" t="inlineStr">
        <is>
          <t>IJAIYE</t>
        </is>
      </c>
      <c r="D188" t="inlineStr"/>
      <c r="E188" t="inlineStr">
        <is>
          <t>Y</t>
        </is>
      </c>
    </row>
    <row r="189">
      <c r="A189" t="inlineStr">
        <is>
          <t>LFC1310</t>
        </is>
      </c>
      <c r="B189" t="inlineStr">
        <is>
          <t>LFC1310</t>
        </is>
      </c>
      <c r="C189" t="inlineStr">
        <is>
          <t>IJAIYE</t>
        </is>
      </c>
      <c r="D189" t="inlineStr"/>
      <c r="E189" t="inlineStr">
        <is>
          <t>Y</t>
        </is>
      </c>
    </row>
    <row r="190">
      <c r="A190" t="inlineStr">
        <is>
          <t>LFC1311</t>
        </is>
      </c>
      <c r="B190" t="inlineStr">
        <is>
          <t>LFC1311</t>
        </is>
      </c>
      <c r="C190" t="inlineStr">
        <is>
          <t>IJAIYE</t>
        </is>
      </c>
      <c r="D190" t="inlineStr"/>
      <c r="E190" t="inlineStr">
        <is>
          <t>Y</t>
        </is>
      </c>
    </row>
    <row r="191">
      <c r="A191" t="inlineStr">
        <is>
          <t>LFC1312</t>
        </is>
      </c>
      <c r="B191" t="inlineStr">
        <is>
          <t>LFC1312</t>
        </is>
      </c>
      <c r="C191" t="inlineStr">
        <is>
          <t>IJAIYE</t>
        </is>
      </c>
      <c r="D191" t="inlineStr"/>
      <c r="E191" t="inlineStr">
        <is>
          <t>Y</t>
        </is>
      </c>
    </row>
    <row r="192">
      <c r="A192" t="inlineStr">
        <is>
          <t>LFC1313</t>
        </is>
      </c>
      <c r="B192" t="inlineStr">
        <is>
          <t>LFC1313</t>
        </is>
      </c>
      <c r="C192" t="inlineStr">
        <is>
          <t>IJAIYE</t>
        </is>
      </c>
      <c r="D192" t="inlineStr"/>
      <c r="E192" t="inlineStr">
        <is>
          <t>Y</t>
        </is>
      </c>
    </row>
    <row r="193">
      <c r="A193" t="inlineStr">
        <is>
          <t>LFC1314</t>
        </is>
      </c>
      <c r="B193" t="inlineStr">
        <is>
          <t>LFC1314</t>
        </is>
      </c>
      <c r="C193" t="inlineStr">
        <is>
          <t>IJAIYE</t>
        </is>
      </c>
      <c r="D193" t="inlineStr"/>
      <c r="E193" t="inlineStr">
        <is>
          <t>Y</t>
        </is>
      </c>
    </row>
    <row r="194">
      <c r="A194" t="inlineStr">
        <is>
          <t>LFC1315</t>
        </is>
      </c>
      <c r="B194" t="inlineStr">
        <is>
          <t>LFC1315</t>
        </is>
      </c>
      <c r="C194" t="inlineStr">
        <is>
          <t>IJAIYE</t>
        </is>
      </c>
      <c r="D194" t="inlineStr"/>
      <c r="E194" t="inlineStr">
        <is>
          <t>Y</t>
        </is>
      </c>
    </row>
    <row r="195">
      <c r="A195" t="inlineStr">
        <is>
          <t>LFC1316</t>
        </is>
      </c>
      <c r="B195" t="inlineStr">
        <is>
          <t>LFC1316</t>
        </is>
      </c>
      <c r="C195" t="inlineStr">
        <is>
          <t>IJAIYE</t>
        </is>
      </c>
      <c r="D195" t="inlineStr"/>
      <c r="E195" t="inlineStr">
        <is>
          <t>Y</t>
        </is>
      </c>
    </row>
    <row r="196">
      <c r="A196" t="inlineStr">
        <is>
          <t>LFC1317</t>
        </is>
      </c>
      <c r="B196" t="inlineStr">
        <is>
          <t>LFC1317</t>
        </is>
      </c>
      <c r="C196" t="inlineStr">
        <is>
          <t>IJAIYE</t>
        </is>
      </c>
      <c r="D196" t="inlineStr"/>
      <c r="E196" t="inlineStr">
        <is>
          <t>Y</t>
        </is>
      </c>
    </row>
    <row r="197">
      <c r="A197" t="inlineStr">
        <is>
          <t>LFC1318</t>
        </is>
      </c>
      <c r="B197" t="inlineStr">
        <is>
          <t>LFC1318</t>
        </is>
      </c>
      <c r="C197" t="inlineStr">
        <is>
          <t>IJAIYE</t>
        </is>
      </c>
      <c r="D197" t="inlineStr"/>
      <c r="E197" t="inlineStr">
        <is>
          <t>Y</t>
        </is>
      </c>
    </row>
    <row r="198">
      <c r="A198" t="inlineStr">
        <is>
          <t>LFC1401</t>
        </is>
      </c>
      <c r="B198" t="inlineStr">
        <is>
          <t>LFC1401</t>
        </is>
      </c>
      <c r="C198" t="inlineStr">
        <is>
          <t>OGBA</t>
        </is>
      </c>
      <c r="D198" t="inlineStr"/>
      <c r="E198" t="inlineStr">
        <is>
          <t>Y</t>
        </is>
      </c>
    </row>
    <row r="199">
      <c r="A199" t="inlineStr">
        <is>
          <t>LFC1402</t>
        </is>
      </c>
      <c r="B199" t="inlineStr">
        <is>
          <t>LFC1402</t>
        </is>
      </c>
      <c r="C199" t="inlineStr">
        <is>
          <t>OGBA</t>
        </is>
      </c>
      <c r="D199" t="inlineStr"/>
      <c r="E199" t="inlineStr">
        <is>
          <t>Y</t>
        </is>
      </c>
    </row>
    <row r="200">
      <c r="A200" t="inlineStr">
        <is>
          <t>LFC1403</t>
        </is>
      </c>
      <c r="B200" t="inlineStr">
        <is>
          <t>LFC1403</t>
        </is>
      </c>
      <c r="C200" t="inlineStr">
        <is>
          <t>OGBA</t>
        </is>
      </c>
      <c r="D200" t="inlineStr"/>
      <c r="E200" t="inlineStr">
        <is>
          <t>Y</t>
        </is>
      </c>
    </row>
    <row r="201">
      <c r="A201" t="inlineStr">
        <is>
          <t>LFC1404</t>
        </is>
      </c>
      <c r="B201" t="inlineStr">
        <is>
          <t>LFC1404</t>
        </is>
      </c>
      <c r="C201" t="inlineStr">
        <is>
          <t>OGBA</t>
        </is>
      </c>
      <c r="D201" t="inlineStr"/>
      <c r="E201" t="inlineStr">
        <is>
          <t>Y</t>
        </is>
      </c>
    </row>
    <row r="202">
      <c r="A202" t="inlineStr">
        <is>
          <t>LFC1405</t>
        </is>
      </c>
      <c r="B202" t="inlineStr">
        <is>
          <t>LFC1405</t>
        </is>
      </c>
      <c r="C202" t="inlineStr">
        <is>
          <t>OGBA</t>
        </is>
      </c>
      <c r="D202" t="inlineStr"/>
      <c r="E202" t="inlineStr">
        <is>
          <t>Y</t>
        </is>
      </c>
    </row>
    <row r="203">
      <c r="A203" t="inlineStr">
        <is>
          <t>LFC1406</t>
        </is>
      </c>
      <c r="B203" t="inlineStr">
        <is>
          <t>LFC1406</t>
        </is>
      </c>
      <c r="C203" t="inlineStr">
        <is>
          <t>OGBA</t>
        </is>
      </c>
      <c r="D203" t="inlineStr"/>
      <c r="E203" t="inlineStr">
        <is>
          <t>Y</t>
        </is>
      </c>
    </row>
    <row r="204">
      <c r="A204" t="inlineStr">
        <is>
          <t>LFC1407</t>
        </is>
      </c>
      <c r="B204" t="inlineStr">
        <is>
          <t>LFC1407</t>
        </is>
      </c>
      <c r="C204" t="inlineStr">
        <is>
          <t>OGBA</t>
        </is>
      </c>
      <c r="D204" t="inlineStr"/>
      <c r="E204" t="inlineStr">
        <is>
          <t>Y</t>
        </is>
      </c>
    </row>
    <row r="205">
      <c r="A205" t="inlineStr">
        <is>
          <t>LFC1408</t>
        </is>
      </c>
      <c r="B205" t="inlineStr">
        <is>
          <t>LFC1408</t>
        </is>
      </c>
      <c r="C205" t="inlineStr">
        <is>
          <t>OGBA</t>
        </is>
      </c>
      <c r="D205" t="inlineStr"/>
      <c r="E205" t="inlineStr">
        <is>
          <t>Y</t>
        </is>
      </c>
    </row>
    <row r="206">
      <c r="A206" t="inlineStr">
        <is>
          <t>LFC1409</t>
        </is>
      </c>
      <c r="B206" t="inlineStr">
        <is>
          <t>LFC1409</t>
        </is>
      </c>
      <c r="C206" t="inlineStr">
        <is>
          <t>OGBA</t>
        </is>
      </c>
      <c r="D206" t="inlineStr"/>
      <c r="E206" t="inlineStr">
        <is>
          <t>Y</t>
        </is>
      </c>
    </row>
    <row r="207">
      <c r="A207" t="inlineStr">
        <is>
          <t>LFC1410</t>
        </is>
      </c>
      <c r="B207" t="inlineStr">
        <is>
          <t>LFC1410</t>
        </is>
      </c>
      <c r="C207" t="inlineStr">
        <is>
          <t>OGBA</t>
        </is>
      </c>
      <c r="D207" t="inlineStr"/>
      <c r="E207" t="inlineStr">
        <is>
          <t>Y</t>
        </is>
      </c>
    </row>
    <row r="208">
      <c r="A208" t="inlineStr">
        <is>
          <t>LFC1411</t>
        </is>
      </c>
      <c r="B208" t="inlineStr">
        <is>
          <t>LFC1411</t>
        </is>
      </c>
      <c r="C208" t="inlineStr">
        <is>
          <t>OGBA</t>
        </is>
      </c>
      <c r="D208" t="inlineStr"/>
      <c r="E208" t="inlineStr">
        <is>
          <t>Y</t>
        </is>
      </c>
    </row>
    <row r="209">
      <c r="A209" t="inlineStr">
        <is>
          <t>LFC1501</t>
        </is>
      </c>
      <c r="B209" t="inlineStr">
        <is>
          <t>LFC1501</t>
        </is>
      </c>
      <c r="C209" t="inlineStr">
        <is>
          <t>YABA</t>
        </is>
      </c>
      <c r="D209" t="inlineStr"/>
      <c r="E209" t="inlineStr">
        <is>
          <t>Y</t>
        </is>
      </c>
    </row>
    <row r="210">
      <c r="A210" t="inlineStr">
        <is>
          <t>LFC1502</t>
        </is>
      </c>
      <c r="B210" t="inlineStr">
        <is>
          <t>LFC1502</t>
        </is>
      </c>
      <c r="C210" t="inlineStr">
        <is>
          <t>YABA</t>
        </is>
      </c>
      <c r="D210" t="inlineStr"/>
      <c r="E210" t="inlineStr">
        <is>
          <t>Y</t>
        </is>
      </c>
    </row>
    <row r="211">
      <c r="A211" t="inlineStr">
        <is>
          <t>LFC1503</t>
        </is>
      </c>
      <c r="B211" t="inlineStr">
        <is>
          <t>LFC1503</t>
        </is>
      </c>
      <c r="C211" t="inlineStr">
        <is>
          <t>YABA</t>
        </is>
      </c>
      <c r="D211" t="inlineStr"/>
      <c r="E211" t="inlineStr">
        <is>
          <t>Y</t>
        </is>
      </c>
    </row>
    <row r="212">
      <c r="A212" t="inlineStr">
        <is>
          <t>LFC1504</t>
        </is>
      </c>
      <c r="B212" t="inlineStr">
        <is>
          <t>LFC1504</t>
        </is>
      </c>
      <c r="C212" t="inlineStr">
        <is>
          <t>YABA</t>
        </is>
      </c>
      <c r="D212" t="inlineStr"/>
      <c r="E212" t="inlineStr">
        <is>
          <t>Y</t>
        </is>
      </c>
    </row>
    <row r="213">
      <c r="A213" t="inlineStr">
        <is>
          <t>LFC1505</t>
        </is>
      </c>
      <c r="B213" t="inlineStr">
        <is>
          <t>LFC1505</t>
        </is>
      </c>
      <c r="C213" t="inlineStr">
        <is>
          <t>YABA</t>
        </is>
      </c>
      <c r="D213" t="inlineStr"/>
      <c r="E213" t="inlineStr">
        <is>
          <t>Y</t>
        </is>
      </c>
    </row>
    <row r="214">
      <c r="A214" t="inlineStr">
        <is>
          <t>LFC1506</t>
        </is>
      </c>
      <c r="B214" t="inlineStr">
        <is>
          <t>LFC1506</t>
        </is>
      </c>
      <c r="C214" t="inlineStr">
        <is>
          <t>YABA</t>
        </is>
      </c>
      <c r="D214" t="inlineStr"/>
      <c r="E214" t="inlineStr">
        <is>
          <t>Y</t>
        </is>
      </c>
    </row>
    <row r="215">
      <c r="A215" t="inlineStr">
        <is>
          <t>LFC1507</t>
        </is>
      </c>
      <c r="B215" t="inlineStr">
        <is>
          <t>LFC1507</t>
        </is>
      </c>
      <c r="C215" t="inlineStr">
        <is>
          <t>YABA</t>
        </is>
      </c>
      <c r="D215" t="inlineStr"/>
      <c r="E215" t="inlineStr">
        <is>
          <t>Y</t>
        </is>
      </c>
    </row>
    <row r="216">
      <c r="A216" t="inlineStr">
        <is>
          <t>LFC1508</t>
        </is>
      </c>
      <c r="B216" t="inlineStr">
        <is>
          <t>LFC1508</t>
        </is>
      </c>
      <c r="C216" t="inlineStr">
        <is>
          <t>YABA</t>
        </is>
      </c>
      <c r="D216" t="inlineStr"/>
      <c r="E216" t="inlineStr">
        <is>
          <t>Y</t>
        </is>
      </c>
    </row>
    <row r="217">
      <c r="A217" t="inlineStr">
        <is>
          <t>LFC1509</t>
        </is>
      </c>
      <c r="B217" t="inlineStr">
        <is>
          <t>LFC1509</t>
        </is>
      </c>
      <c r="C217" t="inlineStr">
        <is>
          <t>YABA</t>
        </is>
      </c>
      <c r="D217" t="inlineStr"/>
      <c r="E217" t="inlineStr">
        <is>
          <t>Y</t>
        </is>
      </c>
    </row>
    <row r="218">
      <c r="A218" t="inlineStr">
        <is>
          <t>LFC1510</t>
        </is>
      </c>
      <c r="B218" t="inlineStr">
        <is>
          <t>LFC1510</t>
        </is>
      </c>
      <c r="C218" t="inlineStr">
        <is>
          <t>YABA</t>
        </is>
      </c>
      <c r="D218" t="inlineStr"/>
      <c r="E218" t="inlineStr">
        <is>
          <t>Y</t>
        </is>
      </c>
    </row>
    <row r="219">
      <c r="A219" t="inlineStr">
        <is>
          <t>LFC1601</t>
        </is>
      </c>
      <c r="B219" t="inlineStr">
        <is>
          <t>LFC1601</t>
        </is>
      </c>
      <c r="C219" t="inlineStr">
        <is>
          <t>MUSHIN</t>
        </is>
      </c>
      <c r="D219" t="inlineStr"/>
      <c r="E219" t="inlineStr">
        <is>
          <t>Y</t>
        </is>
      </c>
    </row>
    <row r="220">
      <c r="A220" t="inlineStr">
        <is>
          <t>LFC1604</t>
        </is>
      </c>
      <c r="B220" t="inlineStr">
        <is>
          <t>LFC1604</t>
        </is>
      </c>
      <c r="C220" t="inlineStr">
        <is>
          <t>MUSHIN</t>
        </is>
      </c>
      <c r="D220" t="inlineStr"/>
      <c r="E220" t="inlineStr">
        <is>
          <t>Y</t>
        </is>
      </c>
    </row>
    <row r="221">
      <c r="A221" t="inlineStr">
        <is>
          <t>LFC1605</t>
        </is>
      </c>
      <c r="B221" t="inlineStr">
        <is>
          <t>LFC1605</t>
        </is>
      </c>
      <c r="C221" t="inlineStr">
        <is>
          <t>MUSHIN</t>
        </is>
      </c>
      <c r="D221" t="inlineStr"/>
      <c r="E221" t="inlineStr">
        <is>
          <t>Y</t>
        </is>
      </c>
    </row>
    <row r="222">
      <c r="A222" t="inlineStr">
        <is>
          <t>LFC1606</t>
        </is>
      </c>
      <c r="B222" t="inlineStr">
        <is>
          <t>LFC1606</t>
        </is>
      </c>
      <c r="C222" t="inlineStr">
        <is>
          <t>MUSHIN</t>
        </is>
      </c>
      <c r="D222" t="inlineStr"/>
      <c r="E222" t="inlineStr">
        <is>
          <t>Y</t>
        </is>
      </c>
    </row>
    <row r="223">
      <c r="A223" t="inlineStr">
        <is>
          <t>LFC1607</t>
        </is>
      </c>
      <c r="B223" t="inlineStr">
        <is>
          <t>LFC1607</t>
        </is>
      </c>
      <c r="C223" t="inlineStr">
        <is>
          <t>MUSHIN</t>
        </is>
      </c>
      <c r="D223" t="inlineStr"/>
      <c r="E223" t="inlineStr">
        <is>
          <t>Y</t>
        </is>
      </c>
    </row>
    <row r="224">
      <c r="A224" t="inlineStr">
        <is>
          <t>LFC1608</t>
        </is>
      </c>
      <c r="B224" t="inlineStr">
        <is>
          <t>LFC1608</t>
        </is>
      </c>
      <c r="C224" t="inlineStr">
        <is>
          <t>MUSHIN</t>
        </is>
      </c>
      <c r="D224" t="inlineStr"/>
      <c r="E224" t="inlineStr">
        <is>
          <t>Y</t>
        </is>
      </c>
    </row>
    <row r="225">
      <c r="A225" t="inlineStr">
        <is>
          <t>LFC1609</t>
        </is>
      </c>
      <c r="B225" t="inlineStr">
        <is>
          <t>LFC1609</t>
        </is>
      </c>
      <c r="C225" t="inlineStr">
        <is>
          <t>MUSHIN</t>
        </is>
      </c>
      <c r="D225" t="inlineStr"/>
      <c r="E225" t="inlineStr">
        <is>
          <t>Y</t>
        </is>
      </c>
    </row>
    <row r="226">
      <c r="A226" t="inlineStr">
        <is>
          <t>LFC1610</t>
        </is>
      </c>
      <c r="B226" t="inlineStr">
        <is>
          <t>LFC1610</t>
        </is>
      </c>
      <c r="C226" t="inlineStr">
        <is>
          <t>MUSHIN</t>
        </is>
      </c>
      <c r="D226" t="inlineStr"/>
      <c r="E226" t="inlineStr">
        <is>
          <t>Y</t>
        </is>
      </c>
    </row>
    <row r="227">
      <c r="A227" t="inlineStr">
        <is>
          <t>LFC1701</t>
        </is>
      </c>
      <c r="B227" t="inlineStr">
        <is>
          <t>LFC1701</t>
        </is>
      </c>
      <c r="C227" t="inlineStr">
        <is>
          <t>AMUWO</t>
        </is>
      </c>
      <c r="D227" t="inlineStr"/>
      <c r="E227" t="inlineStr">
        <is>
          <t>Y</t>
        </is>
      </c>
    </row>
    <row r="228">
      <c r="A228" t="inlineStr">
        <is>
          <t>LFC1702</t>
        </is>
      </c>
      <c r="B228" t="inlineStr">
        <is>
          <t>LFC1702</t>
        </is>
      </c>
      <c r="C228" t="inlineStr">
        <is>
          <t>AMUWO</t>
        </is>
      </c>
      <c r="D228" t="inlineStr"/>
      <c r="E228" t="inlineStr">
        <is>
          <t>Y</t>
        </is>
      </c>
    </row>
    <row r="229">
      <c r="A229" t="inlineStr">
        <is>
          <t>LFC1703</t>
        </is>
      </c>
      <c r="B229" t="inlineStr">
        <is>
          <t>LFC1703</t>
        </is>
      </c>
      <c r="C229" t="inlineStr">
        <is>
          <t>AMUWO</t>
        </is>
      </c>
      <c r="D229" t="inlineStr"/>
      <c r="E229" t="inlineStr">
        <is>
          <t>Y</t>
        </is>
      </c>
    </row>
    <row r="230">
      <c r="A230" t="inlineStr">
        <is>
          <t>LFC1704</t>
        </is>
      </c>
      <c r="B230" t="inlineStr">
        <is>
          <t>LFC1704</t>
        </is>
      </c>
      <c r="C230" t="inlineStr">
        <is>
          <t>AMUWO</t>
        </is>
      </c>
      <c r="D230" t="inlineStr"/>
      <c r="E230" t="inlineStr">
        <is>
          <t>Y</t>
        </is>
      </c>
    </row>
    <row r="231">
      <c r="A231" t="inlineStr">
        <is>
          <t>LFC1705</t>
        </is>
      </c>
      <c r="B231" t="inlineStr">
        <is>
          <t>LFC1705</t>
        </is>
      </c>
      <c r="C231" t="inlineStr">
        <is>
          <t>AMUWO</t>
        </is>
      </c>
      <c r="D231" t="inlineStr"/>
      <c r="E231" t="inlineStr">
        <is>
          <t>Y</t>
        </is>
      </c>
    </row>
    <row r="232">
      <c r="A232" t="inlineStr">
        <is>
          <t>LFC1706</t>
        </is>
      </c>
      <c r="B232" t="inlineStr">
        <is>
          <t>LFC1706</t>
        </is>
      </c>
      <c r="C232" t="inlineStr">
        <is>
          <t>AMUWO</t>
        </is>
      </c>
      <c r="D232" t="inlineStr"/>
      <c r="E232" t="inlineStr">
        <is>
          <t>Y</t>
        </is>
      </c>
    </row>
    <row r="233">
      <c r="A233" t="inlineStr">
        <is>
          <t>LFC1707</t>
        </is>
      </c>
      <c r="B233" t="inlineStr">
        <is>
          <t>LFC1707</t>
        </is>
      </c>
      <c r="C233" t="inlineStr">
        <is>
          <t>AMUWO</t>
        </is>
      </c>
      <c r="D233" t="inlineStr"/>
      <c r="E233" t="inlineStr">
        <is>
          <t>Y</t>
        </is>
      </c>
    </row>
    <row r="234">
      <c r="A234" t="inlineStr">
        <is>
          <t>LFC1708</t>
        </is>
      </c>
      <c r="B234" t="inlineStr">
        <is>
          <t>LFC1708</t>
        </is>
      </c>
      <c r="C234" t="inlineStr">
        <is>
          <t>AMUWO</t>
        </is>
      </c>
      <c r="D234" t="inlineStr"/>
      <c r="E234" t="inlineStr">
        <is>
          <t>Y</t>
        </is>
      </c>
    </row>
    <row r="235">
      <c r="A235" t="inlineStr">
        <is>
          <t>LFC1709</t>
        </is>
      </c>
      <c r="B235" t="inlineStr">
        <is>
          <t>LFC1709</t>
        </is>
      </c>
      <c r="C235" t="inlineStr">
        <is>
          <t>AMUWO</t>
        </is>
      </c>
      <c r="D235" t="inlineStr"/>
      <c r="E235" t="inlineStr">
        <is>
          <t>Y</t>
        </is>
      </c>
    </row>
    <row r="236">
      <c r="A236" t="inlineStr">
        <is>
          <t>LFC1710</t>
        </is>
      </c>
      <c r="B236" t="inlineStr">
        <is>
          <t>LFC1710</t>
        </is>
      </c>
      <c r="C236" t="inlineStr">
        <is>
          <t>AMUWO</t>
        </is>
      </c>
      <c r="D236" t="inlineStr"/>
      <c r="E236" t="inlineStr">
        <is>
          <t>Y</t>
        </is>
      </c>
    </row>
    <row r="237">
      <c r="A237" t="inlineStr">
        <is>
          <t>LFC1801</t>
        </is>
      </c>
      <c r="B237" t="inlineStr">
        <is>
          <t>LFC1801</t>
        </is>
      </c>
      <c r="C237" t="inlineStr">
        <is>
          <t>AYOBO</t>
        </is>
      </c>
      <c r="D237" t="inlineStr"/>
      <c r="E237" t="inlineStr">
        <is>
          <t>Y</t>
        </is>
      </c>
    </row>
    <row r="238">
      <c r="A238" t="inlineStr">
        <is>
          <t>LFC1802</t>
        </is>
      </c>
      <c r="B238" t="inlineStr">
        <is>
          <t>LFC1802</t>
        </is>
      </c>
      <c r="C238" t="inlineStr">
        <is>
          <t>AYOBO</t>
        </is>
      </c>
      <c r="D238" t="inlineStr"/>
      <c r="E238" t="inlineStr">
        <is>
          <t>Y</t>
        </is>
      </c>
    </row>
    <row r="239">
      <c r="A239" t="inlineStr">
        <is>
          <t>LFC1803</t>
        </is>
      </c>
      <c r="B239" t="inlineStr">
        <is>
          <t>LFC1803</t>
        </is>
      </c>
      <c r="C239" t="inlineStr">
        <is>
          <t>AYOBO</t>
        </is>
      </c>
      <c r="D239" t="inlineStr"/>
      <c r="E239" t="inlineStr">
        <is>
          <t>Y</t>
        </is>
      </c>
    </row>
    <row r="240">
      <c r="A240" t="inlineStr">
        <is>
          <t>LFC1804</t>
        </is>
      </c>
      <c r="B240" t="inlineStr">
        <is>
          <t>LFC1804</t>
        </is>
      </c>
      <c r="C240" t="inlineStr">
        <is>
          <t>AYOBO</t>
        </is>
      </c>
      <c r="D240" t="inlineStr"/>
      <c r="E240" t="inlineStr">
        <is>
          <t>Y</t>
        </is>
      </c>
    </row>
    <row r="241">
      <c r="A241" t="inlineStr">
        <is>
          <t>LFC1805</t>
        </is>
      </c>
      <c r="B241" t="inlineStr">
        <is>
          <t>LFC1805</t>
        </is>
      </c>
      <c r="C241" t="inlineStr">
        <is>
          <t>AYOBO</t>
        </is>
      </c>
      <c r="D241" t="inlineStr"/>
      <c r="E241" t="inlineStr">
        <is>
          <t>Y</t>
        </is>
      </c>
    </row>
    <row r="242">
      <c r="A242" t="inlineStr">
        <is>
          <t>LFC1806</t>
        </is>
      </c>
      <c r="B242" t="inlineStr">
        <is>
          <t>LFC1806</t>
        </is>
      </c>
      <c r="C242" t="inlineStr">
        <is>
          <t>AYOBO</t>
        </is>
      </c>
      <c r="D242" t="inlineStr"/>
      <c r="E242" t="inlineStr">
        <is>
          <t>Y</t>
        </is>
      </c>
    </row>
    <row r="243">
      <c r="A243" t="inlineStr">
        <is>
          <t>LFC1807</t>
        </is>
      </c>
      <c r="B243" t="inlineStr">
        <is>
          <t>LFC1807</t>
        </is>
      </c>
      <c r="C243" t="inlineStr">
        <is>
          <t>AYOBO</t>
        </is>
      </c>
      <c r="D243" t="inlineStr"/>
      <c r="E243" t="inlineStr">
        <is>
          <t>Y</t>
        </is>
      </c>
    </row>
    <row r="244">
      <c r="A244" t="inlineStr">
        <is>
          <t>LFC1808</t>
        </is>
      </c>
      <c r="B244" t="inlineStr">
        <is>
          <t>LFC1808</t>
        </is>
      </c>
      <c r="C244" t="inlineStr">
        <is>
          <t>AYOBO</t>
        </is>
      </c>
      <c r="D244" t="inlineStr"/>
      <c r="E244" t="inlineStr">
        <is>
          <t>Y</t>
        </is>
      </c>
    </row>
    <row r="245">
      <c r="A245" t="inlineStr">
        <is>
          <t>LFC1809</t>
        </is>
      </c>
      <c r="B245" t="inlineStr">
        <is>
          <t>LFC1809</t>
        </is>
      </c>
      <c r="C245" t="inlineStr">
        <is>
          <t>AYOBO</t>
        </is>
      </c>
      <c r="D245" t="inlineStr"/>
      <c r="E245" t="inlineStr">
        <is>
          <t>Y</t>
        </is>
      </c>
    </row>
    <row r="246">
      <c r="A246" t="inlineStr">
        <is>
          <t>LFC1810</t>
        </is>
      </c>
      <c r="B246" t="inlineStr">
        <is>
          <t>LFC1810</t>
        </is>
      </c>
      <c r="C246" t="inlineStr">
        <is>
          <t>AYOBO</t>
        </is>
      </c>
      <c r="D246" t="inlineStr"/>
      <c r="E246" t="inlineStr">
        <is>
          <t>Y</t>
        </is>
      </c>
    </row>
    <row r="247">
      <c r="A247" t="inlineStr">
        <is>
          <t>LFC1811</t>
        </is>
      </c>
      <c r="B247" t="inlineStr">
        <is>
          <t>LFC1811</t>
        </is>
      </c>
      <c r="C247" t="inlineStr">
        <is>
          <t>AYOBO</t>
        </is>
      </c>
      <c r="D247" t="inlineStr"/>
      <c r="E247" t="inlineStr">
        <is>
          <t>Y</t>
        </is>
      </c>
    </row>
    <row r="248">
      <c r="A248" t="inlineStr">
        <is>
          <t>LFC1901</t>
        </is>
      </c>
      <c r="B248" t="inlineStr">
        <is>
          <t>LFC1901</t>
        </is>
      </c>
      <c r="C248" t="inlineStr">
        <is>
          <t>OLAYEMI</t>
        </is>
      </c>
      <c r="D248" t="inlineStr"/>
      <c r="E248" t="inlineStr">
        <is>
          <t>Y</t>
        </is>
      </c>
    </row>
    <row r="249">
      <c r="A249" t="inlineStr">
        <is>
          <t>LFC1902</t>
        </is>
      </c>
      <c r="B249" t="inlineStr">
        <is>
          <t>LFC1902</t>
        </is>
      </c>
      <c r="C249" t="inlineStr">
        <is>
          <t>OLAYEMI</t>
        </is>
      </c>
      <c r="D249" t="inlineStr"/>
      <c r="E249" t="inlineStr">
        <is>
          <t>Y</t>
        </is>
      </c>
    </row>
    <row r="250">
      <c r="A250" t="inlineStr">
        <is>
          <t>LFC1903</t>
        </is>
      </c>
      <c r="B250" t="inlineStr">
        <is>
          <t>LFC1903</t>
        </is>
      </c>
      <c r="C250" t="inlineStr">
        <is>
          <t>OLAYEMI</t>
        </is>
      </c>
      <c r="D250" t="inlineStr"/>
      <c r="E250" t="inlineStr">
        <is>
          <t>Y</t>
        </is>
      </c>
    </row>
    <row r="251">
      <c r="A251" t="inlineStr">
        <is>
          <t>LFC1904</t>
        </is>
      </c>
      <c r="B251" t="inlineStr">
        <is>
          <t>LFC1904</t>
        </is>
      </c>
      <c r="C251" t="inlineStr">
        <is>
          <t>OLAYEMI</t>
        </is>
      </c>
      <c r="D251" t="inlineStr"/>
      <c r="E251" t="inlineStr">
        <is>
          <t>Y</t>
        </is>
      </c>
    </row>
    <row r="252">
      <c r="A252" t="inlineStr">
        <is>
          <t>LFC1905</t>
        </is>
      </c>
      <c r="B252" t="inlineStr">
        <is>
          <t>LFC1905</t>
        </is>
      </c>
      <c r="C252" t="inlineStr">
        <is>
          <t>OLAYEMI</t>
        </is>
      </c>
      <c r="D252" t="inlineStr"/>
      <c r="E252" t="inlineStr">
        <is>
          <t>Y</t>
        </is>
      </c>
    </row>
    <row r="253">
      <c r="A253" t="inlineStr">
        <is>
          <t>LFC2001</t>
        </is>
      </c>
      <c r="B253" t="inlineStr">
        <is>
          <t>LFC2001</t>
        </is>
      </c>
      <c r="C253" t="inlineStr">
        <is>
          <t>CANDOS</t>
        </is>
      </c>
      <c r="D253" t="inlineStr"/>
      <c r="E253" t="inlineStr">
        <is>
          <t>Y</t>
        </is>
      </c>
    </row>
    <row r="254">
      <c r="A254" t="inlineStr">
        <is>
          <t>LFC2002</t>
        </is>
      </c>
      <c r="B254" t="inlineStr">
        <is>
          <t>LFC2002</t>
        </is>
      </c>
      <c r="C254" t="inlineStr">
        <is>
          <t>CANDOS</t>
        </is>
      </c>
      <c r="D254" t="inlineStr"/>
      <c r="E254" t="inlineStr">
        <is>
          <t>Y</t>
        </is>
      </c>
    </row>
    <row r="255">
      <c r="A255" t="inlineStr">
        <is>
          <t>LFC2004</t>
        </is>
      </c>
      <c r="B255" t="inlineStr">
        <is>
          <t>LFC2004</t>
        </is>
      </c>
      <c r="C255" t="inlineStr">
        <is>
          <t>CANDOS</t>
        </is>
      </c>
      <c r="D255" t="inlineStr"/>
      <c r="E255" t="inlineStr">
        <is>
          <t>Y</t>
        </is>
      </c>
    </row>
    <row r="256">
      <c r="A256" t="inlineStr">
        <is>
          <t>LFC2005</t>
        </is>
      </c>
      <c r="B256" t="inlineStr">
        <is>
          <t>LFC2005</t>
        </is>
      </c>
      <c r="C256" t="inlineStr">
        <is>
          <t>CANDOS</t>
        </is>
      </c>
      <c r="D256" t="inlineStr"/>
      <c r="E256" t="inlineStr">
        <is>
          <t>Y</t>
        </is>
      </c>
    </row>
    <row r="257">
      <c r="A257" t="inlineStr">
        <is>
          <t>LFC2006</t>
        </is>
      </c>
      <c r="B257" t="inlineStr">
        <is>
          <t>LFC2006</t>
        </is>
      </c>
      <c r="C257" t="inlineStr">
        <is>
          <t>CANDOS</t>
        </is>
      </c>
      <c r="D257" t="inlineStr"/>
      <c r="E257" t="inlineStr">
        <is>
          <t>Y</t>
        </is>
      </c>
    </row>
    <row r="258">
      <c r="A258" t="inlineStr">
        <is>
          <t>LFC2101</t>
        </is>
      </c>
      <c r="B258" t="inlineStr">
        <is>
          <t>LFC2101</t>
        </is>
      </c>
      <c r="C258" t="inlineStr">
        <is>
          <t>MAJIYAGBE</t>
        </is>
      </c>
      <c r="D258" t="inlineStr"/>
      <c r="E258" t="inlineStr">
        <is>
          <t>Y</t>
        </is>
      </c>
    </row>
    <row r="259">
      <c r="A259" t="inlineStr">
        <is>
          <t>LFC2102</t>
        </is>
      </c>
      <c r="B259" t="inlineStr">
        <is>
          <t>LFC2102</t>
        </is>
      </c>
      <c r="C259" t="inlineStr">
        <is>
          <t>MAJIYAGBE</t>
        </is>
      </c>
      <c r="D259" t="inlineStr"/>
      <c r="E259" t="inlineStr">
        <is>
          <t>Y</t>
        </is>
      </c>
    </row>
    <row r="260">
      <c r="A260" t="inlineStr">
        <is>
          <t>LFC2103</t>
        </is>
      </c>
      <c r="B260" t="inlineStr">
        <is>
          <t>LFC2103</t>
        </is>
      </c>
      <c r="C260" t="inlineStr">
        <is>
          <t>MAJIYAGBE</t>
        </is>
      </c>
      <c r="D260" t="inlineStr"/>
      <c r="E260" t="inlineStr">
        <is>
          <t>Y</t>
        </is>
      </c>
    </row>
    <row r="261">
      <c r="A261" t="inlineStr">
        <is>
          <t>LFC2104</t>
        </is>
      </c>
      <c r="B261" t="inlineStr">
        <is>
          <t>LFC2104</t>
        </is>
      </c>
      <c r="C261" t="inlineStr">
        <is>
          <t>MAJIYAGBE</t>
        </is>
      </c>
      <c r="D261" t="inlineStr"/>
      <c r="E261" t="inlineStr">
        <is>
          <t>Y</t>
        </is>
      </c>
    </row>
    <row r="262">
      <c r="A262" t="inlineStr">
        <is>
          <t>LFC2105</t>
        </is>
      </c>
      <c r="B262" t="inlineStr">
        <is>
          <t>LFC2105</t>
        </is>
      </c>
      <c r="C262" t="inlineStr">
        <is>
          <t>MAJIYAGBE</t>
        </is>
      </c>
      <c r="D262" t="inlineStr"/>
      <c r="E262" t="inlineStr">
        <is>
          <t>Y</t>
        </is>
      </c>
    </row>
    <row r="263">
      <c r="A263" t="inlineStr">
        <is>
          <t>LFC2106</t>
        </is>
      </c>
      <c r="B263" t="inlineStr">
        <is>
          <t>LFC2106</t>
        </is>
      </c>
      <c r="C263" t="inlineStr">
        <is>
          <t>MAJIYAGBE</t>
        </is>
      </c>
      <c r="D263" t="inlineStr"/>
      <c r="E263" t="inlineStr">
        <is>
          <t>Y</t>
        </is>
      </c>
    </row>
    <row r="264">
      <c r="A264" t="inlineStr">
        <is>
          <t>LFC2107</t>
        </is>
      </c>
      <c r="B264" t="inlineStr">
        <is>
          <t>LFC2107</t>
        </is>
      </c>
      <c r="C264" t="inlineStr">
        <is>
          <t>MAJIYAGBE</t>
        </is>
      </c>
      <c r="D264" t="inlineStr"/>
      <c r="E264" t="inlineStr">
        <is>
          <t>Y</t>
        </is>
      </c>
    </row>
    <row r="265">
      <c r="A265" t="inlineStr">
        <is>
          <t>LFC2108</t>
        </is>
      </c>
      <c r="B265" t="inlineStr">
        <is>
          <t>LFC2108</t>
        </is>
      </c>
      <c r="C265" t="inlineStr">
        <is>
          <t>MAJIYAGBE</t>
        </is>
      </c>
      <c r="D265" t="inlineStr"/>
      <c r="E265" t="inlineStr">
        <is>
          <t>Y</t>
        </is>
      </c>
    </row>
    <row r="266">
      <c r="A266" t="inlineStr">
        <is>
          <t>LFC2109</t>
        </is>
      </c>
      <c r="B266" t="inlineStr">
        <is>
          <t>LFC2109</t>
        </is>
      </c>
      <c r="C266" t="inlineStr">
        <is>
          <t>MAJIYAGBE</t>
        </is>
      </c>
      <c r="D266" t="inlineStr"/>
      <c r="E266" t="inlineStr">
        <is>
          <t>Y</t>
        </is>
      </c>
    </row>
    <row r="267">
      <c r="A267" t="inlineStr">
        <is>
          <t>LFC2110</t>
        </is>
      </c>
      <c r="B267" t="inlineStr">
        <is>
          <t>LFC2110</t>
        </is>
      </c>
      <c r="C267" t="inlineStr">
        <is>
          <t>MAJIYAGBE</t>
        </is>
      </c>
      <c r="D267" t="inlineStr"/>
      <c r="E267" t="inlineStr">
        <is>
          <t>Y</t>
        </is>
      </c>
    </row>
    <row r="268">
      <c r="A268" t="inlineStr">
        <is>
          <t>LFC2201</t>
        </is>
      </c>
      <c r="B268" t="inlineStr">
        <is>
          <t>LFC2201</t>
        </is>
      </c>
      <c r="C268" t="inlineStr">
        <is>
          <t>LAFENWA</t>
        </is>
      </c>
      <c r="D268" t="inlineStr"/>
      <c r="E268" t="inlineStr">
        <is>
          <t>Y</t>
        </is>
      </c>
    </row>
    <row r="269">
      <c r="A269" t="inlineStr">
        <is>
          <t>LFC2202</t>
        </is>
      </c>
      <c r="B269" t="inlineStr">
        <is>
          <t>LFC2202</t>
        </is>
      </c>
      <c r="C269" t="inlineStr">
        <is>
          <t>LAFENWA</t>
        </is>
      </c>
      <c r="D269" t="inlineStr"/>
      <c r="E269" t="inlineStr">
        <is>
          <t>Y</t>
        </is>
      </c>
    </row>
    <row r="270">
      <c r="A270" t="inlineStr">
        <is>
          <t>LFC2203</t>
        </is>
      </c>
      <c r="B270" t="inlineStr">
        <is>
          <t>LFC2203</t>
        </is>
      </c>
      <c r="C270" t="inlineStr">
        <is>
          <t>LAFENWA</t>
        </is>
      </c>
      <c r="D270" t="inlineStr"/>
      <c r="E270" t="inlineStr">
        <is>
          <t>Y</t>
        </is>
      </c>
    </row>
    <row r="271">
      <c r="A271" t="inlineStr">
        <is>
          <t>LFC2204</t>
        </is>
      </c>
      <c r="B271" t="inlineStr">
        <is>
          <t>LFC2204</t>
        </is>
      </c>
      <c r="C271" t="inlineStr">
        <is>
          <t>LAFENWA</t>
        </is>
      </c>
      <c r="D271" t="inlineStr"/>
      <c r="E271" t="inlineStr">
        <is>
          <t>Y</t>
        </is>
      </c>
    </row>
    <row r="272">
      <c r="A272" t="inlineStr">
        <is>
          <t>LFC2205</t>
        </is>
      </c>
      <c r="B272" t="inlineStr">
        <is>
          <t>LFC2205</t>
        </is>
      </c>
      <c r="C272" t="inlineStr">
        <is>
          <t>LAFENWA</t>
        </is>
      </c>
      <c r="D272" t="inlineStr"/>
      <c r="E272" t="inlineStr">
        <is>
          <t>Y</t>
        </is>
      </c>
    </row>
    <row r="273">
      <c r="A273" t="inlineStr">
        <is>
          <t>LFC2206</t>
        </is>
      </c>
      <c r="B273" t="inlineStr">
        <is>
          <t>LFC2206</t>
        </is>
      </c>
      <c r="C273" t="inlineStr">
        <is>
          <t>LAFENWA</t>
        </is>
      </c>
      <c r="D273" t="inlineStr"/>
      <c r="E273" t="inlineStr">
        <is>
          <t>Y</t>
        </is>
      </c>
    </row>
    <row r="274">
      <c r="A274" t="inlineStr">
        <is>
          <t>LFC2207</t>
        </is>
      </c>
      <c r="B274" t="inlineStr">
        <is>
          <t>LFC2207</t>
        </is>
      </c>
      <c r="C274" t="inlineStr">
        <is>
          <t>LAFENWA</t>
        </is>
      </c>
      <c r="D274" t="inlineStr"/>
      <c r="E274" t="inlineStr">
        <is>
          <t>Y</t>
        </is>
      </c>
    </row>
    <row r="275">
      <c r="A275" t="inlineStr">
        <is>
          <t>LFC2208</t>
        </is>
      </c>
      <c r="B275" t="inlineStr">
        <is>
          <t>LFC2208</t>
        </is>
      </c>
      <c r="C275" t="inlineStr">
        <is>
          <t>LAFENWA</t>
        </is>
      </c>
      <c r="D275" t="inlineStr"/>
      <c r="E275" t="inlineStr">
        <is>
          <t>Y</t>
        </is>
      </c>
    </row>
    <row r="276">
      <c r="A276" t="inlineStr">
        <is>
          <t>LFC2209</t>
        </is>
      </c>
      <c r="B276" t="inlineStr">
        <is>
          <t>LFC2209</t>
        </is>
      </c>
      <c r="C276" t="inlineStr">
        <is>
          <t>LAFENWA</t>
        </is>
      </c>
      <c r="D276" t="inlineStr"/>
      <c r="E276" t="inlineStr">
        <is>
          <t>Y</t>
        </is>
      </c>
    </row>
    <row r="277">
      <c r="A277" t="inlineStr">
        <is>
          <t>LFC2210</t>
        </is>
      </c>
      <c r="B277" t="inlineStr">
        <is>
          <t>LFC2210</t>
        </is>
      </c>
      <c r="C277" t="inlineStr">
        <is>
          <t>LAFENWA</t>
        </is>
      </c>
      <c r="D277" t="inlineStr"/>
      <c r="E277" t="inlineStr">
        <is>
          <t>Y</t>
        </is>
      </c>
    </row>
    <row r="278">
      <c r="A278" t="inlineStr">
        <is>
          <t>LFC2211</t>
        </is>
      </c>
      <c r="B278" t="inlineStr">
        <is>
          <t>LFC2211</t>
        </is>
      </c>
      <c r="C278" t="inlineStr">
        <is>
          <t>LAFENWA</t>
        </is>
      </c>
      <c r="D278" t="inlineStr"/>
      <c r="E278" t="inlineStr">
        <is>
          <t>Y</t>
        </is>
      </c>
    </row>
    <row r="279">
      <c r="A279" t="inlineStr">
        <is>
          <t>LFC2212</t>
        </is>
      </c>
      <c r="B279" t="inlineStr">
        <is>
          <t>LFC2212</t>
        </is>
      </c>
      <c r="C279" t="inlineStr">
        <is>
          <t>LAFENWA</t>
        </is>
      </c>
      <c r="D279" t="inlineStr"/>
      <c r="E279" t="inlineStr">
        <is>
          <t>Y</t>
        </is>
      </c>
    </row>
    <row r="280">
      <c r="A280" t="inlineStr">
        <is>
          <t>LFC2213</t>
        </is>
      </c>
      <c r="B280" t="inlineStr">
        <is>
          <t>LFC2213</t>
        </is>
      </c>
      <c r="C280" t="inlineStr">
        <is>
          <t>LAFENWA</t>
        </is>
      </c>
      <c r="D280" t="inlineStr"/>
      <c r="E280" t="inlineStr">
        <is>
          <t>Y</t>
        </is>
      </c>
    </row>
    <row r="281">
      <c r="A281" t="inlineStr">
        <is>
          <t>LFC2214</t>
        </is>
      </c>
      <c r="B281" t="inlineStr">
        <is>
          <t>LFC2214</t>
        </is>
      </c>
      <c r="C281" t="inlineStr">
        <is>
          <t>LAFENWA</t>
        </is>
      </c>
      <c r="D281" t="inlineStr"/>
      <c r="E281" t="inlineStr">
        <is>
          <t>Y</t>
        </is>
      </c>
    </row>
    <row r="282">
      <c r="A282" t="inlineStr">
        <is>
          <t>LFC2215</t>
        </is>
      </c>
      <c r="B282" t="inlineStr">
        <is>
          <t>LFC2215</t>
        </is>
      </c>
      <c r="C282" t="inlineStr">
        <is>
          <t>LAFENWA</t>
        </is>
      </c>
      <c r="D282" t="inlineStr"/>
      <c r="E282" t="inlineStr">
        <is>
          <t>Y</t>
        </is>
      </c>
    </row>
    <row r="283">
      <c r="A283" t="inlineStr">
        <is>
          <t>LFC2216</t>
        </is>
      </c>
      <c r="B283" t="inlineStr">
        <is>
          <t>LFC2216</t>
        </is>
      </c>
      <c r="C283" t="inlineStr">
        <is>
          <t>LAFENWA</t>
        </is>
      </c>
      <c r="D283" t="inlineStr"/>
      <c r="E283" t="inlineStr">
        <is>
          <t>Y</t>
        </is>
      </c>
    </row>
    <row r="284">
      <c r="A284" t="inlineStr">
        <is>
          <t>LFC2217</t>
        </is>
      </c>
      <c r="B284" t="inlineStr">
        <is>
          <t>LFC2217</t>
        </is>
      </c>
      <c r="C284" t="inlineStr">
        <is>
          <t>LAFENWA</t>
        </is>
      </c>
      <c r="D284" t="inlineStr"/>
      <c r="E284" t="inlineStr">
        <is>
          <t>Y</t>
        </is>
      </c>
    </row>
    <row r="285">
      <c r="A285" t="inlineStr">
        <is>
          <t>LFC2218</t>
        </is>
      </c>
      <c r="B285" t="inlineStr">
        <is>
          <t>LFC2218</t>
        </is>
      </c>
      <c r="C285" t="inlineStr">
        <is>
          <t>LAFENWA</t>
        </is>
      </c>
      <c r="D285" t="inlineStr"/>
      <c r="E285" t="inlineStr">
        <is>
          <t>Y</t>
        </is>
      </c>
    </row>
    <row r="286">
      <c r="A286" t="inlineStr">
        <is>
          <t>LFC2301</t>
        </is>
      </c>
      <c r="B286" t="inlineStr">
        <is>
          <t>LFC2301</t>
        </is>
      </c>
      <c r="C286" t="inlineStr">
        <is>
          <t>PERFECT PEACE</t>
        </is>
      </c>
      <c r="D286" t="inlineStr"/>
      <c r="E286" t="inlineStr">
        <is>
          <t>Y</t>
        </is>
      </c>
    </row>
    <row r="287">
      <c r="A287" t="inlineStr">
        <is>
          <t>LFC2302</t>
        </is>
      </c>
      <c r="B287" t="inlineStr">
        <is>
          <t>LFC2302</t>
        </is>
      </c>
      <c r="C287" t="inlineStr">
        <is>
          <t>PERFECT PEACE</t>
        </is>
      </c>
      <c r="D287" t="inlineStr"/>
      <c r="E287" t="inlineStr">
        <is>
          <t>Y</t>
        </is>
      </c>
    </row>
    <row r="288">
      <c r="A288" t="inlineStr">
        <is>
          <t>LFC2303</t>
        </is>
      </c>
      <c r="B288" t="inlineStr">
        <is>
          <t>LFC2303</t>
        </is>
      </c>
      <c r="C288" t="inlineStr">
        <is>
          <t>PERFECT PEACE</t>
        </is>
      </c>
      <c r="D288" t="inlineStr"/>
      <c r="E288" t="inlineStr">
        <is>
          <t>Y</t>
        </is>
      </c>
    </row>
    <row r="289">
      <c r="A289" t="inlineStr">
        <is>
          <t>LFC2304</t>
        </is>
      </c>
      <c r="B289" t="inlineStr">
        <is>
          <t>LFC2304</t>
        </is>
      </c>
      <c r="C289" t="inlineStr">
        <is>
          <t>PERFECT PEACE</t>
        </is>
      </c>
      <c r="D289" t="inlineStr"/>
      <c r="E289" t="inlineStr">
        <is>
          <t>Y</t>
        </is>
      </c>
    </row>
    <row r="290">
      <c r="A290" t="inlineStr">
        <is>
          <t>LFC2305</t>
        </is>
      </c>
      <c r="B290" t="inlineStr">
        <is>
          <t>LFC2305</t>
        </is>
      </c>
      <c r="C290" t="inlineStr">
        <is>
          <t>PERFECT PEACE</t>
        </is>
      </c>
      <c r="D290" t="inlineStr"/>
      <c r="E290" t="inlineStr">
        <is>
          <t>Y</t>
        </is>
      </c>
    </row>
    <row r="291">
      <c r="A291" t="inlineStr">
        <is>
          <t>LFC2306</t>
        </is>
      </c>
      <c r="B291" t="inlineStr">
        <is>
          <t>LFC2306</t>
        </is>
      </c>
      <c r="C291" t="inlineStr">
        <is>
          <t>PERFECT PEACE</t>
        </is>
      </c>
      <c r="D291" t="inlineStr"/>
      <c r="E291" t="inlineStr">
        <is>
          <t>Y</t>
        </is>
      </c>
    </row>
    <row r="292">
      <c r="A292" t="inlineStr">
        <is>
          <t>LFC2307</t>
        </is>
      </c>
      <c r="B292" t="inlineStr">
        <is>
          <t>LFC2307</t>
        </is>
      </c>
      <c r="C292" t="inlineStr">
        <is>
          <t>PERFECT PEACE</t>
        </is>
      </c>
      <c r="D292" t="inlineStr"/>
      <c r="E292" t="inlineStr">
        <is>
          <t>Y</t>
        </is>
      </c>
    </row>
    <row r="293">
      <c r="A293" t="inlineStr">
        <is>
          <t>LFC2308</t>
        </is>
      </c>
      <c r="B293" t="inlineStr">
        <is>
          <t>LFC2308</t>
        </is>
      </c>
      <c r="C293" t="inlineStr">
        <is>
          <t>PERFECT PEACE</t>
        </is>
      </c>
      <c r="D293" t="inlineStr"/>
      <c r="E293" t="inlineStr">
        <is>
          <t>Y</t>
        </is>
      </c>
    </row>
    <row r="294">
      <c r="A294" t="inlineStr">
        <is>
          <t>LFC2309</t>
        </is>
      </c>
      <c r="B294" t="inlineStr">
        <is>
          <t>LFC2309</t>
        </is>
      </c>
      <c r="C294" t="inlineStr">
        <is>
          <t>PERFECT PEACE</t>
        </is>
      </c>
      <c r="D294" t="inlineStr"/>
      <c r="E294" t="inlineStr">
        <is>
          <t>Y</t>
        </is>
      </c>
    </row>
    <row r="295">
      <c r="A295" t="inlineStr">
        <is>
          <t>LFC2310</t>
        </is>
      </c>
      <c r="B295" t="inlineStr">
        <is>
          <t>LFC2310</t>
        </is>
      </c>
      <c r="C295" t="inlineStr">
        <is>
          <t>PERFECT PEACE</t>
        </is>
      </c>
      <c r="D295" t="inlineStr"/>
      <c r="E295" t="inlineStr">
        <is>
          <t>Y</t>
        </is>
      </c>
    </row>
    <row r="296">
      <c r="A296" t="inlineStr">
        <is>
          <t>LFC2311</t>
        </is>
      </c>
      <c r="B296" t="inlineStr">
        <is>
          <t>LFC2311</t>
        </is>
      </c>
      <c r="C296" t="inlineStr">
        <is>
          <t>PERFECT PEACE</t>
        </is>
      </c>
      <c r="D296" t="inlineStr"/>
      <c r="E296" t="inlineStr">
        <is>
          <t>Y</t>
        </is>
      </c>
    </row>
    <row r="297">
      <c r="A297" t="inlineStr">
        <is>
          <t>LFC2312</t>
        </is>
      </c>
      <c r="B297" t="inlineStr">
        <is>
          <t>LFC2312</t>
        </is>
      </c>
      <c r="C297" t="inlineStr">
        <is>
          <t>PERFECT PEACE</t>
        </is>
      </c>
      <c r="D297" t="inlineStr"/>
      <c r="E297" t="inlineStr">
        <is>
          <t>Y</t>
        </is>
      </c>
    </row>
    <row r="298">
      <c r="A298" t="inlineStr">
        <is>
          <t>LFC2313</t>
        </is>
      </c>
      <c r="B298" t="inlineStr">
        <is>
          <t>LFC2313</t>
        </is>
      </c>
      <c r="C298" t="inlineStr">
        <is>
          <t>PERFECT PEACE</t>
        </is>
      </c>
      <c r="D298" t="inlineStr"/>
      <c r="E298" t="inlineStr">
        <is>
          <t>Y</t>
        </is>
      </c>
    </row>
    <row r="299">
      <c r="A299" t="inlineStr">
        <is>
          <t>LFC2401</t>
        </is>
      </c>
      <c r="B299" t="inlineStr">
        <is>
          <t>LFC2401</t>
        </is>
      </c>
      <c r="C299" t="inlineStr">
        <is>
          <t>ANTHONY</t>
        </is>
      </c>
      <c r="D299" t="inlineStr"/>
      <c r="E299" t="inlineStr">
        <is>
          <t>Y</t>
        </is>
      </c>
    </row>
    <row r="300">
      <c r="A300" t="inlineStr">
        <is>
          <t>LFC2402</t>
        </is>
      </c>
      <c r="B300" t="inlineStr">
        <is>
          <t>LFC2402</t>
        </is>
      </c>
      <c r="C300" t="inlineStr">
        <is>
          <t>ANTHONY</t>
        </is>
      </c>
      <c r="D300" t="inlineStr"/>
      <c r="E300" t="inlineStr">
        <is>
          <t>Y</t>
        </is>
      </c>
    </row>
    <row r="301">
      <c r="A301" t="inlineStr">
        <is>
          <t>LFC2403</t>
        </is>
      </c>
      <c r="B301" t="inlineStr">
        <is>
          <t>LFC2403</t>
        </is>
      </c>
      <c r="C301" t="inlineStr">
        <is>
          <t>ANTHONY</t>
        </is>
      </c>
      <c r="D301" t="inlineStr"/>
      <c r="E301" t="inlineStr">
        <is>
          <t>Y</t>
        </is>
      </c>
    </row>
    <row r="302">
      <c r="A302" t="inlineStr">
        <is>
          <t>LFC2404</t>
        </is>
      </c>
      <c r="B302" t="inlineStr">
        <is>
          <t>LFC2404</t>
        </is>
      </c>
      <c r="C302" t="inlineStr">
        <is>
          <t>ANTHONY</t>
        </is>
      </c>
      <c r="D302" t="inlineStr"/>
      <c r="E302" t="inlineStr">
        <is>
          <t>Y</t>
        </is>
      </c>
    </row>
    <row r="303">
      <c r="A303" t="inlineStr">
        <is>
          <t>LFC2405</t>
        </is>
      </c>
      <c r="B303" t="inlineStr">
        <is>
          <t>LFC2405</t>
        </is>
      </c>
      <c r="C303" t="inlineStr">
        <is>
          <t>ANTHONY</t>
        </is>
      </c>
      <c r="D303" t="inlineStr"/>
      <c r="E303" t="inlineStr">
        <is>
          <t>Y</t>
        </is>
      </c>
    </row>
    <row r="304">
      <c r="A304" t="inlineStr">
        <is>
          <t>LFC2406</t>
        </is>
      </c>
      <c r="B304" t="inlineStr">
        <is>
          <t>LFC2406</t>
        </is>
      </c>
      <c r="C304" t="inlineStr">
        <is>
          <t>ANTHONY</t>
        </is>
      </c>
      <c r="D304" t="inlineStr"/>
      <c r="E304" t="inlineStr">
        <is>
          <t>Y</t>
        </is>
      </c>
    </row>
    <row r="305">
      <c r="A305" t="inlineStr">
        <is>
          <t>LFC2407</t>
        </is>
      </c>
      <c r="B305" t="inlineStr">
        <is>
          <t>LFC2407</t>
        </is>
      </c>
      <c r="C305" t="inlineStr">
        <is>
          <t>ANTHONY</t>
        </is>
      </c>
      <c r="D305" t="inlineStr"/>
      <c r="E305" t="inlineStr">
        <is>
          <t>Y</t>
        </is>
      </c>
    </row>
    <row r="306">
      <c r="A306" t="inlineStr">
        <is>
          <t>LFC2408</t>
        </is>
      </c>
      <c r="B306" t="inlineStr">
        <is>
          <t>LFC2408</t>
        </is>
      </c>
      <c r="C306" t="inlineStr">
        <is>
          <t>ANTHONY</t>
        </is>
      </c>
      <c r="D306" t="inlineStr"/>
      <c r="E306" t="inlineStr">
        <is>
          <t>Y</t>
        </is>
      </c>
    </row>
    <row r="307">
      <c r="A307" t="inlineStr">
        <is>
          <t>LFC2409</t>
        </is>
      </c>
      <c r="B307" t="inlineStr">
        <is>
          <t>LFC2409</t>
        </is>
      </c>
      <c r="C307" t="inlineStr">
        <is>
          <t>ANTHONY</t>
        </is>
      </c>
      <c r="D307" t="inlineStr"/>
      <c r="E307" t="inlineStr">
        <is>
          <t>Y</t>
        </is>
      </c>
    </row>
    <row r="308">
      <c r="A308" t="inlineStr">
        <is>
          <t>LFC2410</t>
        </is>
      </c>
      <c r="B308" t="inlineStr">
        <is>
          <t>LFC2410</t>
        </is>
      </c>
      <c r="C308" t="inlineStr">
        <is>
          <t>ANTHONY</t>
        </is>
      </c>
      <c r="D308" t="inlineStr"/>
      <c r="E308" t="inlineStr">
        <is>
          <t>Y</t>
        </is>
      </c>
    </row>
    <row r="309">
      <c r="A309" t="inlineStr">
        <is>
          <t>LFC2411</t>
        </is>
      </c>
      <c r="B309" t="inlineStr">
        <is>
          <t>LFC2411</t>
        </is>
      </c>
      <c r="C309" t="inlineStr">
        <is>
          <t>ANTHONY</t>
        </is>
      </c>
      <c r="D309" t="inlineStr"/>
      <c r="E309" t="inlineStr">
        <is>
          <t>Y</t>
        </is>
      </c>
    </row>
    <row r="310">
      <c r="A310" t="inlineStr">
        <is>
          <t>LFC2412</t>
        </is>
      </c>
      <c r="B310" t="inlineStr">
        <is>
          <t>LFC2412</t>
        </is>
      </c>
      <c r="C310" t="inlineStr">
        <is>
          <t>ANTHONY</t>
        </is>
      </c>
      <c r="D310" t="inlineStr"/>
      <c r="E310" t="inlineStr">
        <is>
          <t>Y</t>
        </is>
      </c>
    </row>
    <row r="311">
      <c r="A311" t="inlineStr">
        <is>
          <t>LFC2413</t>
        </is>
      </c>
      <c r="B311" t="inlineStr">
        <is>
          <t>LFC2413</t>
        </is>
      </c>
      <c r="C311" t="inlineStr">
        <is>
          <t>ANTHONY</t>
        </is>
      </c>
      <c r="D311" t="inlineStr"/>
      <c r="E311" t="inlineStr">
        <is>
          <t>Y</t>
        </is>
      </c>
    </row>
    <row r="312">
      <c r="A312" t="inlineStr">
        <is>
          <t>LFC2414</t>
        </is>
      </c>
      <c r="B312" t="inlineStr">
        <is>
          <t>LFC2414</t>
        </is>
      </c>
      <c r="C312" t="inlineStr">
        <is>
          <t>ANTHONY</t>
        </is>
      </c>
      <c r="D312" t="inlineStr"/>
      <c r="E312" t="inlineStr">
        <is>
          <t>Y</t>
        </is>
      </c>
    </row>
    <row r="313">
      <c r="A313" t="inlineStr">
        <is>
          <t>LFC2415</t>
        </is>
      </c>
      <c r="B313" t="inlineStr">
        <is>
          <t>LFC2415</t>
        </is>
      </c>
      <c r="C313" t="inlineStr">
        <is>
          <t>ANTHONY</t>
        </is>
      </c>
      <c r="D313" t="inlineStr"/>
      <c r="E313" t="inlineStr">
        <is>
          <t>Y</t>
        </is>
      </c>
    </row>
    <row r="314">
      <c r="A314" t="inlineStr">
        <is>
          <t>LFC2416</t>
        </is>
      </c>
      <c r="B314" t="inlineStr">
        <is>
          <t>LFC2416</t>
        </is>
      </c>
      <c r="C314" t="inlineStr">
        <is>
          <t>ANTHONY</t>
        </is>
      </c>
      <c r="D314" t="inlineStr"/>
      <c r="E314" t="inlineStr">
        <is>
          <t>Y</t>
        </is>
      </c>
    </row>
    <row r="315">
      <c r="A315" t="inlineStr">
        <is>
          <t>LFC2417</t>
        </is>
      </c>
      <c r="B315" t="inlineStr">
        <is>
          <t>LFC2417</t>
        </is>
      </c>
      <c r="C315" t="inlineStr">
        <is>
          <t>ANTHONY</t>
        </is>
      </c>
      <c r="D315" t="inlineStr"/>
      <c r="E315" t="inlineStr">
        <is>
          <t>Y</t>
        </is>
      </c>
    </row>
    <row r="316">
      <c r="A316" t="inlineStr">
        <is>
          <t>LFC2418</t>
        </is>
      </c>
      <c r="B316" t="inlineStr">
        <is>
          <t>LFC2418</t>
        </is>
      </c>
      <c r="C316" t="inlineStr">
        <is>
          <t>ANTHONY</t>
        </is>
      </c>
      <c r="D316" t="inlineStr"/>
      <c r="E316" t="inlineStr">
        <is>
          <t>Y</t>
        </is>
      </c>
    </row>
    <row r="317">
      <c r="A317" t="inlineStr">
        <is>
          <t>LFC2419</t>
        </is>
      </c>
      <c r="B317" t="inlineStr">
        <is>
          <t>LFC2419</t>
        </is>
      </c>
      <c r="C317" t="inlineStr">
        <is>
          <t>ANTHONY</t>
        </is>
      </c>
      <c r="D317" t="inlineStr"/>
      <c r="E317" t="inlineStr">
        <is>
          <t>Y</t>
        </is>
      </c>
    </row>
    <row r="318">
      <c r="A318" t="inlineStr">
        <is>
          <t>LFC2420</t>
        </is>
      </c>
      <c r="B318" t="inlineStr">
        <is>
          <t>LFC2420</t>
        </is>
      </c>
      <c r="C318" t="inlineStr">
        <is>
          <t>ANTHONY</t>
        </is>
      </c>
      <c r="D318" t="inlineStr"/>
      <c r="E318" t="inlineStr">
        <is>
          <t>Y</t>
        </is>
      </c>
    </row>
    <row r="319">
      <c r="A319" t="inlineStr">
        <is>
          <t>LFC2421</t>
        </is>
      </c>
      <c r="B319" t="inlineStr">
        <is>
          <t>LFC2421</t>
        </is>
      </c>
      <c r="C319" t="inlineStr">
        <is>
          <t>ANTHONY</t>
        </is>
      </c>
      <c r="D319" t="inlineStr"/>
      <c r="E319" t="inlineStr">
        <is>
          <t>Y</t>
        </is>
      </c>
    </row>
    <row r="320">
      <c r="A320" t="inlineStr">
        <is>
          <t>LFC2501</t>
        </is>
      </c>
      <c r="B320" t="inlineStr">
        <is>
          <t>LFC2501</t>
        </is>
      </c>
      <c r="C320" t="inlineStr">
        <is>
          <t>AKUTE</t>
        </is>
      </c>
      <c r="D320" t="inlineStr"/>
      <c r="E320" t="inlineStr">
        <is>
          <t>Y</t>
        </is>
      </c>
    </row>
    <row r="321">
      <c r="A321" t="inlineStr">
        <is>
          <t>LFC2502</t>
        </is>
      </c>
      <c r="B321" t="inlineStr">
        <is>
          <t>LFC2502</t>
        </is>
      </c>
      <c r="C321" t="inlineStr">
        <is>
          <t>AKUTE</t>
        </is>
      </c>
      <c r="D321" t="inlineStr"/>
      <c r="E321" t="inlineStr">
        <is>
          <t>Y</t>
        </is>
      </c>
    </row>
    <row r="322">
      <c r="A322" t="inlineStr">
        <is>
          <t>LFC2503</t>
        </is>
      </c>
      <c r="B322" t="inlineStr">
        <is>
          <t>LFC2503</t>
        </is>
      </c>
      <c r="C322" t="inlineStr">
        <is>
          <t>AKUTE</t>
        </is>
      </c>
      <c r="D322" t="inlineStr"/>
      <c r="E322" t="inlineStr">
        <is>
          <t>Y</t>
        </is>
      </c>
    </row>
    <row r="323">
      <c r="A323" t="inlineStr">
        <is>
          <t>LFC2504</t>
        </is>
      </c>
      <c r="B323" t="inlineStr">
        <is>
          <t>LFC2504</t>
        </is>
      </c>
      <c r="C323" t="inlineStr">
        <is>
          <t>AKUTE</t>
        </is>
      </c>
      <c r="D323" t="inlineStr"/>
      <c r="E323" t="inlineStr">
        <is>
          <t>Y</t>
        </is>
      </c>
    </row>
    <row r="324">
      <c r="A324" t="inlineStr">
        <is>
          <t>LFC2505</t>
        </is>
      </c>
      <c r="B324" t="inlineStr">
        <is>
          <t>LFC2505</t>
        </is>
      </c>
      <c r="C324" t="inlineStr">
        <is>
          <t>AKUTE</t>
        </is>
      </c>
      <c r="D324" t="inlineStr"/>
      <c r="E324" t="inlineStr">
        <is>
          <t>Y</t>
        </is>
      </c>
    </row>
    <row r="325">
      <c r="A325" t="inlineStr">
        <is>
          <t>LFC2506</t>
        </is>
      </c>
      <c r="B325" t="inlineStr">
        <is>
          <t>LFC2506</t>
        </is>
      </c>
      <c r="C325" t="inlineStr">
        <is>
          <t>AKUTE</t>
        </is>
      </c>
      <c r="D325" t="inlineStr"/>
      <c r="E325" t="inlineStr">
        <is>
          <t>Y</t>
        </is>
      </c>
    </row>
    <row r="326">
      <c r="A326" t="inlineStr">
        <is>
          <t>LFC2507</t>
        </is>
      </c>
      <c r="B326" t="inlineStr">
        <is>
          <t>LFC2507</t>
        </is>
      </c>
      <c r="C326" t="inlineStr">
        <is>
          <t>AKUTE</t>
        </is>
      </c>
      <c r="D326" t="inlineStr"/>
      <c r="E326" t="inlineStr">
        <is>
          <t>Y</t>
        </is>
      </c>
    </row>
    <row r="327">
      <c r="A327" t="inlineStr">
        <is>
          <t>LFC2508</t>
        </is>
      </c>
      <c r="B327" t="inlineStr">
        <is>
          <t>LFC2508</t>
        </is>
      </c>
      <c r="C327" t="inlineStr">
        <is>
          <t>AKUTE</t>
        </is>
      </c>
      <c r="D327" t="inlineStr"/>
      <c r="E327" t="inlineStr">
        <is>
          <t>Y</t>
        </is>
      </c>
    </row>
    <row r="328">
      <c r="A328" t="inlineStr">
        <is>
          <t>LFC2509</t>
        </is>
      </c>
      <c r="B328" t="inlineStr">
        <is>
          <t>LFC2509</t>
        </is>
      </c>
      <c r="C328" t="inlineStr">
        <is>
          <t>AKUTE</t>
        </is>
      </c>
      <c r="D328" t="inlineStr"/>
      <c r="E328" t="inlineStr">
        <is>
          <t>Y</t>
        </is>
      </c>
    </row>
    <row r="329">
      <c r="A329" t="inlineStr">
        <is>
          <t>LFC2510</t>
        </is>
      </c>
      <c r="B329" t="inlineStr">
        <is>
          <t>LFC2510</t>
        </is>
      </c>
      <c r="C329" t="inlineStr">
        <is>
          <t>AKUTE</t>
        </is>
      </c>
      <c r="D329" t="inlineStr"/>
      <c r="E329" t="inlineStr">
        <is>
          <t>Y</t>
        </is>
      </c>
    </row>
    <row r="330">
      <c r="A330" t="inlineStr">
        <is>
          <t>LFC2511</t>
        </is>
      </c>
      <c r="B330" t="inlineStr">
        <is>
          <t>LFC2511</t>
        </is>
      </c>
      <c r="C330" t="inlineStr">
        <is>
          <t>AKUTE</t>
        </is>
      </c>
      <c r="D330" t="inlineStr"/>
      <c r="E330" t="inlineStr">
        <is>
          <t>Y</t>
        </is>
      </c>
    </row>
    <row r="331">
      <c r="A331" t="inlineStr">
        <is>
          <t>LFC2512</t>
        </is>
      </c>
      <c r="B331" t="inlineStr">
        <is>
          <t>LFC2512</t>
        </is>
      </c>
      <c r="C331" t="inlineStr">
        <is>
          <t>AKUTE</t>
        </is>
      </c>
      <c r="D331" t="inlineStr"/>
      <c r="E331" t="inlineStr">
        <is>
          <t>Y</t>
        </is>
      </c>
    </row>
    <row r="332">
      <c r="A332" t="inlineStr">
        <is>
          <t>LFC2601</t>
        </is>
      </c>
      <c r="B332" t="inlineStr">
        <is>
          <t>LFC2601</t>
        </is>
      </c>
      <c r="C332" t="inlineStr">
        <is>
          <t>DENRO</t>
        </is>
      </c>
      <c r="D332" t="inlineStr"/>
      <c r="E332" t="inlineStr">
        <is>
          <t>Y</t>
        </is>
      </c>
    </row>
    <row r="333">
      <c r="A333" t="inlineStr">
        <is>
          <t>LFC2603</t>
        </is>
      </c>
      <c r="B333" t="inlineStr">
        <is>
          <t>LFC2603</t>
        </is>
      </c>
      <c r="C333" t="inlineStr">
        <is>
          <t>DENRO</t>
        </is>
      </c>
      <c r="D333" t="inlineStr"/>
      <c r="E333" t="inlineStr">
        <is>
          <t>Y</t>
        </is>
      </c>
    </row>
    <row r="334">
      <c r="A334" t="inlineStr">
        <is>
          <t>LFC2604</t>
        </is>
      </c>
      <c r="B334" t="inlineStr">
        <is>
          <t>LFC2604</t>
        </is>
      </c>
      <c r="C334" t="inlineStr">
        <is>
          <t>DENRO</t>
        </is>
      </c>
      <c r="D334" t="inlineStr"/>
      <c r="E334" t="inlineStr">
        <is>
          <t>Y</t>
        </is>
      </c>
    </row>
    <row r="335">
      <c r="A335" t="inlineStr">
        <is>
          <t>LFC2605</t>
        </is>
      </c>
      <c r="B335" t="inlineStr">
        <is>
          <t>LFC2605</t>
        </is>
      </c>
      <c r="C335" t="inlineStr">
        <is>
          <t>DENRO</t>
        </is>
      </c>
      <c r="D335" t="inlineStr"/>
      <c r="E335" t="inlineStr">
        <is>
          <t>Y</t>
        </is>
      </c>
    </row>
    <row r="336">
      <c r="A336" t="inlineStr">
        <is>
          <t>LFC2606</t>
        </is>
      </c>
      <c r="B336" t="inlineStr">
        <is>
          <t>LFC2606</t>
        </is>
      </c>
      <c r="C336" t="inlineStr">
        <is>
          <t>DENRO</t>
        </is>
      </c>
      <c r="D336" t="inlineStr"/>
      <c r="E336" t="inlineStr">
        <is>
          <t>Y</t>
        </is>
      </c>
    </row>
    <row r="337">
      <c r="A337" t="inlineStr">
        <is>
          <t>LFC2607</t>
        </is>
      </c>
      <c r="B337" t="inlineStr">
        <is>
          <t>LFC2607</t>
        </is>
      </c>
      <c r="C337" t="inlineStr">
        <is>
          <t>DENRO</t>
        </is>
      </c>
      <c r="D337" t="inlineStr"/>
      <c r="E337" t="inlineStr">
        <is>
          <t>Y</t>
        </is>
      </c>
    </row>
    <row r="338">
      <c r="A338" t="inlineStr">
        <is>
          <t>LFC2608</t>
        </is>
      </c>
      <c r="B338" t="inlineStr">
        <is>
          <t>LFC2608</t>
        </is>
      </c>
      <c r="C338" t="inlineStr">
        <is>
          <t>DENRO</t>
        </is>
      </c>
      <c r="D338" t="inlineStr"/>
      <c r="E338" t="inlineStr">
        <is>
          <t>Y</t>
        </is>
      </c>
    </row>
    <row r="339">
      <c r="A339" t="inlineStr">
        <is>
          <t>LFC2609</t>
        </is>
      </c>
      <c r="B339" t="inlineStr">
        <is>
          <t>LFC2609</t>
        </is>
      </c>
      <c r="C339" t="inlineStr">
        <is>
          <t>DENRO</t>
        </is>
      </c>
      <c r="D339" t="inlineStr"/>
      <c r="E339" t="inlineStr">
        <is>
          <t>Y</t>
        </is>
      </c>
    </row>
    <row r="340">
      <c r="A340" t="inlineStr">
        <is>
          <t>LFC2701</t>
        </is>
      </c>
      <c r="B340" t="inlineStr">
        <is>
          <t>LFC2701</t>
        </is>
      </c>
      <c r="C340" t="inlineStr">
        <is>
          <t>OLODI APAPA</t>
        </is>
      </c>
      <c r="D340" t="inlineStr"/>
      <c r="E340" t="inlineStr">
        <is>
          <t>Y</t>
        </is>
      </c>
    </row>
    <row r="341">
      <c r="A341" t="inlineStr">
        <is>
          <t>LFC2702</t>
        </is>
      </c>
      <c r="B341" t="inlineStr">
        <is>
          <t>LFC2702</t>
        </is>
      </c>
      <c r="C341" t="inlineStr">
        <is>
          <t>OLODI APAPA</t>
        </is>
      </c>
      <c r="D341" t="inlineStr"/>
      <c r="E341" t="inlineStr">
        <is>
          <t>Y</t>
        </is>
      </c>
    </row>
    <row r="342">
      <c r="A342" t="inlineStr">
        <is>
          <t>LFC2703</t>
        </is>
      </c>
      <c r="B342" t="inlineStr">
        <is>
          <t>LFC2703</t>
        </is>
      </c>
      <c r="C342" t="inlineStr">
        <is>
          <t>OLODI APAPA</t>
        </is>
      </c>
      <c r="D342" t="inlineStr"/>
      <c r="E342" t="inlineStr">
        <is>
          <t>Y</t>
        </is>
      </c>
    </row>
    <row r="343">
      <c r="A343" t="inlineStr">
        <is>
          <t>LFC2704</t>
        </is>
      </c>
      <c r="B343" t="inlineStr">
        <is>
          <t>LFC2704</t>
        </is>
      </c>
      <c r="C343" t="inlineStr">
        <is>
          <t>OLODI APAPA</t>
        </is>
      </c>
      <c r="D343" t="inlineStr"/>
      <c r="E343" t="inlineStr">
        <is>
          <t>Y</t>
        </is>
      </c>
    </row>
    <row r="344">
      <c r="A344" t="inlineStr">
        <is>
          <t>LFC2705</t>
        </is>
      </c>
      <c r="B344" t="inlineStr">
        <is>
          <t>LFC2705</t>
        </is>
      </c>
      <c r="C344" t="inlineStr">
        <is>
          <t>OLODI APAPA</t>
        </is>
      </c>
      <c r="D344" t="inlineStr"/>
      <c r="E344" t="inlineStr">
        <is>
          <t>Y</t>
        </is>
      </c>
    </row>
    <row r="345">
      <c r="A345" t="inlineStr">
        <is>
          <t>LFC2706</t>
        </is>
      </c>
      <c r="B345" t="inlineStr">
        <is>
          <t>LFC2706</t>
        </is>
      </c>
      <c r="C345" t="inlineStr">
        <is>
          <t>OLODI APAPA</t>
        </is>
      </c>
      <c r="D345" t="inlineStr"/>
      <c r="E345" t="inlineStr">
        <is>
          <t>Y</t>
        </is>
      </c>
    </row>
    <row r="346">
      <c r="A346" t="inlineStr">
        <is>
          <t>LFC2707</t>
        </is>
      </c>
      <c r="B346" t="inlineStr">
        <is>
          <t>LFC2707</t>
        </is>
      </c>
      <c r="C346" t="inlineStr">
        <is>
          <t>OLODI APAPA</t>
        </is>
      </c>
      <c r="D346" t="inlineStr"/>
      <c r="E346" t="inlineStr">
        <is>
          <t>Y</t>
        </is>
      </c>
    </row>
    <row r="347">
      <c r="A347" t="inlineStr">
        <is>
          <t>LFC2708</t>
        </is>
      </c>
      <c r="B347" t="inlineStr">
        <is>
          <t>LFC2708</t>
        </is>
      </c>
      <c r="C347" t="inlineStr">
        <is>
          <t>OLODI APAPA</t>
        </is>
      </c>
      <c r="D347" t="inlineStr"/>
      <c r="E347" t="inlineStr">
        <is>
          <t>Y</t>
        </is>
      </c>
    </row>
    <row r="348">
      <c r="A348" t="inlineStr">
        <is>
          <t>LFC2709</t>
        </is>
      </c>
      <c r="B348" t="inlineStr">
        <is>
          <t>LFC2709</t>
        </is>
      </c>
      <c r="C348" t="inlineStr">
        <is>
          <t>OLODI APAPA</t>
        </is>
      </c>
      <c r="D348" t="inlineStr"/>
      <c r="E348" t="inlineStr">
        <is>
          <t>Y</t>
        </is>
      </c>
    </row>
    <row r="349">
      <c r="A349" t="inlineStr">
        <is>
          <t>LFC2710</t>
        </is>
      </c>
      <c r="B349" t="inlineStr">
        <is>
          <t>LFC2710</t>
        </is>
      </c>
      <c r="C349" t="inlineStr">
        <is>
          <t>OLODI APAPA</t>
        </is>
      </c>
      <c r="D349" t="inlineStr"/>
      <c r="E349" t="inlineStr">
        <is>
          <t>Y</t>
        </is>
      </c>
    </row>
    <row r="350">
      <c r="A350" t="inlineStr">
        <is>
          <t>LFC2801</t>
        </is>
      </c>
      <c r="B350" t="inlineStr">
        <is>
          <t>LFC2801</t>
        </is>
      </c>
      <c r="C350" t="inlineStr">
        <is>
          <t>PARKLANE APAPA</t>
        </is>
      </c>
      <c r="D350" t="inlineStr"/>
      <c r="E350" t="inlineStr">
        <is>
          <t>Y</t>
        </is>
      </c>
    </row>
    <row r="351">
      <c r="A351" t="inlineStr">
        <is>
          <t>LFC2802</t>
        </is>
      </c>
      <c r="B351" t="inlineStr">
        <is>
          <t>LFC2802</t>
        </is>
      </c>
      <c r="C351" t="inlineStr">
        <is>
          <t>PARKLANE APAPA</t>
        </is>
      </c>
      <c r="D351" t="inlineStr"/>
      <c r="E351" t="inlineStr">
        <is>
          <t>Y</t>
        </is>
      </c>
    </row>
    <row r="352">
      <c r="A352" t="inlineStr">
        <is>
          <t>LFC2803</t>
        </is>
      </c>
      <c r="B352" t="inlineStr">
        <is>
          <t>LFC2803</t>
        </is>
      </c>
      <c r="C352" t="inlineStr">
        <is>
          <t>PARKLANE APAPA</t>
        </is>
      </c>
      <c r="D352" t="inlineStr"/>
      <c r="E352" t="inlineStr">
        <is>
          <t>Y</t>
        </is>
      </c>
    </row>
    <row r="353">
      <c r="A353" t="inlineStr">
        <is>
          <t>LFC2804</t>
        </is>
      </c>
      <c r="B353" t="inlineStr">
        <is>
          <t>LFC2804</t>
        </is>
      </c>
      <c r="C353" t="inlineStr">
        <is>
          <t>PARKLANE APAPA</t>
        </is>
      </c>
      <c r="D353" t="inlineStr"/>
      <c r="E353" t="inlineStr">
        <is>
          <t>Y</t>
        </is>
      </c>
    </row>
    <row r="354">
      <c r="A354" t="inlineStr">
        <is>
          <t>LFC2805</t>
        </is>
      </c>
      <c r="B354" t="inlineStr">
        <is>
          <t>LFC2805</t>
        </is>
      </c>
      <c r="C354" t="inlineStr">
        <is>
          <t>PARKLANE APAPA</t>
        </is>
      </c>
      <c r="D354" t="inlineStr"/>
      <c r="E354" t="inlineStr">
        <is>
          <t>Y</t>
        </is>
      </c>
    </row>
    <row r="355">
      <c r="A355" t="inlineStr">
        <is>
          <t>LFC2806</t>
        </is>
      </c>
      <c r="B355" t="inlineStr">
        <is>
          <t>LFC2806</t>
        </is>
      </c>
      <c r="C355" t="inlineStr">
        <is>
          <t>PARKLANE APAPA</t>
        </is>
      </c>
      <c r="D355" t="inlineStr"/>
      <c r="E355" t="inlineStr">
        <is>
          <t>Y</t>
        </is>
      </c>
    </row>
    <row r="356">
      <c r="A356" t="inlineStr">
        <is>
          <t>LFC2901</t>
        </is>
      </c>
      <c r="B356" t="inlineStr">
        <is>
          <t>LFC2901</t>
        </is>
      </c>
      <c r="C356" t="inlineStr">
        <is>
          <t>ALAGBADO AKINDE</t>
        </is>
      </c>
      <c r="D356" t="inlineStr"/>
      <c r="E356" t="inlineStr">
        <is>
          <t>Y</t>
        </is>
      </c>
    </row>
    <row r="357">
      <c r="A357" t="inlineStr">
        <is>
          <t>LFC2902</t>
        </is>
      </c>
      <c r="B357" t="inlineStr">
        <is>
          <t>LFC2902</t>
        </is>
      </c>
      <c r="C357" t="inlineStr">
        <is>
          <t>ALAGBADO AKINDE</t>
        </is>
      </c>
      <c r="D357" t="inlineStr"/>
      <c r="E357" t="inlineStr">
        <is>
          <t>Y</t>
        </is>
      </c>
    </row>
    <row r="358">
      <c r="A358" t="inlineStr">
        <is>
          <t>LFC2903</t>
        </is>
      </c>
      <c r="B358" t="inlineStr">
        <is>
          <t>LFC2903</t>
        </is>
      </c>
      <c r="C358" t="inlineStr">
        <is>
          <t>ALAGBADO AKINDE</t>
        </is>
      </c>
      <c r="D358" t="inlineStr"/>
      <c r="E358" t="inlineStr">
        <is>
          <t>Y</t>
        </is>
      </c>
    </row>
    <row r="359">
      <c r="A359" t="inlineStr">
        <is>
          <t>LFC2904</t>
        </is>
      </c>
      <c r="B359" t="inlineStr">
        <is>
          <t>LFC2904</t>
        </is>
      </c>
      <c r="C359" t="inlineStr">
        <is>
          <t>ALAGBADO AKINDE</t>
        </is>
      </c>
      <c r="D359" t="inlineStr"/>
      <c r="E359" t="inlineStr">
        <is>
          <t>Y</t>
        </is>
      </c>
    </row>
    <row r="360">
      <c r="A360" t="inlineStr">
        <is>
          <t>LFC2905</t>
        </is>
      </c>
      <c r="B360" t="inlineStr">
        <is>
          <t>LFC2905</t>
        </is>
      </c>
      <c r="C360" t="inlineStr">
        <is>
          <t>ALAGBADO AKINDE</t>
        </is>
      </c>
      <c r="D360" t="inlineStr"/>
      <c r="E360" t="inlineStr">
        <is>
          <t>Y</t>
        </is>
      </c>
    </row>
    <row r="361">
      <c r="A361" t="inlineStr">
        <is>
          <t>LFC2906</t>
        </is>
      </c>
      <c r="B361" t="inlineStr">
        <is>
          <t>LFC2906</t>
        </is>
      </c>
      <c r="C361" t="inlineStr">
        <is>
          <t>ALAGBADO AKINDE</t>
        </is>
      </c>
      <c r="D361" t="inlineStr"/>
      <c r="E361" t="inlineStr">
        <is>
          <t>Y</t>
        </is>
      </c>
    </row>
    <row r="362">
      <c r="A362" t="inlineStr">
        <is>
          <t>LFC2907</t>
        </is>
      </c>
      <c r="B362" t="inlineStr">
        <is>
          <t>LFC2907</t>
        </is>
      </c>
      <c r="C362" t="inlineStr">
        <is>
          <t>ALAGBADO AKINDE</t>
        </is>
      </c>
      <c r="D362" t="inlineStr"/>
      <c r="E362" t="inlineStr">
        <is>
          <t>Y</t>
        </is>
      </c>
    </row>
    <row r="363">
      <c r="A363" t="inlineStr">
        <is>
          <t>LFC2908</t>
        </is>
      </c>
      <c r="B363" t="inlineStr">
        <is>
          <t>LFC2908</t>
        </is>
      </c>
      <c r="C363" t="inlineStr">
        <is>
          <t>ALAGBADO AKINDE</t>
        </is>
      </c>
      <c r="D363" t="inlineStr"/>
      <c r="E363" t="inlineStr">
        <is>
          <t>Y</t>
        </is>
      </c>
    </row>
    <row r="364">
      <c r="A364" t="inlineStr">
        <is>
          <t>LFC2909</t>
        </is>
      </c>
      <c r="B364" t="inlineStr">
        <is>
          <t>LFC2909</t>
        </is>
      </c>
      <c r="C364" t="inlineStr">
        <is>
          <t>ALAGBADO AKINDE</t>
        </is>
      </c>
      <c r="D364" t="inlineStr"/>
      <c r="E364" t="inlineStr">
        <is>
          <t>Y</t>
        </is>
      </c>
    </row>
    <row r="365">
      <c r="A365" t="inlineStr">
        <is>
          <t>LFC2910</t>
        </is>
      </c>
      <c r="B365" t="inlineStr">
        <is>
          <t>LFC2910</t>
        </is>
      </c>
      <c r="C365" t="inlineStr">
        <is>
          <t>ALAGBADO AKINDE</t>
        </is>
      </c>
      <c r="D365" t="inlineStr"/>
      <c r="E365" t="inlineStr">
        <is>
          <t>Y</t>
        </is>
      </c>
    </row>
    <row r="366">
      <c r="A366" t="inlineStr">
        <is>
          <t>LFC2911</t>
        </is>
      </c>
      <c r="B366" t="inlineStr">
        <is>
          <t>LFC2911</t>
        </is>
      </c>
      <c r="C366" t="inlineStr">
        <is>
          <t>ALAGBADO AKINDE</t>
        </is>
      </c>
      <c r="D366" t="inlineStr"/>
      <c r="E366" t="inlineStr">
        <is>
          <t>Y</t>
        </is>
      </c>
    </row>
    <row r="367">
      <c r="A367" t="inlineStr">
        <is>
          <t>LFC2912</t>
        </is>
      </c>
      <c r="B367" t="inlineStr">
        <is>
          <t>LFC2912</t>
        </is>
      </c>
      <c r="C367" t="inlineStr">
        <is>
          <t>ALAGBADO AKINDE</t>
        </is>
      </c>
      <c r="D367" t="inlineStr"/>
      <c r="E367" t="inlineStr">
        <is>
          <t>Y</t>
        </is>
      </c>
    </row>
    <row r="368">
      <c r="A368" t="inlineStr">
        <is>
          <t>LFC2913</t>
        </is>
      </c>
      <c r="B368" t="inlineStr">
        <is>
          <t>LFC2913</t>
        </is>
      </c>
      <c r="C368" t="inlineStr">
        <is>
          <t>ALAGBADO AKINDE</t>
        </is>
      </c>
      <c r="D368" t="inlineStr"/>
      <c r="E368" t="inlineStr">
        <is>
          <t>Y</t>
        </is>
      </c>
    </row>
    <row r="369">
      <c r="A369" t="inlineStr">
        <is>
          <t>LFC2914</t>
        </is>
      </c>
      <c r="B369" t="inlineStr">
        <is>
          <t>LFC2914</t>
        </is>
      </c>
      <c r="C369" t="inlineStr">
        <is>
          <t>ALAGBADO AKINDE</t>
        </is>
      </c>
      <c r="D369" t="inlineStr"/>
      <c r="E369" t="inlineStr">
        <is>
          <t>Y</t>
        </is>
      </c>
    </row>
    <row r="370">
      <c r="A370" t="inlineStr">
        <is>
          <t>LFC2915</t>
        </is>
      </c>
      <c r="B370" t="inlineStr">
        <is>
          <t>LFC2915</t>
        </is>
      </c>
      <c r="C370" t="inlineStr">
        <is>
          <t>ALAGBADO AKINDE</t>
        </is>
      </c>
      <c r="D370" t="inlineStr"/>
      <c r="E370" t="inlineStr">
        <is>
          <t>Y</t>
        </is>
      </c>
    </row>
    <row r="371">
      <c r="A371" t="inlineStr">
        <is>
          <t>LFC2916</t>
        </is>
      </c>
      <c r="B371" t="inlineStr">
        <is>
          <t>LFC2916</t>
        </is>
      </c>
      <c r="C371" t="inlineStr">
        <is>
          <t>ALAGBADO AKINDE</t>
        </is>
      </c>
      <c r="D371" t="inlineStr"/>
      <c r="E371" t="inlineStr">
        <is>
          <t>Y</t>
        </is>
      </c>
    </row>
    <row r="372">
      <c r="A372" t="inlineStr">
        <is>
          <t>LFC2917</t>
        </is>
      </c>
      <c r="B372" t="inlineStr">
        <is>
          <t>LFC2917</t>
        </is>
      </c>
      <c r="C372" t="inlineStr">
        <is>
          <t>ALAGBADO AKINDE</t>
        </is>
      </c>
      <c r="D372" t="inlineStr"/>
      <c r="E372" t="inlineStr">
        <is>
          <t>Y</t>
        </is>
      </c>
    </row>
    <row r="373">
      <c r="A373" t="inlineStr">
        <is>
          <t>LFC2918</t>
        </is>
      </c>
      <c r="B373" t="inlineStr">
        <is>
          <t>LFC2918</t>
        </is>
      </c>
      <c r="C373" t="inlineStr">
        <is>
          <t>ALAGBADO AKINDE</t>
        </is>
      </c>
      <c r="D373" t="inlineStr"/>
      <c r="E373" t="inlineStr">
        <is>
          <t>Y</t>
        </is>
      </c>
    </row>
    <row r="374">
      <c r="A374" t="inlineStr">
        <is>
          <t>LFC2919</t>
        </is>
      </c>
      <c r="B374" t="inlineStr">
        <is>
          <t>LFC2919</t>
        </is>
      </c>
      <c r="C374" t="inlineStr">
        <is>
          <t>ALAGBADO AKINDE</t>
        </is>
      </c>
      <c r="D374" t="inlineStr"/>
      <c r="E374" t="inlineStr">
        <is>
          <t>Y</t>
        </is>
      </c>
    </row>
    <row r="375">
      <c r="A375" t="inlineStr">
        <is>
          <t>LFC2920</t>
        </is>
      </c>
      <c r="B375" t="inlineStr">
        <is>
          <t>LFC2920</t>
        </is>
      </c>
      <c r="C375" t="inlineStr">
        <is>
          <t>ALAGBADO AKINDE</t>
        </is>
      </c>
      <c r="D375" t="inlineStr"/>
      <c r="E375" t="inlineStr">
        <is>
          <t>Y</t>
        </is>
      </c>
    </row>
    <row r="376">
      <c r="A376" t="inlineStr">
        <is>
          <t>LFC2921</t>
        </is>
      </c>
      <c r="B376" t="inlineStr">
        <is>
          <t>LFC2921</t>
        </is>
      </c>
      <c r="C376" t="inlineStr">
        <is>
          <t>ALAGBADO AKINDE</t>
        </is>
      </c>
      <c r="D376" t="inlineStr"/>
      <c r="E376" t="inlineStr">
        <is>
          <t>Y</t>
        </is>
      </c>
    </row>
    <row r="377">
      <c r="A377" t="inlineStr">
        <is>
          <t>LFC3001</t>
        </is>
      </c>
      <c r="B377" t="inlineStr">
        <is>
          <t>LFC3001</t>
        </is>
      </c>
      <c r="C377" t="inlineStr">
        <is>
          <t>AIT</t>
        </is>
      </c>
      <c r="D377" t="inlineStr"/>
      <c r="E377" t="inlineStr">
        <is>
          <t>Y</t>
        </is>
      </c>
    </row>
    <row r="378">
      <c r="A378" t="inlineStr">
        <is>
          <t>LFC3002</t>
        </is>
      </c>
      <c r="B378" t="inlineStr">
        <is>
          <t>LFC3002</t>
        </is>
      </c>
      <c r="C378" t="inlineStr">
        <is>
          <t>AIT</t>
        </is>
      </c>
      <c r="D378" t="inlineStr"/>
      <c r="E378" t="inlineStr">
        <is>
          <t>Y</t>
        </is>
      </c>
    </row>
    <row r="379">
      <c r="A379" t="inlineStr">
        <is>
          <t>LFC3003</t>
        </is>
      </c>
      <c r="B379" t="inlineStr">
        <is>
          <t>LFC3003</t>
        </is>
      </c>
      <c r="C379" t="inlineStr">
        <is>
          <t>AIT</t>
        </is>
      </c>
      <c r="D379" t="inlineStr"/>
      <c r="E379" t="inlineStr">
        <is>
          <t>Y</t>
        </is>
      </c>
    </row>
    <row r="380">
      <c r="A380" t="inlineStr">
        <is>
          <t>LFC3004</t>
        </is>
      </c>
      <c r="B380" t="inlineStr">
        <is>
          <t>LFC3004</t>
        </is>
      </c>
      <c r="C380" t="inlineStr">
        <is>
          <t>AIT</t>
        </is>
      </c>
      <c r="D380" t="inlineStr"/>
      <c r="E380" t="inlineStr">
        <is>
          <t>Y</t>
        </is>
      </c>
    </row>
    <row r="381">
      <c r="A381" t="inlineStr">
        <is>
          <t>LFC3005</t>
        </is>
      </c>
      <c r="B381" t="inlineStr">
        <is>
          <t>LFC3005</t>
        </is>
      </c>
      <c r="C381" t="inlineStr">
        <is>
          <t>AIT</t>
        </is>
      </c>
      <c r="D381" t="inlineStr"/>
      <c r="E381" t="inlineStr">
        <is>
          <t>Y</t>
        </is>
      </c>
    </row>
    <row r="382">
      <c r="A382" t="inlineStr">
        <is>
          <t>LFC3006</t>
        </is>
      </c>
      <c r="B382" t="inlineStr">
        <is>
          <t>LFC3006</t>
        </is>
      </c>
      <c r="C382" t="inlineStr">
        <is>
          <t>AIT</t>
        </is>
      </c>
      <c r="D382" t="inlineStr"/>
      <c r="E382" t="inlineStr">
        <is>
          <t>Y</t>
        </is>
      </c>
    </row>
    <row r="383">
      <c r="A383" t="inlineStr">
        <is>
          <t>LFC3007</t>
        </is>
      </c>
      <c r="B383" t="inlineStr">
        <is>
          <t>LFC3007</t>
        </is>
      </c>
      <c r="C383" t="inlineStr">
        <is>
          <t>AIT</t>
        </is>
      </c>
      <c r="D383" t="inlineStr"/>
      <c r="E383" t="inlineStr">
        <is>
          <t>Y</t>
        </is>
      </c>
    </row>
    <row r="384">
      <c r="A384" t="inlineStr">
        <is>
          <t>LFC3008</t>
        </is>
      </c>
      <c r="B384" t="inlineStr">
        <is>
          <t>LFC3008</t>
        </is>
      </c>
      <c r="C384" t="inlineStr">
        <is>
          <t>AIT</t>
        </is>
      </c>
      <c r="D384" t="inlineStr"/>
      <c r="E384" t="inlineStr">
        <is>
          <t>Y</t>
        </is>
      </c>
    </row>
    <row r="385">
      <c r="A385" t="inlineStr">
        <is>
          <t>LFC3009</t>
        </is>
      </c>
      <c r="B385" t="inlineStr">
        <is>
          <t>LFC3009</t>
        </is>
      </c>
      <c r="C385" t="inlineStr">
        <is>
          <t>AIT</t>
        </is>
      </c>
      <c r="D385" t="inlineStr"/>
      <c r="E385" t="inlineStr">
        <is>
          <t>Y</t>
        </is>
      </c>
    </row>
    <row r="386">
      <c r="A386" t="inlineStr">
        <is>
          <t>LFC3010</t>
        </is>
      </c>
      <c r="B386" t="inlineStr">
        <is>
          <t>LFC3010</t>
        </is>
      </c>
      <c r="C386" t="inlineStr">
        <is>
          <t>AIT</t>
        </is>
      </c>
      <c r="D386" t="inlineStr"/>
      <c r="E386" t="inlineStr">
        <is>
          <t>Y</t>
        </is>
      </c>
    </row>
    <row r="387">
      <c r="A387" t="inlineStr">
        <is>
          <t>LFC3011</t>
        </is>
      </c>
      <c r="B387" t="inlineStr">
        <is>
          <t>LFC3011</t>
        </is>
      </c>
      <c r="C387" t="inlineStr">
        <is>
          <t>AIT</t>
        </is>
      </c>
      <c r="D387" t="inlineStr"/>
      <c r="E387" t="inlineStr">
        <is>
          <t>Y</t>
        </is>
      </c>
    </row>
    <row r="388">
      <c r="A388" t="inlineStr">
        <is>
          <t>LFC3012</t>
        </is>
      </c>
      <c r="B388" t="inlineStr">
        <is>
          <t>LFC3012</t>
        </is>
      </c>
      <c r="C388" t="inlineStr">
        <is>
          <t>AIT</t>
        </is>
      </c>
      <c r="D388" t="inlineStr"/>
      <c r="E388" t="inlineStr">
        <is>
          <t>Y</t>
        </is>
      </c>
    </row>
    <row r="389">
      <c r="A389" t="inlineStr">
        <is>
          <t>LFC3013</t>
        </is>
      </c>
      <c r="B389" t="inlineStr">
        <is>
          <t>LFC3013</t>
        </is>
      </c>
      <c r="C389" t="inlineStr">
        <is>
          <t>AIT</t>
        </is>
      </c>
      <c r="D389" t="inlineStr"/>
      <c r="E389" t="inlineStr">
        <is>
          <t>Y</t>
        </is>
      </c>
    </row>
    <row r="390">
      <c r="A390" t="inlineStr">
        <is>
          <t>LFC3014</t>
        </is>
      </c>
      <c r="B390" t="inlineStr">
        <is>
          <t>LFC3014</t>
        </is>
      </c>
      <c r="C390" t="inlineStr">
        <is>
          <t>AIT</t>
        </is>
      </c>
      <c r="D390" t="inlineStr"/>
      <c r="E390" t="inlineStr">
        <is>
          <t>Y</t>
        </is>
      </c>
    </row>
    <row r="391">
      <c r="A391" t="inlineStr">
        <is>
          <t>LFC3015</t>
        </is>
      </c>
      <c r="B391" t="inlineStr">
        <is>
          <t>LFC3015</t>
        </is>
      </c>
      <c r="C391" t="inlineStr">
        <is>
          <t>AIT</t>
        </is>
      </c>
      <c r="D391" t="inlineStr"/>
      <c r="E391" t="inlineStr">
        <is>
          <t>Y</t>
        </is>
      </c>
    </row>
    <row r="392">
      <c r="A392" t="inlineStr">
        <is>
          <t>LFC3016</t>
        </is>
      </c>
      <c r="B392" t="inlineStr">
        <is>
          <t>LFC3016</t>
        </is>
      </c>
      <c r="C392" t="inlineStr">
        <is>
          <t>AIT</t>
        </is>
      </c>
      <c r="D392" t="inlineStr"/>
      <c r="E392" t="inlineStr">
        <is>
          <t>Y</t>
        </is>
      </c>
    </row>
    <row r="393">
      <c r="A393" t="inlineStr">
        <is>
          <t>LFC3017</t>
        </is>
      </c>
      <c r="B393" t="inlineStr">
        <is>
          <t>LFC3017</t>
        </is>
      </c>
      <c r="C393" t="inlineStr">
        <is>
          <t>AIT</t>
        </is>
      </c>
      <c r="D393" t="inlineStr"/>
      <c r="E393" t="inlineStr">
        <is>
          <t>Y</t>
        </is>
      </c>
    </row>
    <row r="394">
      <c r="A394" t="inlineStr">
        <is>
          <t>LFC3018</t>
        </is>
      </c>
      <c r="B394" t="inlineStr">
        <is>
          <t>LFC3018</t>
        </is>
      </c>
      <c r="C394" t="inlineStr">
        <is>
          <t>AIT</t>
        </is>
      </c>
      <c r="D394" t="inlineStr"/>
      <c r="E394" t="inlineStr">
        <is>
          <t>Y</t>
        </is>
      </c>
    </row>
    <row r="395">
      <c r="A395" t="inlineStr">
        <is>
          <t>LFC3101</t>
        </is>
      </c>
      <c r="B395" t="inlineStr">
        <is>
          <t>LFC3101</t>
        </is>
      </c>
      <c r="C395" t="inlineStr">
        <is>
          <t>AGEGE</t>
        </is>
      </c>
      <c r="D395" t="inlineStr"/>
      <c r="E395" t="inlineStr">
        <is>
          <t>Y</t>
        </is>
      </c>
    </row>
    <row r="396">
      <c r="A396" t="inlineStr">
        <is>
          <t>LFC3102</t>
        </is>
      </c>
      <c r="B396" t="inlineStr">
        <is>
          <t>LFC3102</t>
        </is>
      </c>
      <c r="C396" t="inlineStr">
        <is>
          <t>AGEGE</t>
        </is>
      </c>
      <c r="D396" t="inlineStr"/>
      <c r="E396" t="inlineStr">
        <is>
          <t>Y</t>
        </is>
      </c>
    </row>
    <row r="397">
      <c r="A397" t="inlineStr">
        <is>
          <t>LFC3103</t>
        </is>
      </c>
      <c r="B397" t="inlineStr">
        <is>
          <t>LFC3103</t>
        </is>
      </c>
      <c r="C397" t="inlineStr">
        <is>
          <t>AGEGE</t>
        </is>
      </c>
      <c r="D397" t="inlineStr"/>
      <c r="E397" t="inlineStr">
        <is>
          <t>Y</t>
        </is>
      </c>
    </row>
    <row r="398">
      <c r="A398" t="inlineStr">
        <is>
          <t>LFC3104</t>
        </is>
      </c>
      <c r="B398" t="inlineStr">
        <is>
          <t>LFC3104</t>
        </is>
      </c>
      <c r="C398" t="inlineStr">
        <is>
          <t>AGEGE</t>
        </is>
      </c>
      <c r="D398" t="inlineStr"/>
      <c r="E398" t="inlineStr">
        <is>
          <t>Y</t>
        </is>
      </c>
    </row>
    <row r="399">
      <c r="A399" t="inlineStr">
        <is>
          <t>LFC3105</t>
        </is>
      </c>
      <c r="B399" t="inlineStr">
        <is>
          <t>LFC3105</t>
        </is>
      </c>
      <c r="C399" t="inlineStr">
        <is>
          <t>AGEGE</t>
        </is>
      </c>
      <c r="D399" t="inlineStr"/>
      <c r="E399" t="inlineStr">
        <is>
          <t>Y</t>
        </is>
      </c>
    </row>
    <row r="400">
      <c r="A400" t="inlineStr">
        <is>
          <t>LFC3106</t>
        </is>
      </c>
      <c r="B400" t="inlineStr">
        <is>
          <t>LFC3106</t>
        </is>
      </c>
      <c r="C400" t="inlineStr">
        <is>
          <t>AGEGE</t>
        </is>
      </c>
      <c r="D400" t="inlineStr"/>
      <c r="E400" t="inlineStr">
        <is>
          <t>Y</t>
        </is>
      </c>
    </row>
    <row r="401">
      <c r="A401" t="inlineStr">
        <is>
          <t>LFC3107</t>
        </is>
      </c>
      <c r="B401" t="inlineStr">
        <is>
          <t>LFC3107</t>
        </is>
      </c>
      <c r="C401" t="inlineStr">
        <is>
          <t>AGEGE</t>
        </is>
      </c>
      <c r="D401" t="inlineStr"/>
      <c r="E401" t="inlineStr">
        <is>
          <t>Y</t>
        </is>
      </c>
    </row>
    <row r="402">
      <c r="A402" t="inlineStr">
        <is>
          <t>LFC3201</t>
        </is>
      </c>
      <c r="B402" t="inlineStr">
        <is>
          <t>LFC3201</t>
        </is>
      </c>
      <c r="C402" t="inlineStr">
        <is>
          <t>FAGBA</t>
        </is>
      </c>
      <c r="D402" t="inlineStr"/>
      <c r="E402" t="inlineStr">
        <is>
          <t>Y</t>
        </is>
      </c>
    </row>
    <row r="403">
      <c r="A403" t="inlineStr">
        <is>
          <t>LFC3202</t>
        </is>
      </c>
      <c r="B403" t="inlineStr">
        <is>
          <t>LFC3202</t>
        </is>
      </c>
      <c r="C403" t="inlineStr">
        <is>
          <t>FAGBA</t>
        </is>
      </c>
      <c r="D403" t="inlineStr"/>
      <c r="E403" t="inlineStr">
        <is>
          <t>Y</t>
        </is>
      </c>
    </row>
    <row r="404">
      <c r="A404" t="inlineStr">
        <is>
          <t>LFC3203</t>
        </is>
      </c>
      <c r="B404" t="inlineStr">
        <is>
          <t>LFC3203</t>
        </is>
      </c>
      <c r="C404" t="inlineStr">
        <is>
          <t>FAGBA</t>
        </is>
      </c>
      <c r="D404" t="inlineStr"/>
      <c r="E404" t="inlineStr">
        <is>
          <t>Y</t>
        </is>
      </c>
    </row>
    <row r="405">
      <c r="A405" t="inlineStr">
        <is>
          <t>LFC3204</t>
        </is>
      </c>
      <c r="B405" t="inlineStr">
        <is>
          <t>LFC3204</t>
        </is>
      </c>
      <c r="C405" t="inlineStr">
        <is>
          <t>FAGBA</t>
        </is>
      </c>
      <c r="D405" t="inlineStr"/>
      <c r="E405" t="inlineStr">
        <is>
          <t>Y</t>
        </is>
      </c>
    </row>
    <row r="406">
      <c r="A406" t="inlineStr">
        <is>
          <t>LFC3205</t>
        </is>
      </c>
      <c r="B406" t="inlineStr">
        <is>
          <t>LFC3205</t>
        </is>
      </c>
      <c r="C406" t="inlineStr">
        <is>
          <t>FAGBA</t>
        </is>
      </c>
      <c r="D406" t="inlineStr"/>
      <c r="E406" t="inlineStr">
        <is>
          <t>Y</t>
        </is>
      </c>
    </row>
    <row r="407">
      <c r="A407" t="inlineStr">
        <is>
          <t>LFC3206</t>
        </is>
      </c>
      <c r="B407" t="inlineStr">
        <is>
          <t>LFC3206</t>
        </is>
      </c>
      <c r="C407" t="inlineStr">
        <is>
          <t>FAGBA</t>
        </is>
      </c>
      <c r="D407" t="inlineStr"/>
      <c r="E407" t="inlineStr">
        <is>
          <t>Y</t>
        </is>
      </c>
    </row>
    <row r="408">
      <c r="A408" t="inlineStr">
        <is>
          <t>LFC3207</t>
        </is>
      </c>
      <c r="B408" t="inlineStr">
        <is>
          <t>LFC3207</t>
        </is>
      </c>
      <c r="C408" t="inlineStr">
        <is>
          <t>FAGBA</t>
        </is>
      </c>
      <c r="D408" t="inlineStr"/>
      <c r="E408" t="inlineStr">
        <is>
          <t>Y</t>
        </is>
      </c>
    </row>
    <row r="409">
      <c r="A409" t="inlineStr">
        <is>
          <t>LFC3208</t>
        </is>
      </c>
      <c r="B409" t="inlineStr">
        <is>
          <t>LFC3208</t>
        </is>
      </c>
      <c r="C409" t="inlineStr">
        <is>
          <t>FAGBA</t>
        </is>
      </c>
      <c r="D409" t="inlineStr"/>
      <c r="E409" t="inlineStr">
        <is>
          <t>Y</t>
        </is>
      </c>
    </row>
    <row r="410">
      <c r="A410" t="inlineStr">
        <is>
          <t>LFC3209</t>
        </is>
      </c>
      <c r="B410" t="inlineStr">
        <is>
          <t>LFC3209</t>
        </is>
      </c>
      <c r="C410" t="inlineStr">
        <is>
          <t>FAGBA</t>
        </is>
      </c>
      <c r="D410" t="inlineStr"/>
      <c r="E410" t="inlineStr">
        <is>
          <t>Y</t>
        </is>
      </c>
    </row>
    <row r="411">
      <c r="A411" t="inlineStr">
        <is>
          <t>LFC3210</t>
        </is>
      </c>
      <c r="B411" t="inlineStr">
        <is>
          <t>LFC3210</t>
        </is>
      </c>
      <c r="C411" t="inlineStr">
        <is>
          <t>FAGBA</t>
        </is>
      </c>
      <c r="D411" t="inlineStr"/>
      <c r="E411" t="inlineStr">
        <is>
          <t>Y</t>
        </is>
      </c>
    </row>
    <row r="412">
      <c r="A412" t="inlineStr">
        <is>
          <t>LFC3211</t>
        </is>
      </c>
      <c r="B412" t="inlineStr">
        <is>
          <t>LFC3211</t>
        </is>
      </c>
      <c r="C412" t="inlineStr">
        <is>
          <t>FAGBA</t>
        </is>
      </c>
      <c r="D412" t="inlineStr"/>
      <c r="E412" t="inlineStr">
        <is>
          <t>Y</t>
        </is>
      </c>
    </row>
    <row r="413">
      <c r="A413" t="inlineStr">
        <is>
          <t>LFC3301</t>
        </is>
      </c>
      <c r="B413" t="inlineStr">
        <is>
          <t>LFC3301</t>
        </is>
      </c>
      <c r="C413" t="inlineStr">
        <is>
          <t>ATAN 1</t>
        </is>
      </c>
      <c r="D413" t="inlineStr"/>
      <c r="E413" t="inlineStr">
        <is>
          <t>Y</t>
        </is>
      </c>
    </row>
    <row r="414">
      <c r="A414" t="inlineStr">
        <is>
          <t>LFC3302</t>
        </is>
      </c>
      <c r="B414" t="inlineStr">
        <is>
          <t>LFC3302</t>
        </is>
      </c>
      <c r="C414" t="inlineStr">
        <is>
          <t>ATAN 1</t>
        </is>
      </c>
      <c r="D414" t="inlineStr"/>
      <c r="E414" t="inlineStr">
        <is>
          <t>Y</t>
        </is>
      </c>
    </row>
    <row r="415">
      <c r="A415" t="inlineStr">
        <is>
          <t>LFC3303</t>
        </is>
      </c>
      <c r="B415" t="inlineStr">
        <is>
          <t>LFC3303</t>
        </is>
      </c>
      <c r="C415" t="inlineStr">
        <is>
          <t>ATAN 1</t>
        </is>
      </c>
      <c r="D415" t="inlineStr"/>
      <c r="E415" t="inlineStr">
        <is>
          <t>Y</t>
        </is>
      </c>
    </row>
    <row r="416">
      <c r="A416" t="inlineStr">
        <is>
          <t>LFC3304</t>
        </is>
      </c>
      <c r="B416" t="inlineStr">
        <is>
          <t>LFC3304</t>
        </is>
      </c>
      <c r="C416" t="inlineStr">
        <is>
          <t>ATAN 1</t>
        </is>
      </c>
      <c r="D416" t="inlineStr"/>
      <c r="E416" t="inlineStr">
        <is>
          <t>Y</t>
        </is>
      </c>
    </row>
    <row r="417">
      <c r="A417" t="inlineStr">
        <is>
          <t>LFC3305</t>
        </is>
      </c>
      <c r="B417" t="inlineStr">
        <is>
          <t>LFC3305</t>
        </is>
      </c>
      <c r="C417" t="inlineStr">
        <is>
          <t>ATAN 1</t>
        </is>
      </c>
      <c r="D417" t="inlineStr"/>
      <c r="E417" t="inlineStr">
        <is>
          <t>Y</t>
        </is>
      </c>
    </row>
    <row r="418">
      <c r="A418" t="inlineStr">
        <is>
          <t>LFC3306</t>
        </is>
      </c>
      <c r="B418" t="inlineStr">
        <is>
          <t>LFC3306</t>
        </is>
      </c>
      <c r="C418" t="inlineStr">
        <is>
          <t>ATAN 1</t>
        </is>
      </c>
      <c r="D418" t="inlineStr"/>
      <c r="E418" t="inlineStr">
        <is>
          <t>Y</t>
        </is>
      </c>
    </row>
    <row r="419">
      <c r="A419" t="inlineStr">
        <is>
          <t>LFC3307</t>
        </is>
      </c>
      <c r="B419" t="inlineStr">
        <is>
          <t>LFC3307</t>
        </is>
      </c>
      <c r="C419" t="inlineStr">
        <is>
          <t>ATAN 1</t>
        </is>
      </c>
      <c r="D419" t="inlineStr"/>
      <c r="E419" t="inlineStr">
        <is>
          <t>Y</t>
        </is>
      </c>
    </row>
    <row r="420">
      <c r="A420" t="inlineStr">
        <is>
          <t>LFC3308</t>
        </is>
      </c>
      <c r="B420" t="inlineStr">
        <is>
          <t>LFC3308</t>
        </is>
      </c>
      <c r="C420" t="inlineStr">
        <is>
          <t>ATAN 1</t>
        </is>
      </c>
      <c r="D420" t="inlineStr"/>
      <c r="E420" t="inlineStr">
        <is>
          <t>Y</t>
        </is>
      </c>
    </row>
    <row r="421">
      <c r="A421" t="inlineStr">
        <is>
          <t>LFC3309</t>
        </is>
      </c>
      <c r="B421" t="inlineStr">
        <is>
          <t>LFC3309</t>
        </is>
      </c>
      <c r="C421" t="inlineStr">
        <is>
          <t>ATAN 1</t>
        </is>
      </c>
      <c r="D421" t="inlineStr"/>
      <c r="E421" t="inlineStr">
        <is>
          <t>Y</t>
        </is>
      </c>
    </row>
    <row r="422">
      <c r="A422" t="inlineStr">
        <is>
          <t>LFC3310</t>
        </is>
      </c>
      <c r="B422" t="inlineStr">
        <is>
          <t>LFC3310</t>
        </is>
      </c>
      <c r="C422" t="inlineStr">
        <is>
          <t>ATAN 1</t>
        </is>
      </c>
      <c r="D422" t="inlineStr"/>
      <c r="E422" t="inlineStr">
        <is>
          <t>Y</t>
        </is>
      </c>
    </row>
    <row r="423">
      <c r="A423" t="inlineStr">
        <is>
          <t>LFC3311</t>
        </is>
      </c>
      <c r="B423" t="inlineStr">
        <is>
          <t>LFC3311</t>
        </is>
      </c>
      <c r="C423" t="inlineStr">
        <is>
          <t>ATAN 1</t>
        </is>
      </c>
      <c r="D423" t="inlineStr"/>
      <c r="E423" t="inlineStr">
        <is>
          <t>Y</t>
        </is>
      </c>
    </row>
    <row r="424">
      <c r="A424" t="inlineStr">
        <is>
          <t>LFC3312</t>
        </is>
      </c>
      <c r="B424" t="inlineStr">
        <is>
          <t>LFC3312</t>
        </is>
      </c>
      <c r="C424" t="inlineStr">
        <is>
          <t>ATAN 1</t>
        </is>
      </c>
      <c r="D424" t="inlineStr"/>
      <c r="E424" t="inlineStr">
        <is>
          <t>Y</t>
        </is>
      </c>
    </row>
    <row r="425">
      <c r="A425" t="inlineStr">
        <is>
          <t>LFC3315</t>
        </is>
      </c>
      <c r="B425" t="inlineStr">
        <is>
          <t>LFC3315</t>
        </is>
      </c>
      <c r="C425" t="inlineStr">
        <is>
          <t>ATAN 1</t>
        </is>
      </c>
      <c r="D425" t="inlineStr"/>
      <c r="E425" t="inlineStr">
        <is>
          <t>Y</t>
        </is>
      </c>
    </row>
    <row r="426">
      <c r="A426" t="inlineStr">
        <is>
          <t>LFC3401</t>
        </is>
      </c>
      <c r="B426" t="inlineStr">
        <is>
          <t>LFC3401</t>
        </is>
      </c>
      <c r="C426" t="inlineStr">
        <is>
          <t>ADELANS 1</t>
        </is>
      </c>
      <c r="D426" t="inlineStr"/>
      <c r="E426" t="inlineStr">
        <is>
          <t>Y</t>
        </is>
      </c>
    </row>
    <row r="427">
      <c r="A427" t="inlineStr">
        <is>
          <t>LFC3402</t>
        </is>
      </c>
      <c r="B427" t="inlineStr">
        <is>
          <t>LFC3402</t>
        </is>
      </c>
      <c r="C427" t="inlineStr">
        <is>
          <t>ADELANS 1</t>
        </is>
      </c>
      <c r="D427" t="inlineStr"/>
      <c r="E427" t="inlineStr">
        <is>
          <t>Y</t>
        </is>
      </c>
    </row>
    <row r="428">
      <c r="A428" t="inlineStr">
        <is>
          <t>LFC3403</t>
        </is>
      </c>
      <c r="B428" t="inlineStr">
        <is>
          <t>LFC3403</t>
        </is>
      </c>
      <c r="C428" t="inlineStr">
        <is>
          <t>ADELANS 1</t>
        </is>
      </c>
      <c r="D428" t="inlineStr"/>
      <c r="E428" t="inlineStr">
        <is>
          <t>Y</t>
        </is>
      </c>
    </row>
    <row r="429">
      <c r="A429" t="inlineStr">
        <is>
          <t>LFC3404</t>
        </is>
      </c>
      <c r="B429" t="inlineStr">
        <is>
          <t>LFC3404</t>
        </is>
      </c>
      <c r="C429" t="inlineStr">
        <is>
          <t>ADELANS 1</t>
        </is>
      </c>
      <c r="D429" t="inlineStr"/>
      <c r="E429" t="inlineStr">
        <is>
          <t>Y</t>
        </is>
      </c>
    </row>
    <row r="430">
      <c r="A430" t="inlineStr">
        <is>
          <t>LFC3405</t>
        </is>
      </c>
      <c r="B430" t="inlineStr">
        <is>
          <t>LFC3405</t>
        </is>
      </c>
      <c r="C430" t="inlineStr">
        <is>
          <t>ADELANS 1</t>
        </is>
      </c>
      <c r="D430" t="inlineStr"/>
      <c r="E430" t="inlineStr">
        <is>
          <t>Y</t>
        </is>
      </c>
    </row>
    <row r="431">
      <c r="A431" t="inlineStr">
        <is>
          <t>LFC3406</t>
        </is>
      </c>
      <c r="B431" t="inlineStr">
        <is>
          <t>LFC3406</t>
        </is>
      </c>
      <c r="C431" t="inlineStr">
        <is>
          <t>ADELANS 1</t>
        </is>
      </c>
      <c r="D431" t="inlineStr"/>
      <c r="E431" t="inlineStr">
        <is>
          <t>Y</t>
        </is>
      </c>
    </row>
    <row r="432">
      <c r="A432" t="inlineStr">
        <is>
          <t>LFC3407</t>
        </is>
      </c>
      <c r="B432" t="inlineStr">
        <is>
          <t>LFC3407</t>
        </is>
      </c>
      <c r="C432" t="inlineStr">
        <is>
          <t>ADELANS 1</t>
        </is>
      </c>
      <c r="D432" t="inlineStr"/>
      <c r="E432" t="inlineStr">
        <is>
          <t>Y</t>
        </is>
      </c>
    </row>
    <row r="433">
      <c r="A433" t="inlineStr">
        <is>
          <t>LFC3408</t>
        </is>
      </c>
      <c r="B433" t="inlineStr">
        <is>
          <t>LFC3408</t>
        </is>
      </c>
      <c r="C433" t="inlineStr">
        <is>
          <t>ADELANS 1</t>
        </is>
      </c>
      <c r="D433" t="inlineStr"/>
      <c r="E433" t="inlineStr">
        <is>
          <t>Y</t>
        </is>
      </c>
    </row>
    <row r="434">
      <c r="A434" t="inlineStr">
        <is>
          <t>LFC3409</t>
        </is>
      </c>
      <c r="B434" t="inlineStr">
        <is>
          <t>LFC3409</t>
        </is>
      </c>
      <c r="C434" t="inlineStr">
        <is>
          <t>ADELANS 1</t>
        </is>
      </c>
      <c r="D434" t="inlineStr"/>
      <c r="E434" t="inlineStr">
        <is>
          <t>Y</t>
        </is>
      </c>
    </row>
    <row r="435">
      <c r="A435" t="inlineStr">
        <is>
          <t>LFC3410</t>
        </is>
      </c>
      <c r="B435" t="inlineStr">
        <is>
          <t>LFC3410</t>
        </is>
      </c>
      <c r="C435" t="inlineStr">
        <is>
          <t>ADELANS 1</t>
        </is>
      </c>
      <c r="D435" t="inlineStr"/>
      <c r="E435" t="inlineStr">
        <is>
          <t>Y</t>
        </is>
      </c>
    </row>
    <row r="436">
      <c r="A436" t="inlineStr">
        <is>
          <t>LFC3411</t>
        </is>
      </c>
      <c r="B436" t="inlineStr">
        <is>
          <t>LFC3411</t>
        </is>
      </c>
      <c r="C436" t="inlineStr">
        <is>
          <t>ADELANS 1</t>
        </is>
      </c>
      <c r="D436" t="inlineStr"/>
      <c r="E436" t="inlineStr">
        <is>
          <t>Y</t>
        </is>
      </c>
    </row>
    <row r="437">
      <c r="A437" t="inlineStr">
        <is>
          <t>LFC3412</t>
        </is>
      </c>
      <c r="B437" t="inlineStr">
        <is>
          <t>LFC3412</t>
        </is>
      </c>
      <c r="C437" t="inlineStr">
        <is>
          <t>ADELANS 1</t>
        </is>
      </c>
      <c r="D437" t="inlineStr"/>
      <c r="E437" t="inlineStr">
        <is>
          <t>Y</t>
        </is>
      </c>
    </row>
    <row r="438">
      <c r="A438" t="inlineStr">
        <is>
          <t>LFC3413</t>
        </is>
      </c>
      <c r="B438" t="inlineStr">
        <is>
          <t>LFC3413</t>
        </is>
      </c>
      <c r="C438" t="inlineStr">
        <is>
          <t>ADELANS 1</t>
        </is>
      </c>
      <c r="D438" t="inlineStr"/>
      <c r="E438" t="inlineStr">
        <is>
          <t>Y</t>
        </is>
      </c>
    </row>
    <row r="439">
      <c r="A439" t="inlineStr">
        <is>
          <t>LFC3414</t>
        </is>
      </c>
      <c r="B439" t="inlineStr">
        <is>
          <t>LFC3414</t>
        </is>
      </c>
      <c r="C439" t="inlineStr">
        <is>
          <t>ADELANS 1</t>
        </is>
      </c>
      <c r="D439" t="inlineStr"/>
      <c r="E439" t="inlineStr">
        <is>
          <t>Y</t>
        </is>
      </c>
    </row>
    <row r="440">
      <c r="A440" t="inlineStr">
        <is>
          <t>LFC3415</t>
        </is>
      </c>
      <c r="B440" t="inlineStr">
        <is>
          <t>LFC3415</t>
        </is>
      </c>
      <c r="C440" t="inlineStr">
        <is>
          <t>ADELANS 1</t>
        </is>
      </c>
      <c r="D440" t="inlineStr"/>
      <c r="E440" t="inlineStr">
        <is>
          <t>Y</t>
        </is>
      </c>
    </row>
    <row r="441">
      <c r="A441" t="inlineStr">
        <is>
          <t>LFC3416</t>
        </is>
      </c>
      <c r="B441" t="inlineStr">
        <is>
          <t>LFC3416</t>
        </is>
      </c>
      <c r="C441" t="inlineStr">
        <is>
          <t>ADELANS 1</t>
        </is>
      </c>
      <c r="D441" t="inlineStr"/>
      <c r="E441" t="inlineStr">
        <is>
          <t>Y</t>
        </is>
      </c>
    </row>
    <row r="442">
      <c r="A442" t="inlineStr">
        <is>
          <t>LFC3501</t>
        </is>
      </c>
      <c r="B442" t="inlineStr">
        <is>
          <t>LFC3501</t>
        </is>
      </c>
      <c r="C442" t="inlineStr">
        <is>
          <t>LUSADA</t>
        </is>
      </c>
      <c r="D442" t="inlineStr"/>
      <c r="E442" t="inlineStr">
        <is>
          <t>Y</t>
        </is>
      </c>
    </row>
    <row r="443">
      <c r="A443" t="inlineStr">
        <is>
          <t>LFC3502</t>
        </is>
      </c>
      <c r="B443" t="inlineStr">
        <is>
          <t>LFC3502</t>
        </is>
      </c>
      <c r="C443" t="inlineStr">
        <is>
          <t>LUSADA</t>
        </is>
      </c>
      <c r="D443" t="inlineStr"/>
      <c r="E443" t="inlineStr">
        <is>
          <t>Y</t>
        </is>
      </c>
    </row>
    <row r="444">
      <c r="A444" t="inlineStr">
        <is>
          <t>LFC3503</t>
        </is>
      </c>
      <c r="B444" t="inlineStr">
        <is>
          <t>LFC3503</t>
        </is>
      </c>
      <c r="C444" t="inlineStr">
        <is>
          <t>LUSADA</t>
        </is>
      </c>
      <c r="D444" t="inlineStr"/>
      <c r="E444" t="inlineStr">
        <is>
          <t>Y</t>
        </is>
      </c>
    </row>
    <row r="445">
      <c r="A445" t="inlineStr">
        <is>
          <t>LFC3504</t>
        </is>
      </c>
      <c r="B445" t="inlineStr">
        <is>
          <t>LFC3504</t>
        </is>
      </c>
      <c r="C445" t="inlineStr">
        <is>
          <t>LUSADA</t>
        </is>
      </c>
      <c r="D445" t="inlineStr"/>
      <c r="E445" t="inlineStr">
        <is>
          <t>Y</t>
        </is>
      </c>
    </row>
    <row r="446">
      <c r="A446" t="inlineStr">
        <is>
          <t>LFC3505</t>
        </is>
      </c>
      <c r="B446" t="inlineStr">
        <is>
          <t>LFC3505</t>
        </is>
      </c>
      <c r="C446" t="inlineStr">
        <is>
          <t>LUSADA</t>
        </is>
      </c>
      <c r="D446" t="inlineStr"/>
      <c r="E446" t="inlineStr">
        <is>
          <t>Y</t>
        </is>
      </c>
    </row>
    <row r="447">
      <c r="A447" t="inlineStr">
        <is>
          <t>LFC3506</t>
        </is>
      </c>
      <c r="B447" t="inlineStr">
        <is>
          <t>LFC3506</t>
        </is>
      </c>
      <c r="C447" t="inlineStr">
        <is>
          <t>LUSADA</t>
        </is>
      </c>
      <c r="D447" t="inlineStr"/>
      <c r="E447" t="inlineStr">
        <is>
          <t>Y</t>
        </is>
      </c>
    </row>
    <row r="448">
      <c r="A448" t="inlineStr">
        <is>
          <t>LFC3507</t>
        </is>
      </c>
      <c r="B448" t="inlineStr">
        <is>
          <t>LFC3507</t>
        </is>
      </c>
      <c r="C448" t="inlineStr">
        <is>
          <t>LUSADA</t>
        </is>
      </c>
      <c r="D448" t="inlineStr"/>
      <c r="E448" t="inlineStr">
        <is>
          <t>Y</t>
        </is>
      </c>
    </row>
    <row r="449">
      <c r="A449" t="inlineStr">
        <is>
          <t>LFC3508</t>
        </is>
      </c>
      <c r="B449" t="inlineStr">
        <is>
          <t>LFC3508</t>
        </is>
      </c>
      <c r="C449" t="inlineStr">
        <is>
          <t>LUSADA</t>
        </is>
      </c>
      <c r="D449" t="inlineStr"/>
      <c r="E449" t="inlineStr">
        <is>
          <t>Y</t>
        </is>
      </c>
    </row>
    <row r="450">
      <c r="A450" t="inlineStr">
        <is>
          <t>LFC3509</t>
        </is>
      </c>
      <c r="B450" t="inlineStr">
        <is>
          <t>LFC3509</t>
        </is>
      </c>
      <c r="C450" t="inlineStr">
        <is>
          <t>LUSADA</t>
        </is>
      </c>
      <c r="D450" t="inlineStr"/>
      <c r="E450" t="inlineStr">
        <is>
          <t>Y</t>
        </is>
      </c>
    </row>
    <row r="451">
      <c r="A451" t="inlineStr">
        <is>
          <t>LFC3510</t>
        </is>
      </c>
      <c r="B451" t="inlineStr">
        <is>
          <t>LFC3510</t>
        </is>
      </c>
      <c r="C451" t="inlineStr">
        <is>
          <t>LUSADA</t>
        </is>
      </c>
      <c r="D451" t="inlineStr"/>
      <c r="E451" t="inlineStr">
        <is>
          <t>Y</t>
        </is>
      </c>
    </row>
    <row r="452">
      <c r="A452" t="inlineStr">
        <is>
          <t>LFC3511</t>
        </is>
      </c>
      <c r="B452" t="inlineStr">
        <is>
          <t>LFC3511</t>
        </is>
      </c>
      <c r="C452" t="inlineStr">
        <is>
          <t>LUSADA</t>
        </is>
      </c>
      <c r="D452" t="inlineStr"/>
      <c r="E452" t="inlineStr">
        <is>
          <t>Y</t>
        </is>
      </c>
    </row>
    <row r="453">
      <c r="A453" t="inlineStr">
        <is>
          <t>LFC3512</t>
        </is>
      </c>
      <c r="B453" t="inlineStr">
        <is>
          <t>LFC3512</t>
        </is>
      </c>
      <c r="C453" t="inlineStr">
        <is>
          <t>LUSADA</t>
        </is>
      </c>
      <c r="D453" t="inlineStr"/>
      <c r="E453" t="inlineStr">
        <is>
          <t>Y</t>
        </is>
      </c>
    </row>
    <row r="454">
      <c r="A454" t="inlineStr">
        <is>
          <t>LFC3513</t>
        </is>
      </c>
      <c r="B454" t="inlineStr">
        <is>
          <t>LFC3513</t>
        </is>
      </c>
      <c r="C454" t="inlineStr">
        <is>
          <t>LUSADA</t>
        </is>
      </c>
      <c r="D454" t="inlineStr"/>
      <c r="E454" t="inlineStr">
        <is>
          <t>Y</t>
        </is>
      </c>
    </row>
    <row r="455">
      <c r="A455" t="inlineStr">
        <is>
          <t>LFC3514</t>
        </is>
      </c>
      <c r="B455" t="inlineStr">
        <is>
          <t>LFC3514</t>
        </is>
      </c>
      <c r="C455" t="inlineStr">
        <is>
          <t>LUSADA</t>
        </is>
      </c>
      <c r="D455" t="inlineStr"/>
      <c r="E455" t="inlineStr">
        <is>
          <t>Y</t>
        </is>
      </c>
    </row>
    <row r="456">
      <c r="A456" t="inlineStr">
        <is>
          <t>LFC3515</t>
        </is>
      </c>
      <c r="B456" t="inlineStr">
        <is>
          <t>LFC3515</t>
        </is>
      </c>
      <c r="C456" t="inlineStr">
        <is>
          <t>LUSADA</t>
        </is>
      </c>
      <c r="D456" t="inlineStr"/>
      <c r="E456" t="inlineStr">
        <is>
          <t>Y</t>
        </is>
      </c>
    </row>
    <row r="457">
      <c r="A457" t="inlineStr">
        <is>
          <t>LFC3516</t>
        </is>
      </c>
      <c r="B457" t="inlineStr">
        <is>
          <t>LFC3516</t>
        </is>
      </c>
      <c r="C457" t="inlineStr">
        <is>
          <t>LUSADA</t>
        </is>
      </c>
      <c r="D457" t="inlineStr"/>
      <c r="E457" t="inlineStr">
        <is>
          <t>Y</t>
        </is>
      </c>
    </row>
    <row r="458">
      <c r="A458" t="inlineStr">
        <is>
          <t>LFC3517</t>
        </is>
      </c>
      <c r="B458" t="inlineStr">
        <is>
          <t>LFC3517</t>
        </is>
      </c>
      <c r="C458" t="inlineStr">
        <is>
          <t>LUSADA</t>
        </is>
      </c>
      <c r="D458" t="inlineStr"/>
      <c r="E458" t="inlineStr">
        <is>
          <t>Y</t>
        </is>
      </c>
    </row>
    <row r="459">
      <c r="A459" t="inlineStr">
        <is>
          <t>LFC3518</t>
        </is>
      </c>
      <c r="B459" t="inlineStr">
        <is>
          <t>LFC3518</t>
        </is>
      </c>
      <c r="C459" t="inlineStr">
        <is>
          <t>LUSADA</t>
        </is>
      </c>
      <c r="D459" t="inlineStr"/>
      <c r="E459" t="inlineStr">
        <is>
          <t>Y</t>
        </is>
      </c>
    </row>
    <row r="460">
      <c r="A460" t="inlineStr">
        <is>
          <t>LFC3519</t>
        </is>
      </c>
      <c r="B460" t="inlineStr">
        <is>
          <t>LFC3519</t>
        </is>
      </c>
      <c r="C460" t="inlineStr">
        <is>
          <t>LUSADA</t>
        </is>
      </c>
      <c r="D460" t="inlineStr"/>
      <c r="E460" t="inlineStr">
        <is>
          <t>Y</t>
        </is>
      </c>
    </row>
    <row r="461">
      <c r="A461" t="inlineStr">
        <is>
          <t>LFC3520</t>
        </is>
      </c>
      <c r="B461" t="inlineStr">
        <is>
          <t>LFC3520</t>
        </is>
      </c>
      <c r="C461" t="inlineStr">
        <is>
          <t>LUSADA</t>
        </is>
      </c>
      <c r="D461" t="inlineStr"/>
      <c r="E461" t="inlineStr">
        <is>
          <t>Y</t>
        </is>
      </c>
    </row>
    <row r="462">
      <c r="A462" t="inlineStr">
        <is>
          <t>LFC3521</t>
        </is>
      </c>
      <c r="B462" t="inlineStr">
        <is>
          <t>LFC3521</t>
        </is>
      </c>
      <c r="C462" t="inlineStr">
        <is>
          <t>LUSADA</t>
        </is>
      </c>
      <c r="D462" t="inlineStr"/>
      <c r="E462" t="inlineStr">
        <is>
          <t>Y</t>
        </is>
      </c>
    </row>
    <row r="463">
      <c r="A463" t="inlineStr">
        <is>
          <t>LFC3522</t>
        </is>
      </c>
      <c r="B463" t="inlineStr">
        <is>
          <t>LFC3522</t>
        </is>
      </c>
      <c r="C463" t="inlineStr">
        <is>
          <t>LUSADA</t>
        </is>
      </c>
      <c r="D463" t="inlineStr"/>
      <c r="E463" t="inlineStr">
        <is>
          <t>Y</t>
        </is>
      </c>
    </row>
    <row r="464">
      <c r="A464" t="inlineStr">
        <is>
          <t>LFC3523</t>
        </is>
      </c>
      <c r="B464" t="inlineStr">
        <is>
          <t>LFC3523</t>
        </is>
      </c>
      <c r="C464" t="inlineStr">
        <is>
          <t>LUSADA</t>
        </is>
      </c>
      <c r="D464" t="inlineStr"/>
      <c r="E464" t="inlineStr">
        <is>
          <t>Y</t>
        </is>
      </c>
    </row>
    <row r="465">
      <c r="A465" t="inlineStr">
        <is>
          <t>LFC3524</t>
        </is>
      </c>
      <c r="B465" t="inlineStr">
        <is>
          <t>LFC3524</t>
        </is>
      </c>
      <c r="C465" t="inlineStr">
        <is>
          <t>LUSADA</t>
        </is>
      </c>
      <c r="D465" t="inlineStr"/>
      <c r="E465" t="inlineStr">
        <is>
          <t>Y</t>
        </is>
      </c>
    </row>
    <row r="466">
      <c r="A466" t="inlineStr">
        <is>
          <t>LFC3525</t>
        </is>
      </c>
      <c r="B466" t="inlineStr">
        <is>
          <t>LFC3525</t>
        </is>
      </c>
      <c r="C466" t="inlineStr">
        <is>
          <t>LUSADA</t>
        </is>
      </c>
      <c r="D466" t="inlineStr"/>
      <c r="E466" t="inlineStr">
        <is>
          <t>Y</t>
        </is>
      </c>
    </row>
    <row r="467">
      <c r="A467" t="inlineStr">
        <is>
          <t>LFC3526</t>
        </is>
      </c>
      <c r="B467" t="inlineStr">
        <is>
          <t>LFC3526</t>
        </is>
      </c>
      <c r="C467" t="inlineStr">
        <is>
          <t>LUSADA</t>
        </is>
      </c>
      <c r="D467" t="inlineStr"/>
      <c r="E467" t="inlineStr">
        <is>
          <t>Y</t>
        </is>
      </c>
    </row>
    <row r="468">
      <c r="A468" t="inlineStr">
        <is>
          <t>LFC3601</t>
        </is>
      </c>
      <c r="B468" t="inlineStr">
        <is>
          <t>LFC3601</t>
        </is>
      </c>
      <c r="C468" t="inlineStr">
        <is>
          <t>IJEGUN IKOTUN</t>
        </is>
      </c>
      <c r="D468" t="inlineStr"/>
      <c r="E468" t="inlineStr">
        <is>
          <t>Y</t>
        </is>
      </c>
    </row>
    <row r="469">
      <c r="A469" t="inlineStr">
        <is>
          <t>LFC3602</t>
        </is>
      </c>
      <c r="B469" t="inlineStr">
        <is>
          <t>LFC3602</t>
        </is>
      </c>
      <c r="C469" t="inlineStr">
        <is>
          <t>IJEGUN IKOTUN</t>
        </is>
      </c>
      <c r="D469" t="inlineStr"/>
      <c r="E469" t="inlineStr">
        <is>
          <t>Y</t>
        </is>
      </c>
    </row>
    <row r="470">
      <c r="A470" t="inlineStr">
        <is>
          <t>LFC3603</t>
        </is>
      </c>
      <c r="B470" t="inlineStr">
        <is>
          <t>LFC3603</t>
        </is>
      </c>
      <c r="C470" t="inlineStr">
        <is>
          <t>IJEGUN IKOTUN</t>
        </is>
      </c>
      <c r="D470" t="inlineStr"/>
      <c r="E470" t="inlineStr">
        <is>
          <t>Y</t>
        </is>
      </c>
    </row>
    <row r="471">
      <c r="A471" t="inlineStr">
        <is>
          <t>LFC3604</t>
        </is>
      </c>
      <c r="B471" t="inlineStr">
        <is>
          <t>LFC3604</t>
        </is>
      </c>
      <c r="C471" t="inlineStr">
        <is>
          <t>IJEGUN IKOTUN</t>
        </is>
      </c>
      <c r="D471" t="inlineStr"/>
      <c r="E471" t="inlineStr">
        <is>
          <t>Y</t>
        </is>
      </c>
    </row>
    <row r="472">
      <c r="A472" t="inlineStr">
        <is>
          <t>LFC3605</t>
        </is>
      </c>
      <c r="B472" t="inlineStr">
        <is>
          <t>LFC3605</t>
        </is>
      </c>
      <c r="C472" t="inlineStr">
        <is>
          <t>IJEGUN IKOTUN</t>
        </is>
      </c>
      <c r="D472" t="inlineStr"/>
      <c r="E472" t="inlineStr">
        <is>
          <t>Y</t>
        </is>
      </c>
    </row>
    <row r="473">
      <c r="A473" t="inlineStr">
        <is>
          <t>LFC3606</t>
        </is>
      </c>
      <c r="B473" t="inlineStr">
        <is>
          <t>LFC3606</t>
        </is>
      </c>
      <c r="C473" t="inlineStr">
        <is>
          <t>IJEGUN IKOTUN</t>
        </is>
      </c>
      <c r="D473" t="inlineStr"/>
      <c r="E473" t="inlineStr">
        <is>
          <t>Y</t>
        </is>
      </c>
    </row>
    <row r="474">
      <c r="A474" t="inlineStr">
        <is>
          <t>LFC3607</t>
        </is>
      </c>
      <c r="B474" t="inlineStr">
        <is>
          <t>LFC3607</t>
        </is>
      </c>
      <c r="C474" t="inlineStr">
        <is>
          <t>IJEGUN IKOTUN</t>
        </is>
      </c>
      <c r="D474" t="inlineStr"/>
      <c r="E474" t="inlineStr">
        <is>
          <t>Y</t>
        </is>
      </c>
    </row>
    <row r="475">
      <c r="A475" t="inlineStr">
        <is>
          <t>LFC3608</t>
        </is>
      </c>
      <c r="B475" t="inlineStr">
        <is>
          <t>LFC3608</t>
        </is>
      </c>
      <c r="C475" t="inlineStr">
        <is>
          <t>IJEGUN IKOTUN</t>
        </is>
      </c>
      <c r="D475" t="inlineStr"/>
      <c r="E475" t="inlineStr">
        <is>
          <t>Y</t>
        </is>
      </c>
    </row>
    <row r="476">
      <c r="A476" t="inlineStr">
        <is>
          <t>LFC3609</t>
        </is>
      </c>
      <c r="B476" t="inlineStr">
        <is>
          <t>LFC3609</t>
        </is>
      </c>
      <c r="C476" t="inlineStr">
        <is>
          <t>IJEGUN IKOTUN</t>
        </is>
      </c>
      <c r="D476" t="inlineStr"/>
      <c r="E476" t="inlineStr">
        <is>
          <t>Y</t>
        </is>
      </c>
    </row>
    <row r="477">
      <c r="A477" t="inlineStr">
        <is>
          <t>LFC3610</t>
        </is>
      </c>
      <c r="B477" t="inlineStr">
        <is>
          <t>LFC3610</t>
        </is>
      </c>
      <c r="C477" t="inlineStr">
        <is>
          <t>IJEGUN IKOTUN</t>
        </is>
      </c>
      <c r="D477" t="inlineStr"/>
      <c r="E477" t="inlineStr">
        <is>
          <t>Y</t>
        </is>
      </c>
    </row>
    <row r="478">
      <c r="A478" t="inlineStr">
        <is>
          <t>LFC3611</t>
        </is>
      </c>
      <c r="B478" t="inlineStr">
        <is>
          <t>LFC3611</t>
        </is>
      </c>
      <c r="C478" t="inlineStr">
        <is>
          <t>IJEGUN IKOTUN</t>
        </is>
      </c>
      <c r="D478" t="inlineStr"/>
      <c r="E478" t="inlineStr">
        <is>
          <t>Y</t>
        </is>
      </c>
    </row>
    <row r="479">
      <c r="A479" t="inlineStr">
        <is>
          <t>LFC3612</t>
        </is>
      </c>
      <c r="B479" t="inlineStr">
        <is>
          <t>LFC3612</t>
        </is>
      </c>
      <c r="C479" t="inlineStr">
        <is>
          <t>IJEGUN IKOTUN</t>
        </is>
      </c>
      <c r="D479" t="inlineStr"/>
      <c r="E479" t="inlineStr">
        <is>
          <t>Y</t>
        </is>
      </c>
    </row>
    <row r="480">
      <c r="A480" t="inlineStr">
        <is>
          <t>LFC3613</t>
        </is>
      </c>
      <c r="B480" t="inlineStr">
        <is>
          <t>LFC3613</t>
        </is>
      </c>
      <c r="C480" t="inlineStr">
        <is>
          <t>IJEGUN IKOTUN</t>
        </is>
      </c>
      <c r="D480" t="inlineStr"/>
      <c r="E480" t="inlineStr">
        <is>
          <t>Y</t>
        </is>
      </c>
    </row>
    <row r="481">
      <c r="A481" t="inlineStr">
        <is>
          <t>LFC3614</t>
        </is>
      </c>
      <c r="B481" t="inlineStr">
        <is>
          <t>LFC3614</t>
        </is>
      </c>
      <c r="C481" t="inlineStr">
        <is>
          <t>IJEGUN IKOTUN</t>
        </is>
      </c>
      <c r="D481" t="inlineStr"/>
      <c r="E481" t="inlineStr">
        <is>
          <t>Y</t>
        </is>
      </c>
    </row>
    <row r="482">
      <c r="A482" t="inlineStr">
        <is>
          <t>LFC3615</t>
        </is>
      </c>
      <c r="B482" t="inlineStr">
        <is>
          <t>LFC3615</t>
        </is>
      </c>
      <c r="C482" t="inlineStr">
        <is>
          <t>IJEGUN IKOTUN</t>
        </is>
      </c>
      <c r="D482" t="inlineStr"/>
      <c r="E482" t="inlineStr">
        <is>
          <t>Y</t>
        </is>
      </c>
    </row>
    <row r="483">
      <c r="A483" t="inlineStr">
        <is>
          <t>LFC3616</t>
        </is>
      </c>
      <c r="B483" t="inlineStr">
        <is>
          <t>LFC3616</t>
        </is>
      </c>
      <c r="C483" t="inlineStr">
        <is>
          <t>IJEGUN IKOTUN</t>
        </is>
      </c>
      <c r="D483" t="inlineStr"/>
      <c r="E483" t="inlineStr">
        <is>
          <t>Y</t>
        </is>
      </c>
    </row>
    <row r="484">
      <c r="A484" t="inlineStr">
        <is>
          <t>LFC3617</t>
        </is>
      </c>
      <c r="B484" t="inlineStr">
        <is>
          <t>LFC3617</t>
        </is>
      </c>
      <c r="C484" t="inlineStr">
        <is>
          <t>IJEGUN IKOTUN</t>
        </is>
      </c>
      <c r="D484" t="inlineStr"/>
      <c r="E484" t="inlineStr">
        <is>
          <t>Y</t>
        </is>
      </c>
    </row>
    <row r="485">
      <c r="A485" t="inlineStr">
        <is>
          <t>LFC3701</t>
        </is>
      </c>
      <c r="B485" t="inlineStr">
        <is>
          <t>LFC3701</t>
        </is>
      </c>
      <c r="C485" t="inlineStr">
        <is>
          <t>IGANDO</t>
        </is>
      </c>
      <c r="D485" t="inlineStr"/>
      <c r="E485" t="inlineStr">
        <is>
          <t>Y</t>
        </is>
      </c>
    </row>
    <row r="486">
      <c r="A486" t="inlineStr">
        <is>
          <t>LFC3702</t>
        </is>
      </c>
      <c r="B486" t="inlineStr">
        <is>
          <t>LFC3702</t>
        </is>
      </c>
      <c r="C486" t="inlineStr">
        <is>
          <t>IGANDO</t>
        </is>
      </c>
      <c r="D486" t="inlineStr"/>
      <c r="E486" t="inlineStr">
        <is>
          <t>Y</t>
        </is>
      </c>
    </row>
    <row r="487">
      <c r="A487" t="inlineStr">
        <is>
          <t>LFC3703</t>
        </is>
      </c>
      <c r="B487" t="inlineStr">
        <is>
          <t>LFC3703</t>
        </is>
      </c>
      <c r="C487" t="inlineStr">
        <is>
          <t>IGANDO</t>
        </is>
      </c>
      <c r="D487" t="inlineStr"/>
      <c r="E487" t="inlineStr">
        <is>
          <t>Y</t>
        </is>
      </c>
    </row>
    <row r="488">
      <c r="A488" t="inlineStr">
        <is>
          <t>LFC3704</t>
        </is>
      </c>
      <c r="B488" t="inlineStr">
        <is>
          <t>LFC3704</t>
        </is>
      </c>
      <c r="C488" t="inlineStr">
        <is>
          <t>IGANDO</t>
        </is>
      </c>
      <c r="D488" t="inlineStr"/>
      <c r="E488" t="inlineStr">
        <is>
          <t>Y</t>
        </is>
      </c>
    </row>
    <row r="489">
      <c r="A489" t="inlineStr">
        <is>
          <t>LFC3705</t>
        </is>
      </c>
      <c r="B489" t="inlineStr">
        <is>
          <t>LFC3705</t>
        </is>
      </c>
      <c r="C489" t="inlineStr">
        <is>
          <t>IGANDO</t>
        </is>
      </c>
      <c r="D489" t="inlineStr"/>
      <c r="E489" t="inlineStr">
        <is>
          <t>Y</t>
        </is>
      </c>
    </row>
    <row r="490">
      <c r="A490" t="inlineStr">
        <is>
          <t>LFC3706</t>
        </is>
      </c>
      <c r="B490" t="inlineStr">
        <is>
          <t>LFC3706</t>
        </is>
      </c>
      <c r="C490" t="inlineStr">
        <is>
          <t>IGANDO</t>
        </is>
      </c>
      <c r="D490" t="inlineStr"/>
      <c r="E490" t="inlineStr">
        <is>
          <t>Y</t>
        </is>
      </c>
    </row>
    <row r="491">
      <c r="A491" t="inlineStr">
        <is>
          <t>LFC3707</t>
        </is>
      </c>
      <c r="B491" t="inlineStr">
        <is>
          <t>LFC3707</t>
        </is>
      </c>
      <c r="C491" t="inlineStr">
        <is>
          <t>IGANDO</t>
        </is>
      </c>
      <c r="D491" t="inlineStr"/>
      <c r="E491" t="inlineStr">
        <is>
          <t>Y</t>
        </is>
      </c>
    </row>
    <row r="492">
      <c r="A492" t="inlineStr">
        <is>
          <t>LFC3708</t>
        </is>
      </c>
      <c r="B492" t="inlineStr">
        <is>
          <t>LFC3708</t>
        </is>
      </c>
      <c r="C492" t="inlineStr">
        <is>
          <t>IGANDO</t>
        </is>
      </c>
      <c r="D492" t="inlineStr"/>
      <c r="E492" t="inlineStr">
        <is>
          <t>Y</t>
        </is>
      </c>
    </row>
    <row r="493">
      <c r="A493" t="inlineStr">
        <is>
          <t>LFC3709</t>
        </is>
      </c>
      <c r="B493" t="inlineStr">
        <is>
          <t>LFC3709</t>
        </is>
      </c>
      <c r="C493" t="inlineStr">
        <is>
          <t>IGANDO</t>
        </is>
      </c>
      <c r="D493" t="inlineStr"/>
      <c r="E493" t="inlineStr">
        <is>
          <t>Y</t>
        </is>
      </c>
    </row>
    <row r="494">
      <c r="A494" t="inlineStr">
        <is>
          <t>LFC3710</t>
        </is>
      </c>
      <c r="B494" t="inlineStr">
        <is>
          <t>LFC3710</t>
        </is>
      </c>
      <c r="C494" t="inlineStr">
        <is>
          <t>IGANDO</t>
        </is>
      </c>
      <c r="D494" t="inlineStr"/>
      <c r="E494" t="inlineStr">
        <is>
          <t>Y</t>
        </is>
      </c>
    </row>
    <row r="495">
      <c r="A495" t="inlineStr">
        <is>
          <t>LFC3711</t>
        </is>
      </c>
      <c r="B495" t="inlineStr">
        <is>
          <t>LFC3711</t>
        </is>
      </c>
      <c r="C495" t="inlineStr">
        <is>
          <t>IGANDO</t>
        </is>
      </c>
      <c r="D495" t="inlineStr"/>
      <c r="E495" t="inlineStr">
        <is>
          <t>Y</t>
        </is>
      </c>
    </row>
    <row r="496">
      <c r="A496" t="inlineStr">
        <is>
          <t>LFC3712</t>
        </is>
      </c>
      <c r="B496" t="inlineStr">
        <is>
          <t>LFC3712</t>
        </is>
      </c>
      <c r="C496" t="inlineStr">
        <is>
          <t>IGANDO</t>
        </is>
      </c>
      <c r="D496" t="inlineStr"/>
      <c r="E496" t="inlineStr">
        <is>
          <t>Y</t>
        </is>
      </c>
    </row>
    <row r="497">
      <c r="A497" t="inlineStr">
        <is>
          <t>LFC3713</t>
        </is>
      </c>
      <c r="B497" t="inlineStr">
        <is>
          <t>LFC3713</t>
        </is>
      </c>
      <c r="C497" t="inlineStr">
        <is>
          <t>IGANDO</t>
        </is>
      </c>
      <c r="D497" t="inlineStr"/>
      <c r="E497" t="inlineStr">
        <is>
          <t>Y</t>
        </is>
      </c>
    </row>
    <row r="498">
      <c r="A498" t="inlineStr">
        <is>
          <t>LFC3714</t>
        </is>
      </c>
      <c r="B498" t="inlineStr">
        <is>
          <t>LFC3714</t>
        </is>
      </c>
      <c r="C498" t="inlineStr">
        <is>
          <t>IGANDO</t>
        </is>
      </c>
      <c r="D498" t="inlineStr"/>
      <c r="E498" t="inlineStr">
        <is>
          <t>Y</t>
        </is>
      </c>
    </row>
    <row r="499">
      <c r="A499" t="inlineStr">
        <is>
          <t>LFC3715</t>
        </is>
      </c>
      <c r="B499" t="inlineStr">
        <is>
          <t>LFC3715</t>
        </is>
      </c>
      <c r="C499" t="inlineStr">
        <is>
          <t>IGANDO</t>
        </is>
      </c>
      <c r="D499" t="inlineStr"/>
      <c r="E499" t="inlineStr">
        <is>
          <t>Y</t>
        </is>
      </c>
    </row>
    <row r="500">
      <c r="A500" t="inlineStr">
        <is>
          <t>LFC3716</t>
        </is>
      </c>
      <c r="B500" t="inlineStr">
        <is>
          <t>LFC3716</t>
        </is>
      </c>
      <c r="C500" t="inlineStr">
        <is>
          <t>IGANDO</t>
        </is>
      </c>
      <c r="D500" t="inlineStr"/>
      <c r="E500" t="inlineStr">
        <is>
          <t>Y</t>
        </is>
      </c>
    </row>
    <row r="501">
      <c r="A501" t="inlineStr">
        <is>
          <t>LFC3717</t>
        </is>
      </c>
      <c r="B501" t="inlineStr">
        <is>
          <t>LFC3717</t>
        </is>
      </c>
      <c r="C501" t="inlineStr">
        <is>
          <t>IGANDO</t>
        </is>
      </c>
      <c r="D501" t="inlineStr"/>
      <c r="E501" t="inlineStr">
        <is>
          <t>Y</t>
        </is>
      </c>
    </row>
    <row r="502">
      <c r="A502" t="inlineStr">
        <is>
          <t>LFC3718</t>
        </is>
      </c>
      <c r="B502" t="inlineStr">
        <is>
          <t>LFC3718</t>
        </is>
      </c>
      <c r="C502" t="inlineStr">
        <is>
          <t>IGANDO</t>
        </is>
      </c>
      <c r="D502" t="inlineStr"/>
      <c r="E502" t="inlineStr">
        <is>
          <t>Y</t>
        </is>
      </c>
    </row>
    <row r="503">
      <c r="A503" t="inlineStr">
        <is>
          <t>LFC3801</t>
        </is>
      </c>
      <c r="B503" t="inlineStr">
        <is>
          <t>LFC3801</t>
        </is>
      </c>
      <c r="C503" t="inlineStr">
        <is>
          <t>IYANA ODO</t>
        </is>
      </c>
      <c r="D503" t="inlineStr"/>
      <c r="E503" t="inlineStr">
        <is>
          <t>Y</t>
        </is>
      </c>
    </row>
    <row r="504">
      <c r="A504" t="inlineStr">
        <is>
          <t>LFC3802</t>
        </is>
      </c>
      <c r="B504" t="inlineStr">
        <is>
          <t>LFC3802</t>
        </is>
      </c>
      <c r="C504" t="inlineStr">
        <is>
          <t>IYANA ODO</t>
        </is>
      </c>
      <c r="D504" t="inlineStr"/>
      <c r="E504" t="inlineStr">
        <is>
          <t>Y</t>
        </is>
      </c>
    </row>
    <row r="505">
      <c r="A505" t="inlineStr">
        <is>
          <t>LFC3803</t>
        </is>
      </c>
      <c r="B505" t="inlineStr">
        <is>
          <t>LFC3803</t>
        </is>
      </c>
      <c r="C505" t="inlineStr">
        <is>
          <t>IYANA ODO</t>
        </is>
      </c>
      <c r="D505" t="inlineStr"/>
      <c r="E505" t="inlineStr">
        <is>
          <t>Y</t>
        </is>
      </c>
    </row>
    <row r="506">
      <c r="A506" t="inlineStr">
        <is>
          <t>LFC3804</t>
        </is>
      </c>
      <c r="B506" t="inlineStr">
        <is>
          <t>LFC3804</t>
        </is>
      </c>
      <c r="C506" t="inlineStr">
        <is>
          <t>IYANA ODO</t>
        </is>
      </c>
      <c r="D506" t="inlineStr"/>
      <c r="E506" t="inlineStr">
        <is>
          <t>Y</t>
        </is>
      </c>
    </row>
    <row r="507">
      <c r="A507" t="inlineStr">
        <is>
          <t>LFC3805</t>
        </is>
      </c>
      <c r="B507" t="inlineStr">
        <is>
          <t>LFC3805</t>
        </is>
      </c>
      <c r="C507" t="inlineStr">
        <is>
          <t>IYANA ODO</t>
        </is>
      </c>
      <c r="D507" t="inlineStr"/>
      <c r="E507" t="inlineStr">
        <is>
          <t>Y</t>
        </is>
      </c>
    </row>
    <row r="508">
      <c r="A508" t="inlineStr">
        <is>
          <t>LFC3806</t>
        </is>
      </c>
      <c r="B508" t="inlineStr">
        <is>
          <t>LFC3806</t>
        </is>
      </c>
      <c r="C508" t="inlineStr">
        <is>
          <t>IYANA ODO</t>
        </is>
      </c>
      <c r="D508" t="inlineStr"/>
      <c r="E508" t="inlineStr">
        <is>
          <t>Y</t>
        </is>
      </c>
    </row>
    <row r="509">
      <c r="A509" t="inlineStr">
        <is>
          <t>LFC3807</t>
        </is>
      </c>
      <c r="B509" t="inlineStr">
        <is>
          <t>LFC3807</t>
        </is>
      </c>
      <c r="C509" t="inlineStr">
        <is>
          <t>IYANA ODO</t>
        </is>
      </c>
      <c r="D509" t="inlineStr"/>
      <c r="E509" t="inlineStr">
        <is>
          <t>Y</t>
        </is>
      </c>
    </row>
    <row r="510">
      <c r="A510" t="inlineStr">
        <is>
          <t>LFC3808</t>
        </is>
      </c>
      <c r="B510" t="inlineStr">
        <is>
          <t>LFC3808</t>
        </is>
      </c>
      <c r="C510" t="inlineStr">
        <is>
          <t>IYANA ODO</t>
        </is>
      </c>
      <c r="D510" t="inlineStr"/>
      <c r="E510" t="inlineStr">
        <is>
          <t>Y</t>
        </is>
      </c>
    </row>
    <row r="511">
      <c r="A511" t="inlineStr">
        <is>
          <t>LFC3809</t>
        </is>
      </c>
      <c r="B511" t="inlineStr">
        <is>
          <t>LFC3809</t>
        </is>
      </c>
      <c r="C511" t="inlineStr">
        <is>
          <t>IYANA ODO</t>
        </is>
      </c>
      <c r="D511" t="inlineStr"/>
      <c r="E511" t="inlineStr">
        <is>
          <t>Y</t>
        </is>
      </c>
    </row>
    <row r="512">
      <c r="A512" t="inlineStr">
        <is>
          <t>LFC3810</t>
        </is>
      </c>
      <c r="B512" t="inlineStr">
        <is>
          <t>LFC3810</t>
        </is>
      </c>
      <c r="C512" t="inlineStr">
        <is>
          <t>IYANA ODO</t>
        </is>
      </c>
      <c r="D512" t="inlineStr"/>
      <c r="E512" t="inlineStr">
        <is>
          <t>Y</t>
        </is>
      </c>
    </row>
    <row r="513">
      <c r="A513" t="inlineStr">
        <is>
          <t>LFC3811</t>
        </is>
      </c>
      <c r="B513" t="inlineStr">
        <is>
          <t>LFC3811</t>
        </is>
      </c>
      <c r="C513" t="inlineStr">
        <is>
          <t>IYANA ODO</t>
        </is>
      </c>
      <c r="D513" t="inlineStr"/>
      <c r="E513" t="inlineStr">
        <is>
          <t>Y</t>
        </is>
      </c>
    </row>
    <row r="514">
      <c r="A514" t="inlineStr">
        <is>
          <t>LFC3812</t>
        </is>
      </c>
      <c r="B514" t="inlineStr">
        <is>
          <t>LFC3812</t>
        </is>
      </c>
      <c r="C514" t="inlineStr">
        <is>
          <t>IYANA ODO</t>
        </is>
      </c>
      <c r="D514" t="inlineStr"/>
      <c r="E514" t="inlineStr">
        <is>
          <t>Y</t>
        </is>
      </c>
    </row>
    <row r="515">
      <c r="A515" t="inlineStr">
        <is>
          <t>LFC3813</t>
        </is>
      </c>
      <c r="B515" t="inlineStr">
        <is>
          <t>LFC3813</t>
        </is>
      </c>
      <c r="C515" t="inlineStr">
        <is>
          <t>IYANA ODO</t>
        </is>
      </c>
      <c r="D515" t="inlineStr"/>
      <c r="E515" t="inlineStr">
        <is>
          <t>Y</t>
        </is>
      </c>
    </row>
    <row r="516">
      <c r="A516" t="inlineStr">
        <is>
          <t>LFC3901</t>
        </is>
      </c>
      <c r="B516" t="inlineStr">
        <is>
          <t>LFC3901</t>
        </is>
      </c>
      <c r="C516" t="inlineStr">
        <is>
          <t>ARIDA</t>
        </is>
      </c>
      <c r="D516" t="inlineStr"/>
      <c r="E516" t="inlineStr">
        <is>
          <t>Y</t>
        </is>
      </c>
    </row>
    <row r="517">
      <c r="A517" t="inlineStr">
        <is>
          <t>LFC3902</t>
        </is>
      </c>
      <c r="B517" t="inlineStr">
        <is>
          <t>LFC3902</t>
        </is>
      </c>
      <c r="C517" t="inlineStr">
        <is>
          <t>ARIDA</t>
        </is>
      </c>
      <c r="D517" t="inlineStr"/>
      <c r="E517" t="inlineStr">
        <is>
          <t>Y</t>
        </is>
      </c>
    </row>
    <row r="518">
      <c r="A518" t="inlineStr">
        <is>
          <t>LFC3903</t>
        </is>
      </c>
      <c r="B518" t="inlineStr">
        <is>
          <t>LFC3903</t>
        </is>
      </c>
      <c r="C518" t="inlineStr">
        <is>
          <t>ARIDA</t>
        </is>
      </c>
      <c r="D518" t="inlineStr"/>
      <c r="E518" t="inlineStr">
        <is>
          <t>Y</t>
        </is>
      </c>
    </row>
    <row r="519">
      <c r="A519" t="inlineStr">
        <is>
          <t>LFC3904</t>
        </is>
      </c>
      <c r="B519" t="inlineStr">
        <is>
          <t>LFC3904</t>
        </is>
      </c>
      <c r="C519" t="inlineStr">
        <is>
          <t>ARIDA</t>
        </is>
      </c>
      <c r="D519" t="inlineStr"/>
      <c r="E519" t="inlineStr">
        <is>
          <t>Y</t>
        </is>
      </c>
    </row>
    <row r="520">
      <c r="A520" t="inlineStr">
        <is>
          <t>LFC3905</t>
        </is>
      </c>
      <c r="B520" t="inlineStr">
        <is>
          <t>LFC3905</t>
        </is>
      </c>
      <c r="C520" t="inlineStr">
        <is>
          <t>ARIDA</t>
        </is>
      </c>
      <c r="D520" t="inlineStr"/>
      <c r="E520" t="inlineStr">
        <is>
          <t>Y</t>
        </is>
      </c>
    </row>
    <row r="521">
      <c r="A521" t="inlineStr">
        <is>
          <t>LFC3906</t>
        </is>
      </c>
      <c r="B521" t="inlineStr">
        <is>
          <t>LFC3906</t>
        </is>
      </c>
      <c r="C521" t="inlineStr">
        <is>
          <t>ARIDA</t>
        </is>
      </c>
      <c r="D521" t="inlineStr"/>
      <c r="E521" t="inlineStr">
        <is>
          <t>Y</t>
        </is>
      </c>
    </row>
    <row r="522">
      <c r="A522" t="inlineStr">
        <is>
          <t>LFC3907</t>
        </is>
      </c>
      <c r="B522" t="inlineStr">
        <is>
          <t>LFC3907</t>
        </is>
      </c>
      <c r="C522" t="inlineStr">
        <is>
          <t>ARIDA</t>
        </is>
      </c>
      <c r="D522" t="inlineStr"/>
      <c r="E522" t="inlineStr">
        <is>
          <t>Y</t>
        </is>
      </c>
    </row>
    <row r="523">
      <c r="A523" t="inlineStr">
        <is>
          <t>LFC3908</t>
        </is>
      </c>
      <c r="B523" t="inlineStr">
        <is>
          <t>LFC3908</t>
        </is>
      </c>
      <c r="C523" t="inlineStr">
        <is>
          <t>ARIDA</t>
        </is>
      </c>
      <c r="D523" t="inlineStr"/>
      <c r="E523" t="inlineStr">
        <is>
          <t>Y</t>
        </is>
      </c>
    </row>
    <row r="524">
      <c r="A524" t="inlineStr">
        <is>
          <t>LFC3909</t>
        </is>
      </c>
      <c r="B524" t="inlineStr">
        <is>
          <t>LFC3909</t>
        </is>
      </c>
      <c r="C524" t="inlineStr">
        <is>
          <t>ARIDA</t>
        </is>
      </c>
      <c r="D524" t="inlineStr"/>
      <c r="E524" t="inlineStr">
        <is>
          <t>Y</t>
        </is>
      </c>
    </row>
    <row r="525">
      <c r="A525" t="inlineStr">
        <is>
          <t>LFC3910</t>
        </is>
      </c>
      <c r="B525" t="inlineStr">
        <is>
          <t>LFC3910</t>
        </is>
      </c>
      <c r="C525" t="inlineStr">
        <is>
          <t>ARIDA</t>
        </is>
      </c>
      <c r="D525" t="inlineStr"/>
      <c r="E525" t="inlineStr">
        <is>
          <t>Y</t>
        </is>
      </c>
    </row>
    <row r="526">
      <c r="A526" t="inlineStr">
        <is>
          <t>LFC4001</t>
        </is>
      </c>
      <c r="B526" t="inlineStr">
        <is>
          <t>LFC4001</t>
        </is>
      </c>
      <c r="C526" t="inlineStr">
        <is>
          <t>SHASHA</t>
        </is>
      </c>
      <c r="D526" t="inlineStr"/>
      <c r="E526" t="inlineStr">
        <is>
          <t>Y</t>
        </is>
      </c>
    </row>
    <row r="527">
      <c r="A527" t="inlineStr">
        <is>
          <t>LFC4002</t>
        </is>
      </c>
      <c r="B527" t="inlineStr">
        <is>
          <t>LFC4002</t>
        </is>
      </c>
      <c r="C527" t="inlineStr">
        <is>
          <t>SHASHA</t>
        </is>
      </c>
      <c r="D527" t="inlineStr"/>
      <c r="E527" t="inlineStr">
        <is>
          <t>Y</t>
        </is>
      </c>
    </row>
    <row r="528">
      <c r="A528" t="inlineStr">
        <is>
          <t>LFC4003</t>
        </is>
      </c>
      <c r="B528" t="inlineStr">
        <is>
          <t>LFC4003</t>
        </is>
      </c>
      <c r="C528" t="inlineStr">
        <is>
          <t>SHASHA</t>
        </is>
      </c>
      <c r="D528" t="inlineStr"/>
      <c r="E528" t="inlineStr">
        <is>
          <t>Y</t>
        </is>
      </c>
    </row>
    <row r="529">
      <c r="A529" t="inlineStr">
        <is>
          <t>LFC4004</t>
        </is>
      </c>
      <c r="B529" t="inlineStr">
        <is>
          <t>LFC4004</t>
        </is>
      </c>
      <c r="C529" t="inlineStr">
        <is>
          <t>SHASHA</t>
        </is>
      </c>
      <c r="D529" t="inlineStr"/>
      <c r="E529" t="inlineStr">
        <is>
          <t>Y</t>
        </is>
      </c>
    </row>
    <row r="530">
      <c r="A530" t="inlineStr">
        <is>
          <t>LFC4005</t>
        </is>
      </c>
      <c r="B530" t="inlineStr">
        <is>
          <t>LFC4005</t>
        </is>
      </c>
      <c r="C530" t="inlineStr">
        <is>
          <t>SHASHA</t>
        </is>
      </c>
      <c r="D530" t="inlineStr"/>
      <c r="E530" t="inlineStr">
        <is>
          <t>Y</t>
        </is>
      </c>
    </row>
    <row r="531">
      <c r="A531" t="inlineStr">
        <is>
          <t>LFC4006</t>
        </is>
      </c>
      <c r="B531" t="inlineStr">
        <is>
          <t>LFC4006</t>
        </is>
      </c>
      <c r="C531" t="inlineStr">
        <is>
          <t>SHASHA</t>
        </is>
      </c>
      <c r="D531" t="inlineStr"/>
      <c r="E531" t="inlineStr">
        <is>
          <t>Y</t>
        </is>
      </c>
    </row>
    <row r="532">
      <c r="A532" t="inlineStr">
        <is>
          <t>LFC4007</t>
        </is>
      </c>
      <c r="B532" t="inlineStr">
        <is>
          <t>LFC4007</t>
        </is>
      </c>
      <c r="C532" t="inlineStr">
        <is>
          <t>SHASHA</t>
        </is>
      </c>
      <c r="D532" t="inlineStr"/>
      <c r="E532" t="inlineStr">
        <is>
          <t>Y</t>
        </is>
      </c>
    </row>
    <row r="533">
      <c r="A533" t="inlineStr">
        <is>
          <t>LFC4008</t>
        </is>
      </c>
      <c r="B533" t="inlineStr">
        <is>
          <t>LFC4008</t>
        </is>
      </c>
      <c r="C533" t="inlineStr">
        <is>
          <t>SHASHA</t>
        </is>
      </c>
      <c r="D533" t="inlineStr"/>
      <c r="E533" t="inlineStr">
        <is>
          <t>Y</t>
        </is>
      </c>
    </row>
    <row r="534">
      <c r="A534" t="inlineStr">
        <is>
          <t>LFC4009</t>
        </is>
      </c>
      <c r="B534" t="inlineStr">
        <is>
          <t>LFC4009</t>
        </is>
      </c>
      <c r="C534" t="inlineStr">
        <is>
          <t>SHASHA</t>
        </is>
      </c>
      <c r="D534" t="inlineStr"/>
      <c r="E534" t="inlineStr">
        <is>
          <t>Y</t>
        </is>
      </c>
    </row>
    <row r="535">
      <c r="A535" t="inlineStr">
        <is>
          <t>LFC4010</t>
        </is>
      </c>
      <c r="B535" t="inlineStr">
        <is>
          <t>LFC4010</t>
        </is>
      </c>
      <c r="C535" t="inlineStr">
        <is>
          <t>SHASHA</t>
        </is>
      </c>
      <c r="D535" t="inlineStr"/>
      <c r="E535" t="inlineStr">
        <is>
          <t>Y</t>
        </is>
      </c>
    </row>
    <row r="536">
      <c r="A536" t="inlineStr">
        <is>
          <t>LFC4011</t>
        </is>
      </c>
      <c r="B536" t="inlineStr">
        <is>
          <t>LFC4011</t>
        </is>
      </c>
      <c r="C536" t="inlineStr">
        <is>
          <t>SHASHA</t>
        </is>
      </c>
      <c r="D536" t="inlineStr"/>
      <c r="E536" t="inlineStr">
        <is>
          <t>Y</t>
        </is>
      </c>
    </row>
    <row r="537">
      <c r="A537" t="inlineStr">
        <is>
          <t>LFC4101</t>
        </is>
      </c>
      <c r="B537" t="inlineStr">
        <is>
          <t>LFC4101</t>
        </is>
      </c>
      <c r="C537" t="inlineStr">
        <is>
          <t>EGBEDA</t>
        </is>
      </c>
      <c r="D537" t="inlineStr"/>
      <c r="E537" t="inlineStr">
        <is>
          <t>Y</t>
        </is>
      </c>
    </row>
    <row r="538">
      <c r="A538" t="inlineStr">
        <is>
          <t>LFC4102</t>
        </is>
      </c>
      <c r="B538" t="inlineStr">
        <is>
          <t>LFC4102</t>
        </is>
      </c>
      <c r="C538" t="inlineStr">
        <is>
          <t>EGBEDA</t>
        </is>
      </c>
      <c r="D538" t="inlineStr"/>
      <c r="E538" t="inlineStr">
        <is>
          <t>Y</t>
        </is>
      </c>
    </row>
    <row r="539">
      <c r="A539" t="inlineStr">
        <is>
          <t>LFC4103</t>
        </is>
      </c>
      <c r="B539" t="inlineStr">
        <is>
          <t>LFC4103</t>
        </is>
      </c>
      <c r="C539" t="inlineStr">
        <is>
          <t>EGBEDA</t>
        </is>
      </c>
      <c r="D539" t="inlineStr"/>
      <c r="E539" t="inlineStr">
        <is>
          <t>Y</t>
        </is>
      </c>
    </row>
    <row r="540">
      <c r="A540" t="inlineStr">
        <is>
          <t>LFC4104</t>
        </is>
      </c>
      <c r="B540" t="inlineStr">
        <is>
          <t>LFC4104</t>
        </is>
      </c>
      <c r="C540" t="inlineStr">
        <is>
          <t>EGBEDA</t>
        </is>
      </c>
      <c r="D540" t="inlineStr"/>
      <c r="E540" t="inlineStr">
        <is>
          <t>Y</t>
        </is>
      </c>
    </row>
    <row r="541">
      <c r="A541" t="inlineStr">
        <is>
          <t>LFC4105</t>
        </is>
      </c>
      <c r="B541" t="inlineStr">
        <is>
          <t>LFC4105</t>
        </is>
      </c>
      <c r="C541" t="inlineStr">
        <is>
          <t>EGBEDA</t>
        </is>
      </c>
      <c r="D541" t="inlineStr"/>
      <c r="E541" t="inlineStr">
        <is>
          <t>Y</t>
        </is>
      </c>
    </row>
    <row r="542">
      <c r="A542" t="inlineStr">
        <is>
          <t>LFC4106</t>
        </is>
      </c>
      <c r="B542" t="inlineStr">
        <is>
          <t>LFC4106</t>
        </is>
      </c>
      <c r="C542" t="inlineStr">
        <is>
          <t>EGBEDA</t>
        </is>
      </c>
      <c r="D542" t="inlineStr"/>
      <c r="E542" t="inlineStr">
        <is>
          <t>Y</t>
        </is>
      </c>
    </row>
    <row r="543">
      <c r="A543" t="inlineStr">
        <is>
          <t>LFC4107</t>
        </is>
      </c>
      <c r="B543" t="inlineStr">
        <is>
          <t>LFC4107</t>
        </is>
      </c>
      <c r="C543" t="inlineStr">
        <is>
          <t>EGBEDA</t>
        </is>
      </c>
      <c r="D543" t="inlineStr"/>
      <c r="E543" t="inlineStr">
        <is>
          <t>Y</t>
        </is>
      </c>
    </row>
    <row r="544">
      <c r="A544" t="inlineStr">
        <is>
          <t>LFC4108</t>
        </is>
      </c>
      <c r="B544" t="inlineStr">
        <is>
          <t>LFC4108</t>
        </is>
      </c>
      <c r="C544" t="inlineStr">
        <is>
          <t>EGBEDA</t>
        </is>
      </c>
      <c r="D544" t="inlineStr"/>
      <c r="E544" t="inlineStr">
        <is>
          <t>Y</t>
        </is>
      </c>
    </row>
    <row r="545">
      <c r="A545" t="inlineStr">
        <is>
          <t>LFC4109</t>
        </is>
      </c>
      <c r="B545" t="inlineStr">
        <is>
          <t>LFC4109</t>
        </is>
      </c>
      <c r="C545" t="inlineStr">
        <is>
          <t>EGBEDA</t>
        </is>
      </c>
      <c r="D545" t="inlineStr"/>
      <c r="E545" t="inlineStr">
        <is>
          <t>Y</t>
        </is>
      </c>
    </row>
    <row r="546">
      <c r="A546" t="inlineStr">
        <is>
          <t>LFC4110</t>
        </is>
      </c>
      <c r="B546" t="inlineStr">
        <is>
          <t>LFC4110</t>
        </is>
      </c>
      <c r="C546" t="inlineStr">
        <is>
          <t>EGBEDA</t>
        </is>
      </c>
      <c r="D546" t="inlineStr"/>
      <c r="E546" t="inlineStr">
        <is>
          <t>Y</t>
        </is>
      </c>
    </row>
    <row r="547">
      <c r="A547" t="inlineStr">
        <is>
          <t>LFC4111</t>
        </is>
      </c>
      <c r="B547" t="inlineStr">
        <is>
          <t>LFC4111</t>
        </is>
      </c>
      <c r="C547" t="inlineStr">
        <is>
          <t>EGBEDA</t>
        </is>
      </c>
      <c r="D547" t="inlineStr"/>
      <c r="E547" t="inlineStr">
        <is>
          <t>Y</t>
        </is>
      </c>
    </row>
    <row r="548">
      <c r="A548" t="inlineStr">
        <is>
          <t>LFC4112</t>
        </is>
      </c>
      <c r="B548" t="inlineStr">
        <is>
          <t>LFC4112</t>
        </is>
      </c>
      <c r="C548" t="inlineStr">
        <is>
          <t>EGBEDA</t>
        </is>
      </c>
      <c r="D548" t="inlineStr"/>
      <c r="E548" t="inlineStr">
        <is>
          <t>Y</t>
        </is>
      </c>
    </row>
    <row r="549">
      <c r="A549" t="inlineStr">
        <is>
          <t>LFC4113</t>
        </is>
      </c>
      <c r="B549" t="inlineStr">
        <is>
          <t>LFC4113</t>
        </is>
      </c>
      <c r="C549" t="inlineStr">
        <is>
          <t>EGBEDA</t>
        </is>
      </c>
      <c r="D549" t="inlineStr"/>
      <c r="E549" t="inlineStr">
        <is>
          <t>Y</t>
        </is>
      </c>
    </row>
    <row r="550">
      <c r="A550" t="inlineStr">
        <is>
          <t>LFC4201</t>
        </is>
      </c>
      <c r="B550" t="inlineStr">
        <is>
          <t>LFC4201</t>
        </is>
      </c>
      <c r="C550" t="inlineStr">
        <is>
          <t>OREGUN IKEJA</t>
        </is>
      </c>
      <c r="D550" t="inlineStr"/>
      <c r="E550" t="inlineStr">
        <is>
          <t>Y</t>
        </is>
      </c>
    </row>
    <row r="551">
      <c r="A551" t="inlineStr">
        <is>
          <t>LFC4202</t>
        </is>
      </c>
      <c r="B551" t="inlineStr">
        <is>
          <t>LFC4202</t>
        </is>
      </c>
      <c r="C551" t="inlineStr">
        <is>
          <t>OREGUN IKEJA</t>
        </is>
      </c>
      <c r="D551" t="inlineStr"/>
      <c r="E551" t="inlineStr">
        <is>
          <t>Y</t>
        </is>
      </c>
    </row>
    <row r="552">
      <c r="A552" t="inlineStr">
        <is>
          <t>LFC4203</t>
        </is>
      </c>
      <c r="B552" t="inlineStr">
        <is>
          <t>LFC4203</t>
        </is>
      </c>
      <c r="C552" t="inlineStr">
        <is>
          <t>OREGUN IKEJA</t>
        </is>
      </c>
      <c r="D552" t="inlineStr"/>
      <c r="E552" t="inlineStr">
        <is>
          <t>Y</t>
        </is>
      </c>
    </row>
    <row r="553">
      <c r="A553" t="inlineStr">
        <is>
          <t>LFC4204</t>
        </is>
      </c>
      <c r="B553" t="inlineStr">
        <is>
          <t>LFC4204</t>
        </is>
      </c>
      <c r="C553" t="inlineStr">
        <is>
          <t>OREGUN IKEJA</t>
        </is>
      </c>
      <c r="D553" t="inlineStr"/>
      <c r="E553" t="inlineStr">
        <is>
          <t>Y</t>
        </is>
      </c>
    </row>
    <row r="554">
      <c r="A554" t="inlineStr">
        <is>
          <t>LFC4205</t>
        </is>
      </c>
      <c r="B554" t="inlineStr">
        <is>
          <t>LFC4205</t>
        </is>
      </c>
      <c r="C554" t="inlineStr">
        <is>
          <t>OREGUN IKEJA</t>
        </is>
      </c>
      <c r="D554" t="inlineStr"/>
      <c r="E554" t="inlineStr">
        <is>
          <t>Y</t>
        </is>
      </c>
    </row>
    <row r="555">
      <c r="A555" t="inlineStr">
        <is>
          <t>LFC4206</t>
        </is>
      </c>
      <c r="B555" t="inlineStr">
        <is>
          <t>LFC4206</t>
        </is>
      </c>
      <c r="C555" t="inlineStr">
        <is>
          <t>OREGUN IKEJA</t>
        </is>
      </c>
      <c r="D555" t="inlineStr"/>
      <c r="E555" t="inlineStr">
        <is>
          <t>Y</t>
        </is>
      </c>
    </row>
    <row r="556">
      <c r="A556" t="inlineStr">
        <is>
          <t>LFC4207</t>
        </is>
      </c>
      <c r="B556" t="inlineStr">
        <is>
          <t>LFC4207</t>
        </is>
      </c>
      <c r="C556" t="inlineStr">
        <is>
          <t>OREGUN IKEJA</t>
        </is>
      </c>
      <c r="D556" t="inlineStr"/>
      <c r="E556" t="inlineStr">
        <is>
          <t>Y</t>
        </is>
      </c>
    </row>
    <row r="557">
      <c r="A557" t="inlineStr">
        <is>
          <t>LFC4208</t>
        </is>
      </c>
      <c r="B557" t="inlineStr">
        <is>
          <t>LFC4208</t>
        </is>
      </c>
      <c r="C557" t="inlineStr">
        <is>
          <t>OREGUN IKEJA</t>
        </is>
      </c>
      <c r="D557" t="inlineStr"/>
      <c r="E557" t="inlineStr">
        <is>
          <t>Y</t>
        </is>
      </c>
    </row>
    <row r="558">
      <c r="A558" t="inlineStr">
        <is>
          <t>LFC4209</t>
        </is>
      </c>
      <c r="B558" t="inlineStr">
        <is>
          <t>LFC4209</t>
        </is>
      </c>
      <c r="C558" t="inlineStr">
        <is>
          <t>OREGUN IKEJA</t>
        </is>
      </c>
      <c r="D558" t="inlineStr"/>
      <c r="E558" t="inlineStr">
        <is>
          <t>Y</t>
        </is>
      </c>
    </row>
    <row r="559">
      <c r="A559" t="inlineStr">
        <is>
          <t>LFC4210</t>
        </is>
      </c>
      <c r="B559" t="inlineStr">
        <is>
          <t>LFC4210</t>
        </is>
      </c>
      <c r="C559" t="inlineStr">
        <is>
          <t>OREGUN IKEJA</t>
        </is>
      </c>
      <c r="D559" t="inlineStr"/>
      <c r="E559" t="inlineStr">
        <is>
          <t>Y</t>
        </is>
      </c>
    </row>
    <row r="560">
      <c r="A560" t="inlineStr">
        <is>
          <t>LFC4211</t>
        </is>
      </c>
      <c r="B560" t="inlineStr">
        <is>
          <t>LFC4211</t>
        </is>
      </c>
      <c r="C560" t="inlineStr">
        <is>
          <t>OREGUN IKEJA</t>
        </is>
      </c>
      <c r="D560" t="inlineStr"/>
      <c r="E560" t="inlineStr">
        <is>
          <t>Y</t>
        </is>
      </c>
    </row>
    <row r="561">
      <c r="A561" t="inlineStr">
        <is>
          <t>LFC4301</t>
        </is>
      </c>
      <c r="B561" t="inlineStr">
        <is>
          <t>LFC4301</t>
        </is>
      </c>
      <c r="C561" t="inlineStr">
        <is>
          <t>CEMENT</t>
        </is>
      </c>
      <c r="D561" t="inlineStr"/>
      <c r="E561" t="inlineStr">
        <is>
          <t>Y</t>
        </is>
      </c>
    </row>
    <row r="562">
      <c r="A562" t="inlineStr">
        <is>
          <t>LFC4302</t>
        </is>
      </c>
      <c r="B562" t="inlineStr">
        <is>
          <t>LFC4302</t>
        </is>
      </c>
      <c r="C562" t="inlineStr">
        <is>
          <t>CEMENT</t>
        </is>
      </c>
      <c r="D562" t="inlineStr"/>
      <c r="E562" t="inlineStr">
        <is>
          <t>Y</t>
        </is>
      </c>
    </row>
    <row r="563">
      <c r="A563" t="inlineStr">
        <is>
          <t>LFC4303</t>
        </is>
      </c>
      <c r="B563" t="inlineStr">
        <is>
          <t>LFC4303</t>
        </is>
      </c>
      <c r="C563" t="inlineStr">
        <is>
          <t>CEMENT</t>
        </is>
      </c>
      <c r="D563" t="inlineStr"/>
      <c r="E563" t="inlineStr">
        <is>
          <t>Y</t>
        </is>
      </c>
    </row>
    <row r="564">
      <c r="A564" t="inlineStr">
        <is>
          <t>LFC4304</t>
        </is>
      </c>
      <c r="B564" t="inlineStr">
        <is>
          <t>LFC4304</t>
        </is>
      </c>
      <c r="C564" t="inlineStr">
        <is>
          <t>CEMENT</t>
        </is>
      </c>
      <c r="D564" t="inlineStr"/>
      <c r="E564" t="inlineStr">
        <is>
          <t>Y</t>
        </is>
      </c>
    </row>
    <row r="565">
      <c r="A565" t="inlineStr">
        <is>
          <t>LFC4305</t>
        </is>
      </c>
      <c r="B565" t="inlineStr">
        <is>
          <t>LFC4305</t>
        </is>
      </c>
      <c r="C565" t="inlineStr">
        <is>
          <t>CEMENT</t>
        </is>
      </c>
      <c r="D565" t="inlineStr"/>
      <c r="E565" t="inlineStr">
        <is>
          <t>Y</t>
        </is>
      </c>
    </row>
    <row r="566">
      <c r="A566" t="inlineStr">
        <is>
          <t>LFC4306</t>
        </is>
      </c>
      <c r="B566" t="inlineStr">
        <is>
          <t>LFC4306</t>
        </is>
      </c>
      <c r="C566" t="inlineStr">
        <is>
          <t>CEMENT</t>
        </is>
      </c>
      <c r="D566" t="inlineStr"/>
      <c r="E566" t="inlineStr">
        <is>
          <t>Y</t>
        </is>
      </c>
    </row>
    <row r="567">
      <c r="A567" t="inlineStr">
        <is>
          <t>LFC4307</t>
        </is>
      </c>
      <c r="B567" t="inlineStr">
        <is>
          <t>LFC4307</t>
        </is>
      </c>
      <c r="C567" t="inlineStr">
        <is>
          <t>CEMENT</t>
        </is>
      </c>
      <c r="D567" t="inlineStr"/>
      <c r="E567" t="inlineStr">
        <is>
          <t>Y</t>
        </is>
      </c>
    </row>
    <row r="568">
      <c r="A568" t="inlineStr">
        <is>
          <t>LFC4401</t>
        </is>
      </c>
      <c r="B568" t="inlineStr">
        <is>
          <t>LFC4401</t>
        </is>
      </c>
      <c r="C568" t="inlineStr">
        <is>
          <t>OJODU BERGER 1</t>
        </is>
      </c>
      <c r="D568" t="inlineStr"/>
      <c r="E568" t="inlineStr">
        <is>
          <t>Y</t>
        </is>
      </c>
    </row>
    <row r="569">
      <c r="A569" t="inlineStr">
        <is>
          <t>LFC4402</t>
        </is>
      </c>
      <c r="B569" t="inlineStr">
        <is>
          <t>LFC4402</t>
        </is>
      </c>
      <c r="C569" t="inlineStr">
        <is>
          <t>OJODU BERGER 1</t>
        </is>
      </c>
      <c r="D569" t="inlineStr"/>
      <c r="E569" t="inlineStr">
        <is>
          <t>Y</t>
        </is>
      </c>
    </row>
    <row r="570">
      <c r="A570" t="inlineStr">
        <is>
          <t>LFC4403</t>
        </is>
      </c>
      <c r="B570" t="inlineStr">
        <is>
          <t>LFC4403</t>
        </is>
      </c>
      <c r="C570" t="inlineStr">
        <is>
          <t>OJODU BERGER 1</t>
        </is>
      </c>
      <c r="D570" t="inlineStr"/>
      <c r="E570" t="inlineStr">
        <is>
          <t>Y</t>
        </is>
      </c>
    </row>
    <row r="571">
      <c r="A571" t="inlineStr">
        <is>
          <t>LFC4404</t>
        </is>
      </c>
      <c r="B571" t="inlineStr">
        <is>
          <t>LFC4404</t>
        </is>
      </c>
      <c r="C571" t="inlineStr">
        <is>
          <t>OJODU BERGER 1</t>
        </is>
      </c>
      <c r="D571" t="inlineStr"/>
      <c r="E571" t="inlineStr">
        <is>
          <t>Y</t>
        </is>
      </c>
    </row>
    <row r="572">
      <c r="A572" t="inlineStr">
        <is>
          <t>LFC4405</t>
        </is>
      </c>
      <c r="B572" t="inlineStr">
        <is>
          <t>LFC4405</t>
        </is>
      </c>
      <c r="C572" t="inlineStr">
        <is>
          <t>OJODU BERGER 1</t>
        </is>
      </c>
      <c r="D572" t="inlineStr"/>
      <c r="E572" t="inlineStr">
        <is>
          <t>Y</t>
        </is>
      </c>
    </row>
    <row r="573">
      <c r="A573" t="inlineStr">
        <is>
          <t>LFC4406</t>
        </is>
      </c>
      <c r="B573" t="inlineStr">
        <is>
          <t>LFC4406</t>
        </is>
      </c>
      <c r="C573" t="inlineStr">
        <is>
          <t>OJODU BERGER 1</t>
        </is>
      </c>
      <c r="D573" t="inlineStr"/>
      <c r="E573" t="inlineStr">
        <is>
          <t>Y</t>
        </is>
      </c>
    </row>
    <row r="574">
      <c r="A574" t="inlineStr">
        <is>
          <t>LFC4407</t>
        </is>
      </c>
      <c r="B574" t="inlineStr">
        <is>
          <t>LFC4407</t>
        </is>
      </c>
      <c r="C574" t="inlineStr">
        <is>
          <t>OJODU BERGER 1</t>
        </is>
      </c>
      <c r="D574" t="inlineStr"/>
      <c r="E574" t="inlineStr">
        <is>
          <t>Y</t>
        </is>
      </c>
    </row>
    <row r="575">
      <c r="A575" t="inlineStr">
        <is>
          <t>LFC4408</t>
        </is>
      </c>
      <c r="B575" t="inlineStr">
        <is>
          <t>LFC4408</t>
        </is>
      </c>
      <c r="C575" t="inlineStr">
        <is>
          <t>OJODU BERGER 1</t>
        </is>
      </c>
      <c r="D575" t="inlineStr"/>
      <c r="E575" t="inlineStr">
        <is>
          <t>Y</t>
        </is>
      </c>
    </row>
    <row r="576">
      <c r="A576" t="inlineStr">
        <is>
          <t>LFC4501</t>
        </is>
      </c>
      <c r="B576" t="inlineStr">
        <is>
          <t>LFC4501</t>
        </is>
      </c>
      <c r="C576" t="inlineStr">
        <is>
          <t>IFAKO</t>
        </is>
      </c>
      <c r="D576" t="inlineStr"/>
      <c r="E576" t="inlineStr">
        <is>
          <t>Y</t>
        </is>
      </c>
    </row>
    <row r="577">
      <c r="A577" t="inlineStr">
        <is>
          <t>LFC4502</t>
        </is>
      </c>
      <c r="B577" t="inlineStr">
        <is>
          <t>LFC4502</t>
        </is>
      </c>
      <c r="C577" t="inlineStr">
        <is>
          <t>IFAKO</t>
        </is>
      </c>
      <c r="D577" t="inlineStr"/>
      <c r="E577" t="inlineStr">
        <is>
          <t>Y</t>
        </is>
      </c>
    </row>
    <row r="578">
      <c r="A578" t="inlineStr">
        <is>
          <t>LFC4503</t>
        </is>
      </c>
      <c r="B578" t="inlineStr">
        <is>
          <t>LFC4503</t>
        </is>
      </c>
      <c r="C578" t="inlineStr">
        <is>
          <t>IFAKO</t>
        </is>
      </c>
      <c r="D578" t="inlineStr"/>
      <c r="E578" t="inlineStr">
        <is>
          <t>Y</t>
        </is>
      </c>
    </row>
    <row r="579">
      <c r="A579" t="inlineStr">
        <is>
          <t>LFC4504</t>
        </is>
      </c>
      <c r="B579" t="inlineStr">
        <is>
          <t>LFC4504</t>
        </is>
      </c>
      <c r="C579" t="inlineStr">
        <is>
          <t>IFAKO</t>
        </is>
      </c>
      <c r="D579" t="inlineStr"/>
      <c r="E579" t="inlineStr">
        <is>
          <t>Y</t>
        </is>
      </c>
    </row>
    <row r="580">
      <c r="A580" t="inlineStr">
        <is>
          <t>LFC4505</t>
        </is>
      </c>
      <c r="B580" t="inlineStr">
        <is>
          <t>LFC4505</t>
        </is>
      </c>
      <c r="C580" t="inlineStr">
        <is>
          <t>IFAKO</t>
        </is>
      </c>
      <c r="D580" t="inlineStr"/>
      <c r="E580" t="inlineStr">
        <is>
          <t>Y</t>
        </is>
      </c>
    </row>
    <row r="581">
      <c r="A581" t="inlineStr">
        <is>
          <t>LFC4506</t>
        </is>
      </c>
      <c r="B581" t="inlineStr">
        <is>
          <t>LFC4506</t>
        </is>
      </c>
      <c r="C581" t="inlineStr">
        <is>
          <t>IFAKO</t>
        </is>
      </c>
      <c r="D581" t="inlineStr"/>
      <c r="E581" t="inlineStr">
        <is>
          <t>Y</t>
        </is>
      </c>
    </row>
    <row r="582">
      <c r="A582" t="inlineStr">
        <is>
          <t>LFC4507</t>
        </is>
      </c>
      <c r="B582" t="inlineStr">
        <is>
          <t>LFC4507</t>
        </is>
      </c>
      <c r="C582" t="inlineStr">
        <is>
          <t>IFAKO</t>
        </is>
      </c>
      <c r="D582" t="inlineStr"/>
      <c r="E582" t="inlineStr">
        <is>
          <t>Y</t>
        </is>
      </c>
    </row>
    <row r="583">
      <c r="A583" t="inlineStr">
        <is>
          <t>LFC4508</t>
        </is>
      </c>
      <c r="B583" t="inlineStr">
        <is>
          <t>LFC4508</t>
        </is>
      </c>
      <c r="C583" t="inlineStr">
        <is>
          <t>IFAKO</t>
        </is>
      </c>
      <c r="D583" t="inlineStr"/>
      <c r="E583" t="inlineStr">
        <is>
          <t>Y</t>
        </is>
      </c>
    </row>
    <row r="584">
      <c r="A584" t="inlineStr">
        <is>
          <t>LFC4509</t>
        </is>
      </c>
      <c r="B584" t="inlineStr">
        <is>
          <t>LFC4509</t>
        </is>
      </c>
      <c r="C584" t="inlineStr">
        <is>
          <t>IFAKO</t>
        </is>
      </c>
      <c r="D584" t="inlineStr"/>
      <c r="E584" t="inlineStr">
        <is>
          <t>Y</t>
        </is>
      </c>
    </row>
    <row r="585">
      <c r="A585" t="inlineStr">
        <is>
          <t>LFC4510</t>
        </is>
      </c>
      <c r="B585" t="inlineStr">
        <is>
          <t>LFC4510</t>
        </is>
      </c>
      <c r="C585" t="inlineStr">
        <is>
          <t>IFAKO</t>
        </is>
      </c>
      <c r="D585" t="inlineStr"/>
      <c r="E585" t="inlineStr">
        <is>
          <t>Y</t>
        </is>
      </c>
    </row>
    <row r="586">
      <c r="A586" t="inlineStr">
        <is>
          <t>LFC4511</t>
        </is>
      </c>
      <c r="B586" t="inlineStr">
        <is>
          <t>LFC4511</t>
        </is>
      </c>
      <c r="C586" t="inlineStr">
        <is>
          <t>IFAKO</t>
        </is>
      </c>
      <c r="D586" t="inlineStr"/>
      <c r="E586" t="inlineStr">
        <is>
          <t>Y</t>
        </is>
      </c>
    </row>
    <row r="587">
      <c r="A587" t="inlineStr">
        <is>
          <t>LFC4512</t>
        </is>
      </c>
      <c r="B587" t="inlineStr">
        <is>
          <t>LFC4512</t>
        </is>
      </c>
      <c r="C587" t="inlineStr">
        <is>
          <t>IFAKO</t>
        </is>
      </c>
      <c r="D587" t="inlineStr"/>
      <c r="E587" t="inlineStr">
        <is>
          <t>Y</t>
        </is>
      </c>
    </row>
    <row r="588">
      <c r="A588" t="inlineStr">
        <is>
          <t>LFC4601</t>
        </is>
      </c>
      <c r="B588" t="inlineStr">
        <is>
          <t>LFC4601</t>
        </is>
      </c>
      <c r="C588" t="inlineStr">
        <is>
          <t>ISHERI OPIC</t>
        </is>
      </c>
      <c r="D588" t="inlineStr"/>
      <c r="E588" t="inlineStr">
        <is>
          <t>Y</t>
        </is>
      </c>
    </row>
    <row r="589">
      <c r="A589" t="inlineStr">
        <is>
          <t>LFC4602</t>
        </is>
      </c>
      <c r="B589" t="inlineStr">
        <is>
          <t>LFC4602</t>
        </is>
      </c>
      <c r="C589" t="inlineStr">
        <is>
          <t>ISHERI OPIC</t>
        </is>
      </c>
      <c r="D589" t="inlineStr"/>
      <c r="E589" t="inlineStr">
        <is>
          <t>Y</t>
        </is>
      </c>
    </row>
    <row r="590">
      <c r="A590" t="inlineStr">
        <is>
          <t>LFC4603</t>
        </is>
      </c>
      <c r="B590" t="inlineStr">
        <is>
          <t>LFC4603</t>
        </is>
      </c>
      <c r="C590" t="inlineStr">
        <is>
          <t>ISHERI OPIC</t>
        </is>
      </c>
      <c r="D590" t="inlineStr"/>
      <c r="E590" t="inlineStr">
        <is>
          <t>Y</t>
        </is>
      </c>
    </row>
    <row r="591">
      <c r="A591" t="inlineStr">
        <is>
          <t>LFC4604</t>
        </is>
      </c>
      <c r="B591" t="inlineStr">
        <is>
          <t>LFC4604</t>
        </is>
      </c>
      <c r="C591" t="inlineStr">
        <is>
          <t>ISHERI OPIC</t>
        </is>
      </c>
      <c r="D591" t="inlineStr"/>
      <c r="E591" t="inlineStr">
        <is>
          <t>Y</t>
        </is>
      </c>
    </row>
    <row r="592">
      <c r="A592" t="inlineStr">
        <is>
          <t>LFC4605</t>
        </is>
      </c>
      <c r="B592" t="inlineStr">
        <is>
          <t>LFC4605</t>
        </is>
      </c>
      <c r="C592" t="inlineStr">
        <is>
          <t>ISHERI OPIC</t>
        </is>
      </c>
      <c r="D592" t="inlineStr"/>
      <c r="E592" t="inlineStr">
        <is>
          <t>Y</t>
        </is>
      </c>
    </row>
    <row r="593">
      <c r="A593" t="inlineStr">
        <is>
          <t>LFC4606</t>
        </is>
      </c>
      <c r="B593" t="inlineStr">
        <is>
          <t>LFC4606</t>
        </is>
      </c>
      <c r="C593" t="inlineStr">
        <is>
          <t>ISHERI OPIC</t>
        </is>
      </c>
      <c r="D593" t="inlineStr"/>
      <c r="E593" t="inlineStr">
        <is>
          <t>Y</t>
        </is>
      </c>
    </row>
    <row r="594">
      <c r="A594" t="inlineStr">
        <is>
          <t>LFC4701</t>
        </is>
      </c>
      <c r="B594" t="inlineStr">
        <is>
          <t>LFC4701</t>
        </is>
      </c>
      <c r="C594" t="inlineStr">
        <is>
          <t>OJODU BERGER 2</t>
        </is>
      </c>
      <c r="D594" t="inlineStr"/>
      <c r="E594" t="inlineStr">
        <is>
          <t>Y</t>
        </is>
      </c>
    </row>
    <row r="595">
      <c r="A595" t="inlineStr">
        <is>
          <t>LFC4702</t>
        </is>
      </c>
      <c r="B595" t="inlineStr">
        <is>
          <t>LFC4702</t>
        </is>
      </c>
      <c r="C595" t="inlineStr">
        <is>
          <t>OJODU BERGER 2</t>
        </is>
      </c>
      <c r="D595" t="inlineStr"/>
      <c r="E595" t="inlineStr">
        <is>
          <t>Y</t>
        </is>
      </c>
    </row>
    <row r="596">
      <c r="A596" t="inlineStr">
        <is>
          <t>LFC4703</t>
        </is>
      </c>
      <c r="B596" t="inlineStr">
        <is>
          <t>LFC4703</t>
        </is>
      </c>
      <c r="C596" t="inlineStr">
        <is>
          <t>OJODU BERGER 2</t>
        </is>
      </c>
      <c r="D596" t="inlineStr"/>
      <c r="E596" t="inlineStr">
        <is>
          <t>Y</t>
        </is>
      </c>
    </row>
    <row r="597">
      <c r="A597" t="inlineStr">
        <is>
          <t>LFC4704</t>
        </is>
      </c>
      <c r="B597" t="inlineStr">
        <is>
          <t>LFC4704</t>
        </is>
      </c>
      <c r="C597" t="inlineStr">
        <is>
          <t>OJODU BERGER 2</t>
        </is>
      </c>
      <c r="D597" t="inlineStr"/>
      <c r="E597" t="inlineStr">
        <is>
          <t>Y</t>
        </is>
      </c>
    </row>
    <row r="598">
      <c r="A598" t="inlineStr">
        <is>
          <t>LFC4801</t>
        </is>
      </c>
      <c r="B598" t="inlineStr">
        <is>
          <t>LFC4801</t>
        </is>
      </c>
      <c r="C598" t="inlineStr">
        <is>
          <t>IKOSI KETU</t>
        </is>
      </c>
      <c r="D598" t="inlineStr"/>
      <c r="E598" t="inlineStr">
        <is>
          <t>Y</t>
        </is>
      </c>
    </row>
    <row r="599">
      <c r="A599" t="inlineStr">
        <is>
          <t>LFC4802</t>
        </is>
      </c>
      <c r="B599" t="inlineStr">
        <is>
          <t>LFC4802</t>
        </is>
      </c>
      <c r="C599" t="inlineStr">
        <is>
          <t>IKOSI KETU</t>
        </is>
      </c>
      <c r="D599" t="inlineStr"/>
      <c r="E599" t="inlineStr">
        <is>
          <t>Y</t>
        </is>
      </c>
    </row>
    <row r="600">
      <c r="A600" t="inlineStr">
        <is>
          <t>LFC4803</t>
        </is>
      </c>
      <c r="B600" t="inlineStr">
        <is>
          <t>LFC4803</t>
        </is>
      </c>
      <c r="C600" t="inlineStr">
        <is>
          <t>IKOSI KETU</t>
        </is>
      </c>
      <c r="D600" t="inlineStr"/>
      <c r="E600" t="inlineStr">
        <is>
          <t>Y</t>
        </is>
      </c>
    </row>
    <row r="601">
      <c r="A601" t="inlineStr">
        <is>
          <t>LFC4804</t>
        </is>
      </c>
      <c r="B601" t="inlineStr">
        <is>
          <t>LFC4804</t>
        </is>
      </c>
      <c r="C601" t="inlineStr">
        <is>
          <t>IKOSI KETU</t>
        </is>
      </c>
      <c r="D601" t="inlineStr"/>
      <c r="E601" t="inlineStr">
        <is>
          <t>Y</t>
        </is>
      </c>
    </row>
    <row r="602">
      <c r="A602" t="inlineStr">
        <is>
          <t>LFC4805</t>
        </is>
      </c>
      <c r="B602" t="inlineStr">
        <is>
          <t>LFC4805</t>
        </is>
      </c>
      <c r="C602" t="inlineStr">
        <is>
          <t>IKOSI KETU</t>
        </is>
      </c>
      <c r="D602" t="inlineStr"/>
      <c r="E602" t="inlineStr">
        <is>
          <t>Y</t>
        </is>
      </c>
    </row>
    <row r="603">
      <c r="A603" t="inlineStr">
        <is>
          <t>LFC4806</t>
        </is>
      </c>
      <c r="B603" t="inlineStr">
        <is>
          <t>LFC4806</t>
        </is>
      </c>
      <c r="C603" t="inlineStr">
        <is>
          <t>IKOSI KETU</t>
        </is>
      </c>
      <c r="D603" t="inlineStr"/>
      <c r="E603" t="inlineStr">
        <is>
          <t>Y</t>
        </is>
      </c>
    </row>
    <row r="604">
      <c r="A604" t="inlineStr">
        <is>
          <t>LFC4807</t>
        </is>
      </c>
      <c r="B604" t="inlineStr">
        <is>
          <t>LFC4807</t>
        </is>
      </c>
      <c r="C604" t="inlineStr">
        <is>
          <t>IKOSI KETU</t>
        </is>
      </c>
      <c r="D604" t="inlineStr"/>
      <c r="E604" t="inlineStr">
        <is>
          <t>Y</t>
        </is>
      </c>
    </row>
    <row r="605">
      <c r="A605" t="inlineStr">
        <is>
          <t>LFC4808</t>
        </is>
      </c>
      <c r="B605" t="inlineStr">
        <is>
          <t>LFC4808</t>
        </is>
      </c>
      <c r="C605" t="inlineStr">
        <is>
          <t>IKOSI KETU</t>
        </is>
      </c>
      <c r="D605" t="inlineStr"/>
      <c r="E605" t="inlineStr">
        <is>
          <t>Y</t>
        </is>
      </c>
    </row>
    <row r="606">
      <c r="A606" t="inlineStr">
        <is>
          <t>LFC4809</t>
        </is>
      </c>
      <c r="B606" t="inlineStr">
        <is>
          <t>LFC4809</t>
        </is>
      </c>
      <c r="C606" t="inlineStr">
        <is>
          <t>IKOSI KETU</t>
        </is>
      </c>
      <c r="D606" t="inlineStr"/>
      <c r="E606" t="inlineStr">
        <is>
          <t>Y</t>
        </is>
      </c>
    </row>
    <row r="607">
      <c r="A607" t="inlineStr">
        <is>
          <t>LFC4901</t>
        </is>
      </c>
      <c r="B607" t="inlineStr">
        <is>
          <t>LFC4901</t>
        </is>
      </c>
      <c r="C607" t="inlineStr">
        <is>
          <t>MAGODO GRA</t>
        </is>
      </c>
      <c r="D607" t="inlineStr"/>
      <c r="E607" t="inlineStr">
        <is>
          <t>Y</t>
        </is>
      </c>
    </row>
    <row r="608">
      <c r="A608" t="inlineStr">
        <is>
          <t>LFC4902</t>
        </is>
      </c>
      <c r="B608" t="inlineStr">
        <is>
          <t>LFC4902</t>
        </is>
      </c>
      <c r="C608" t="inlineStr">
        <is>
          <t>MAGODO GRA</t>
        </is>
      </c>
      <c r="D608" t="inlineStr"/>
      <c r="E608" t="inlineStr">
        <is>
          <t>Y</t>
        </is>
      </c>
    </row>
    <row r="609">
      <c r="A609" t="inlineStr">
        <is>
          <t>LFC4903</t>
        </is>
      </c>
      <c r="B609" t="inlineStr">
        <is>
          <t>LFC4903</t>
        </is>
      </c>
      <c r="C609" t="inlineStr">
        <is>
          <t>MAGODO GRA</t>
        </is>
      </c>
      <c r="D609" t="inlineStr"/>
      <c r="E609" t="inlineStr">
        <is>
          <t>Y</t>
        </is>
      </c>
    </row>
    <row r="610">
      <c r="A610" t="inlineStr">
        <is>
          <t>LFC4904</t>
        </is>
      </c>
      <c r="B610" t="inlineStr">
        <is>
          <t>LFC4904</t>
        </is>
      </c>
      <c r="C610" t="inlineStr">
        <is>
          <t>MAGODO GRA</t>
        </is>
      </c>
      <c r="D610" t="inlineStr"/>
      <c r="E610" t="inlineStr">
        <is>
          <t>Y</t>
        </is>
      </c>
    </row>
    <row r="611">
      <c r="A611" t="inlineStr">
        <is>
          <t>LFC4905</t>
        </is>
      </c>
      <c r="B611" t="inlineStr">
        <is>
          <t>LFC4905</t>
        </is>
      </c>
      <c r="C611" t="inlineStr">
        <is>
          <t>MAGODO GRA</t>
        </is>
      </c>
      <c r="D611" t="inlineStr"/>
      <c r="E611" t="inlineStr">
        <is>
          <t>Y</t>
        </is>
      </c>
    </row>
    <row r="612">
      <c r="A612" t="inlineStr">
        <is>
          <t>LFC4906</t>
        </is>
      </c>
      <c r="B612" t="inlineStr">
        <is>
          <t>LFC4906</t>
        </is>
      </c>
      <c r="C612" t="inlineStr">
        <is>
          <t>MAGODO GRA</t>
        </is>
      </c>
      <c r="D612" t="inlineStr"/>
      <c r="E612" t="inlineStr">
        <is>
          <t>Y</t>
        </is>
      </c>
    </row>
    <row r="613">
      <c r="A613" t="inlineStr">
        <is>
          <t>LFC4907</t>
        </is>
      </c>
      <c r="B613" t="inlineStr">
        <is>
          <t>LFC4907</t>
        </is>
      </c>
      <c r="C613" t="inlineStr">
        <is>
          <t>MAGODO GRA</t>
        </is>
      </c>
      <c r="D613" t="inlineStr"/>
      <c r="E613" t="inlineStr">
        <is>
          <t>Y</t>
        </is>
      </c>
    </row>
    <row r="614">
      <c r="A614" t="inlineStr">
        <is>
          <t>LFC4908</t>
        </is>
      </c>
      <c r="B614" t="inlineStr">
        <is>
          <t>LFC4908</t>
        </is>
      </c>
      <c r="C614" t="inlineStr">
        <is>
          <t>MAGODO GRA</t>
        </is>
      </c>
      <c r="D614" t="inlineStr"/>
      <c r="E614" t="inlineStr">
        <is>
          <t>Y</t>
        </is>
      </c>
    </row>
    <row r="615">
      <c r="A615" t="inlineStr">
        <is>
          <t>LFC4909</t>
        </is>
      </c>
      <c r="B615" t="inlineStr">
        <is>
          <t>LFC4909</t>
        </is>
      </c>
      <c r="C615" t="inlineStr">
        <is>
          <t>MAGODO GRA</t>
        </is>
      </c>
      <c r="D615" t="inlineStr"/>
      <c r="E615" t="inlineStr">
        <is>
          <t>Y</t>
        </is>
      </c>
    </row>
    <row r="616">
      <c r="A616" t="inlineStr">
        <is>
          <t>LFC4910</t>
        </is>
      </c>
      <c r="B616" t="inlineStr">
        <is>
          <t>LFC4910</t>
        </is>
      </c>
      <c r="C616" t="inlineStr">
        <is>
          <t>MAGODO GRA</t>
        </is>
      </c>
      <c r="D616" t="inlineStr"/>
      <c r="E616" t="inlineStr">
        <is>
          <t>Y</t>
        </is>
      </c>
    </row>
    <row r="617">
      <c r="A617" t="inlineStr">
        <is>
          <t>LFC5001</t>
        </is>
      </c>
      <c r="B617" t="inlineStr">
        <is>
          <t>LFC5001</t>
        </is>
      </c>
      <c r="C617" t="inlineStr">
        <is>
          <t>OKOKOMAIKO</t>
        </is>
      </c>
      <c r="D617" t="inlineStr"/>
      <c r="E617" t="inlineStr">
        <is>
          <t>Y</t>
        </is>
      </c>
    </row>
    <row r="618">
      <c r="A618" t="inlineStr">
        <is>
          <t>LFC5002</t>
        </is>
      </c>
      <c r="B618" t="inlineStr">
        <is>
          <t>LFC5002</t>
        </is>
      </c>
      <c r="C618" t="inlineStr">
        <is>
          <t>OKOKOMAIKO</t>
        </is>
      </c>
      <c r="D618" t="inlineStr"/>
      <c r="E618" t="inlineStr">
        <is>
          <t>Y</t>
        </is>
      </c>
    </row>
    <row r="619">
      <c r="A619" t="inlineStr">
        <is>
          <t>LFC5003</t>
        </is>
      </c>
      <c r="B619" t="inlineStr">
        <is>
          <t>LFC5003</t>
        </is>
      </c>
      <c r="C619" t="inlineStr">
        <is>
          <t>OKOKOMAIKO</t>
        </is>
      </c>
      <c r="D619" t="inlineStr"/>
      <c r="E619" t="inlineStr">
        <is>
          <t>Y</t>
        </is>
      </c>
    </row>
    <row r="620">
      <c r="A620" t="inlineStr">
        <is>
          <t>LFC5004</t>
        </is>
      </c>
      <c r="B620" t="inlineStr">
        <is>
          <t>LFC5004</t>
        </is>
      </c>
      <c r="C620" t="inlineStr">
        <is>
          <t>OKOKOMAIKO</t>
        </is>
      </c>
      <c r="D620" t="inlineStr"/>
      <c r="E620" t="inlineStr">
        <is>
          <t>Y</t>
        </is>
      </c>
    </row>
    <row r="621">
      <c r="A621" t="inlineStr">
        <is>
          <t>LFC5005</t>
        </is>
      </c>
      <c r="B621" t="inlineStr">
        <is>
          <t>LFC5005</t>
        </is>
      </c>
      <c r="C621" t="inlineStr">
        <is>
          <t>OKOKOMAIKO</t>
        </is>
      </c>
      <c r="D621" t="inlineStr"/>
      <c r="E621" t="inlineStr">
        <is>
          <t>Y</t>
        </is>
      </c>
    </row>
    <row r="622">
      <c r="A622" t="inlineStr">
        <is>
          <t>LFC5006</t>
        </is>
      </c>
      <c r="B622" t="inlineStr">
        <is>
          <t>LFC5006</t>
        </is>
      </c>
      <c r="C622" t="inlineStr">
        <is>
          <t>OKOKOMAIKO</t>
        </is>
      </c>
      <c r="D622" t="inlineStr"/>
      <c r="E622" t="inlineStr">
        <is>
          <t>Y</t>
        </is>
      </c>
    </row>
    <row r="623">
      <c r="A623" t="inlineStr">
        <is>
          <t>LFC5007</t>
        </is>
      </c>
      <c r="B623" t="inlineStr">
        <is>
          <t>LFC5007</t>
        </is>
      </c>
      <c r="C623" t="inlineStr">
        <is>
          <t>OKOKOMAIKO</t>
        </is>
      </c>
      <c r="D623" t="inlineStr"/>
      <c r="E623" t="inlineStr">
        <is>
          <t>Y</t>
        </is>
      </c>
    </row>
    <row r="624">
      <c r="A624" t="inlineStr">
        <is>
          <t>LFC5008</t>
        </is>
      </c>
      <c r="B624" t="inlineStr">
        <is>
          <t>LFC5008</t>
        </is>
      </c>
      <c r="C624" t="inlineStr">
        <is>
          <t>OKOKOMAIKO</t>
        </is>
      </c>
      <c r="D624" t="inlineStr"/>
      <c r="E624" t="inlineStr">
        <is>
          <t>Y</t>
        </is>
      </c>
    </row>
    <row r="625">
      <c r="A625" t="inlineStr">
        <is>
          <t>LFC5009</t>
        </is>
      </c>
      <c r="B625" t="inlineStr">
        <is>
          <t>LFC5009</t>
        </is>
      </c>
      <c r="C625" t="inlineStr">
        <is>
          <t>OKOKOMAIKO</t>
        </is>
      </c>
      <c r="D625" t="inlineStr"/>
      <c r="E625" t="inlineStr">
        <is>
          <t>Y</t>
        </is>
      </c>
    </row>
    <row r="626">
      <c r="A626" t="inlineStr">
        <is>
          <t>LFC5010</t>
        </is>
      </c>
      <c r="B626" t="inlineStr">
        <is>
          <t>LFC5010</t>
        </is>
      </c>
      <c r="C626" t="inlineStr">
        <is>
          <t>OKOKOMAIKO</t>
        </is>
      </c>
      <c r="D626" t="inlineStr"/>
      <c r="E626" t="inlineStr">
        <is>
          <t>Y</t>
        </is>
      </c>
    </row>
    <row r="627">
      <c r="A627" t="inlineStr">
        <is>
          <t>LFC5011</t>
        </is>
      </c>
      <c r="B627" t="inlineStr">
        <is>
          <t>LFC5011</t>
        </is>
      </c>
      <c r="C627" t="inlineStr">
        <is>
          <t>OKOKOMAIKO</t>
        </is>
      </c>
      <c r="D627" t="inlineStr"/>
      <c r="E627" t="inlineStr">
        <is>
          <t>Y</t>
        </is>
      </c>
    </row>
    <row r="628">
      <c r="A628" t="inlineStr">
        <is>
          <t>LFC5101</t>
        </is>
      </c>
      <c r="B628" t="inlineStr">
        <is>
          <t>LFC5101</t>
        </is>
      </c>
      <c r="C628" t="inlineStr">
        <is>
          <t>AGBARA</t>
        </is>
      </c>
      <c r="D628" t="inlineStr"/>
      <c r="E628" t="inlineStr">
        <is>
          <t>Y</t>
        </is>
      </c>
    </row>
    <row r="629">
      <c r="A629" t="inlineStr">
        <is>
          <t>LFC5102</t>
        </is>
      </c>
      <c r="B629" t="inlineStr">
        <is>
          <t>LFC5102</t>
        </is>
      </c>
      <c r="C629" t="inlineStr">
        <is>
          <t>AGBARA</t>
        </is>
      </c>
      <c r="D629" t="inlineStr"/>
      <c r="E629" t="inlineStr">
        <is>
          <t>Y</t>
        </is>
      </c>
    </row>
    <row r="630">
      <c r="A630" t="inlineStr">
        <is>
          <t>LFC5103</t>
        </is>
      </c>
      <c r="B630" t="inlineStr">
        <is>
          <t>LFC5103</t>
        </is>
      </c>
      <c r="C630" t="inlineStr">
        <is>
          <t>AGBARA</t>
        </is>
      </c>
      <c r="D630" t="inlineStr"/>
      <c r="E630" t="inlineStr">
        <is>
          <t>Y</t>
        </is>
      </c>
    </row>
    <row r="631">
      <c r="A631" t="inlineStr">
        <is>
          <t>LFC5104</t>
        </is>
      </c>
      <c r="B631" t="inlineStr">
        <is>
          <t>LFC5104</t>
        </is>
      </c>
      <c r="C631" t="inlineStr">
        <is>
          <t>AGBARA</t>
        </is>
      </c>
      <c r="D631" t="inlineStr"/>
      <c r="E631" t="inlineStr">
        <is>
          <t>Y</t>
        </is>
      </c>
    </row>
    <row r="632">
      <c r="A632" t="inlineStr">
        <is>
          <t>LFC5105</t>
        </is>
      </c>
      <c r="B632" t="inlineStr">
        <is>
          <t>LFC5105</t>
        </is>
      </c>
      <c r="C632" t="inlineStr">
        <is>
          <t>AGBARA</t>
        </is>
      </c>
      <c r="D632" t="inlineStr"/>
      <c r="E632" t="inlineStr">
        <is>
          <t>Y</t>
        </is>
      </c>
    </row>
    <row r="633">
      <c r="A633" t="inlineStr">
        <is>
          <t>LFC5106</t>
        </is>
      </c>
      <c r="B633" t="inlineStr">
        <is>
          <t>LFC5106</t>
        </is>
      </c>
      <c r="C633" t="inlineStr">
        <is>
          <t>AGBARA</t>
        </is>
      </c>
      <c r="D633" t="inlineStr"/>
      <c r="E633" t="inlineStr">
        <is>
          <t>Y</t>
        </is>
      </c>
    </row>
    <row r="634">
      <c r="A634" t="inlineStr">
        <is>
          <t>LFC5107</t>
        </is>
      </c>
      <c r="B634" t="inlineStr">
        <is>
          <t>LFC5107</t>
        </is>
      </c>
      <c r="C634" t="inlineStr">
        <is>
          <t>AGBARA</t>
        </is>
      </c>
      <c r="D634" t="inlineStr"/>
      <c r="E634" t="inlineStr">
        <is>
          <t>Y</t>
        </is>
      </c>
    </row>
    <row r="635">
      <c r="A635" t="inlineStr">
        <is>
          <t>LFC5111</t>
        </is>
      </c>
      <c r="B635" t="inlineStr">
        <is>
          <t>LFC5111</t>
        </is>
      </c>
      <c r="C635" t="inlineStr">
        <is>
          <t>AGBARA</t>
        </is>
      </c>
      <c r="D635" t="inlineStr"/>
      <c r="E635" t="inlineStr">
        <is>
          <t>Y</t>
        </is>
      </c>
    </row>
    <row r="636">
      <c r="A636" t="inlineStr">
        <is>
          <t>LFC5112</t>
        </is>
      </c>
      <c r="B636" t="inlineStr">
        <is>
          <t>LFC5112</t>
        </is>
      </c>
      <c r="C636" t="inlineStr">
        <is>
          <t>AGBARA</t>
        </is>
      </c>
      <c r="D636" t="inlineStr"/>
      <c r="E636" t="inlineStr">
        <is>
          <t>Y</t>
        </is>
      </c>
    </row>
    <row r="637">
      <c r="A637" t="inlineStr">
        <is>
          <t>LFC5113</t>
        </is>
      </c>
      <c r="B637" t="inlineStr">
        <is>
          <t>LFC5113</t>
        </is>
      </c>
      <c r="C637" t="inlineStr">
        <is>
          <t>AGBARA</t>
        </is>
      </c>
      <c r="D637" t="inlineStr"/>
      <c r="E637" t="inlineStr">
        <is>
          <t>Y</t>
        </is>
      </c>
    </row>
    <row r="638">
      <c r="A638" t="inlineStr">
        <is>
          <t>LFC5201</t>
        </is>
      </c>
      <c r="B638" t="inlineStr">
        <is>
          <t>LFC5201</t>
        </is>
      </c>
      <c r="C638" t="inlineStr">
        <is>
          <t>IDORAWA EDU</t>
        </is>
      </c>
      <c r="D638" t="inlineStr"/>
      <c r="E638" t="inlineStr">
        <is>
          <t>Y</t>
        </is>
      </c>
    </row>
    <row r="639">
      <c r="A639" t="inlineStr">
        <is>
          <t>LFC5202</t>
        </is>
      </c>
      <c r="B639" t="inlineStr">
        <is>
          <t>LFC5202</t>
        </is>
      </c>
      <c r="C639" t="inlineStr">
        <is>
          <t>IDORAWA EDU</t>
        </is>
      </c>
      <c r="D639" t="inlineStr"/>
      <c r="E639" t="inlineStr">
        <is>
          <t>Y</t>
        </is>
      </c>
    </row>
    <row r="640">
      <c r="A640" t="inlineStr">
        <is>
          <t>LFC5203</t>
        </is>
      </c>
      <c r="B640" t="inlineStr">
        <is>
          <t>LFC5203</t>
        </is>
      </c>
      <c r="C640" t="inlineStr">
        <is>
          <t>IDORAWA EDU</t>
        </is>
      </c>
      <c r="D640" t="inlineStr"/>
      <c r="E640" t="inlineStr">
        <is>
          <t>Y</t>
        </is>
      </c>
    </row>
    <row r="641">
      <c r="A641" t="inlineStr">
        <is>
          <t>LFC5204</t>
        </is>
      </c>
      <c r="B641" t="inlineStr">
        <is>
          <t>LFC5204</t>
        </is>
      </c>
      <c r="C641" t="inlineStr">
        <is>
          <t>IDORAWA EDU</t>
        </is>
      </c>
      <c r="D641" t="inlineStr"/>
      <c r="E641" t="inlineStr">
        <is>
          <t>Y</t>
        </is>
      </c>
    </row>
    <row r="642">
      <c r="A642" t="inlineStr">
        <is>
          <t>LFC5205</t>
        </is>
      </c>
      <c r="B642" t="inlineStr">
        <is>
          <t>LFC5205</t>
        </is>
      </c>
      <c r="C642" t="inlineStr">
        <is>
          <t>IDORAWA EDU</t>
        </is>
      </c>
      <c r="D642" t="inlineStr"/>
      <c r="E642" t="inlineStr">
        <is>
          <t>Y</t>
        </is>
      </c>
    </row>
    <row r="643">
      <c r="A643" t="inlineStr">
        <is>
          <t>LFC5206</t>
        </is>
      </c>
      <c r="B643" t="inlineStr">
        <is>
          <t>LFC5206</t>
        </is>
      </c>
      <c r="C643" t="inlineStr">
        <is>
          <t>IDORAWA EDU</t>
        </is>
      </c>
      <c r="D643" t="inlineStr"/>
      <c r="E643" t="inlineStr">
        <is>
          <t>Y</t>
        </is>
      </c>
    </row>
    <row r="644">
      <c r="A644" t="inlineStr">
        <is>
          <t>LFC5207</t>
        </is>
      </c>
      <c r="B644" t="inlineStr">
        <is>
          <t>LFC5207</t>
        </is>
      </c>
      <c r="C644" t="inlineStr">
        <is>
          <t>IDORAWA EDU</t>
        </is>
      </c>
      <c r="D644" t="inlineStr"/>
      <c r="E644" t="inlineStr">
        <is>
          <t>Y</t>
        </is>
      </c>
    </row>
    <row r="645">
      <c r="A645" t="inlineStr">
        <is>
          <t>LFC5208</t>
        </is>
      </c>
      <c r="B645" t="inlineStr">
        <is>
          <t>LFC5208</t>
        </is>
      </c>
      <c r="C645" t="inlineStr">
        <is>
          <t>IDORAWA EDU</t>
        </is>
      </c>
      <c r="D645" t="inlineStr"/>
      <c r="E645" t="inlineStr">
        <is>
          <t>Y</t>
        </is>
      </c>
    </row>
    <row r="646">
      <c r="A646" t="inlineStr">
        <is>
          <t>LFC5209</t>
        </is>
      </c>
      <c r="B646" t="inlineStr">
        <is>
          <t>LFC5209</t>
        </is>
      </c>
      <c r="C646" t="inlineStr">
        <is>
          <t>IDORAWA EDU</t>
        </is>
      </c>
      <c r="D646" t="inlineStr"/>
      <c r="E646" t="inlineStr">
        <is>
          <t>Y</t>
        </is>
      </c>
    </row>
    <row r="647">
      <c r="A647" t="inlineStr">
        <is>
          <t>LFC5210</t>
        </is>
      </c>
      <c r="B647" t="inlineStr">
        <is>
          <t>LFC5210</t>
        </is>
      </c>
      <c r="C647" t="inlineStr">
        <is>
          <t>IDORAWA EDU</t>
        </is>
      </c>
      <c r="D647" t="inlineStr"/>
      <c r="E647" t="inlineStr">
        <is>
          <t>Y</t>
        </is>
      </c>
    </row>
    <row r="648">
      <c r="A648" t="inlineStr">
        <is>
          <t>LFC5211</t>
        </is>
      </c>
      <c r="B648" t="inlineStr">
        <is>
          <t>LFC5211</t>
        </is>
      </c>
      <c r="C648" t="inlineStr">
        <is>
          <t>IDORAWA EDU</t>
        </is>
      </c>
      <c r="D648" t="inlineStr"/>
      <c r="E648" t="inlineStr">
        <is>
          <t>Y</t>
        </is>
      </c>
    </row>
    <row r="649">
      <c r="A649" t="inlineStr">
        <is>
          <t>LFC5301</t>
        </is>
      </c>
      <c r="B649" t="inlineStr">
        <is>
          <t>LFC5301</t>
        </is>
      </c>
      <c r="C649" t="inlineStr">
        <is>
          <t>IJURI</t>
        </is>
      </c>
      <c r="D649" t="inlineStr"/>
      <c r="E649" t="inlineStr">
        <is>
          <t>Y</t>
        </is>
      </c>
    </row>
    <row r="650">
      <c r="A650" t="inlineStr">
        <is>
          <t>LFC5302</t>
        </is>
      </c>
      <c r="B650" t="inlineStr">
        <is>
          <t>LFC5302</t>
        </is>
      </c>
      <c r="C650" t="inlineStr">
        <is>
          <t>IJURI</t>
        </is>
      </c>
      <c r="D650" t="inlineStr"/>
      <c r="E650" t="inlineStr">
        <is>
          <t>Y</t>
        </is>
      </c>
    </row>
    <row r="651">
      <c r="A651" t="inlineStr">
        <is>
          <t>LFC5303</t>
        </is>
      </c>
      <c r="B651" t="inlineStr">
        <is>
          <t>LFC5303</t>
        </is>
      </c>
      <c r="C651" t="inlineStr">
        <is>
          <t>IJURI</t>
        </is>
      </c>
      <c r="D651" t="inlineStr"/>
      <c r="E651" t="inlineStr">
        <is>
          <t>Y</t>
        </is>
      </c>
    </row>
    <row r="652">
      <c r="A652" t="inlineStr">
        <is>
          <t>LFC5304</t>
        </is>
      </c>
      <c r="B652" t="inlineStr">
        <is>
          <t>LFC5304</t>
        </is>
      </c>
      <c r="C652" t="inlineStr">
        <is>
          <t>IJURI</t>
        </is>
      </c>
      <c r="D652" t="inlineStr"/>
      <c r="E652" t="inlineStr">
        <is>
          <t>Y</t>
        </is>
      </c>
    </row>
    <row r="653">
      <c r="A653" t="inlineStr">
        <is>
          <t>LFC5305</t>
        </is>
      </c>
      <c r="B653" t="inlineStr">
        <is>
          <t>LFC5305</t>
        </is>
      </c>
      <c r="C653" t="inlineStr">
        <is>
          <t>IJURI</t>
        </is>
      </c>
      <c r="D653" t="inlineStr"/>
      <c r="E653" t="inlineStr">
        <is>
          <t>Y</t>
        </is>
      </c>
    </row>
    <row r="654">
      <c r="A654" t="inlineStr">
        <is>
          <t>LFC5306</t>
        </is>
      </c>
      <c r="B654" t="inlineStr">
        <is>
          <t>LFC5306</t>
        </is>
      </c>
      <c r="C654" t="inlineStr">
        <is>
          <t>IJURI</t>
        </is>
      </c>
      <c r="D654" t="inlineStr"/>
      <c r="E654" t="inlineStr">
        <is>
          <t>Y</t>
        </is>
      </c>
    </row>
    <row r="655">
      <c r="A655" t="inlineStr">
        <is>
          <t>LFC5307</t>
        </is>
      </c>
      <c r="B655" t="inlineStr">
        <is>
          <t>LFC5307</t>
        </is>
      </c>
      <c r="C655" t="inlineStr">
        <is>
          <t>IJURI</t>
        </is>
      </c>
      <c r="D655" t="inlineStr"/>
      <c r="E655" t="inlineStr">
        <is>
          <t>Y</t>
        </is>
      </c>
    </row>
    <row r="656">
      <c r="A656" t="inlineStr">
        <is>
          <t>LFC5308</t>
        </is>
      </c>
      <c r="B656" t="inlineStr">
        <is>
          <t>LFC5308</t>
        </is>
      </c>
      <c r="C656" t="inlineStr">
        <is>
          <t>IJURI</t>
        </is>
      </c>
      <c r="D656" t="inlineStr"/>
      <c r="E656" t="inlineStr">
        <is>
          <t>Y</t>
        </is>
      </c>
    </row>
    <row r="657">
      <c r="A657" t="inlineStr">
        <is>
          <t>LFC5309</t>
        </is>
      </c>
      <c r="B657" t="inlineStr">
        <is>
          <t>LFC5309</t>
        </is>
      </c>
      <c r="C657" t="inlineStr">
        <is>
          <t>IJURI</t>
        </is>
      </c>
      <c r="D657" t="inlineStr"/>
      <c r="E657" t="inlineStr">
        <is>
          <t>Y</t>
        </is>
      </c>
    </row>
    <row r="658">
      <c r="A658" t="inlineStr">
        <is>
          <t>LFC5310</t>
        </is>
      </c>
      <c r="B658" t="inlineStr">
        <is>
          <t>LFC5310</t>
        </is>
      </c>
      <c r="C658" t="inlineStr">
        <is>
          <t>IJURI</t>
        </is>
      </c>
      <c r="D658" t="inlineStr"/>
      <c r="E658" t="inlineStr">
        <is>
          <t>Y</t>
        </is>
      </c>
    </row>
    <row r="659">
      <c r="A659" t="inlineStr">
        <is>
          <t>LFC5401</t>
        </is>
      </c>
      <c r="B659" t="inlineStr">
        <is>
          <t>LFC5401</t>
        </is>
      </c>
      <c r="C659" t="inlineStr">
        <is>
          <t>BADAGRY</t>
        </is>
      </c>
      <c r="D659" t="inlineStr"/>
      <c r="E659" t="inlineStr">
        <is>
          <t>Y</t>
        </is>
      </c>
    </row>
    <row r="660">
      <c r="A660" t="inlineStr">
        <is>
          <t>LFC5402</t>
        </is>
      </c>
      <c r="B660" t="inlineStr">
        <is>
          <t>LFC5402</t>
        </is>
      </c>
      <c r="C660" t="inlineStr">
        <is>
          <t>BADAGRY</t>
        </is>
      </c>
      <c r="D660" t="inlineStr"/>
      <c r="E660" t="inlineStr">
        <is>
          <t>Y</t>
        </is>
      </c>
    </row>
    <row r="661">
      <c r="A661" t="inlineStr">
        <is>
          <t>LFC5403</t>
        </is>
      </c>
      <c r="B661" t="inlineStr">
        <is>
          <t>LFC5403</t>
        </is>
      </c>
      <c r="C661" t="inlineStr">
        <is>
          <t>BADAGRY</t>
        </is>
      </c>
      <c r="D661" t="inlineStr"/>
      <c r="E661" t="inlineStr">
        <is>
          <t>Y</t>
        </is>
      </c>
    </row>
    <row r="662">
      <c r="A662" t="inlineStr">
        <is>
          <t>LFC5404</t>
        </is>
      </c>
      <c r="B662" t="inlineStr">
        <is>
          <t>LFC5404</t>
        </is>
      </c>
      <c r="C662" t="inlineStr">
        <is>
          <t>BADAGRY</t>
        </is>
      </c>
      <c r="D662" t="inlineStr"/>
      <c r="E662" t="inlineStr">
        <is>
          <t>Y</t>
        </is>
      </c>
    </row>
    <row r="663">
      <c r="A663" t="inlineStr">
        <is>
          <t>LFC5405</t>
        </is>
      </c>
      <c r="B663" t="inlineStr">
        <is>
          <t>LFC5405</t>
        </is>
      </c>
      <c r="C663" t="inlineStr">
        <is>
          <t>BADAGRY</t>
        </is>
      </c>
      <c r="D663" t="inlineStr"/>
      <c r="E663" t="inlineStr">
        <is>
          <t>Y</t>
        </is>
      </c>
    </row>
    <row r="664">
      <c r="A664" t="inlineStr">
        <is>
          <t>LFC5406</t>
        </is>
      </c>
      <c r="B664" t="inlineStr">
        <is>
          <t>LFC5406</t>
        </is>
      </c>
      <c r="C664" t="inlineStr">
        <is>
          <t>BADAGRY</t>
        </is>
      </c>
      <c r="D664" t="inlineStr"/>
      <c r="E664" t="inlineStr">
        <is>
          <t>Y</t>
        </is>
      </c>
    </row>
    <row r="665">
      <c r="A665" t="inlineStr">
        <is>
          <t>LFC5407</t>
        </is>
      </c>
      <c r="B665" t="inlineStr">
        <is>
          <t>LFC5407</t>
        </is>
      </c>
      <c r="C665" t="inlineStr">
        <is>
          <t>BADAGRY</t>
        </is>
      </c>
      <c r="D665" t="inlineStr"/>
      <c r="E665" t="inlineStr">
        <is>
          <t>Y</t>
        </is>
      </c>
    </row>
    <row r="666">
      <c r="A666" t="inlineStr">
        <is>
          <t>LFC5408</t>
        </is>
      </c>
      <c r="B666" t="inlineStr">
        <is>
          <t>LFC5408</t>
        </is>
      </c>
      <c r="C666" t="inlineStr">
        <is>
          <t>BADAGRY</t>
        </is>
      </c>
      <c r="D666" t="inlineStr"/>
      <c r="E666" t="inlineStr">
        <is>
          <t>Y</t>
        </is>
      </c>
    </row>
    <row r="667">
      <c r="A667" t="inlineStr">
        <is>
          <t>LFC5409</t>
        </is>
      </c>
      <c r="B667" t="inlineStr">
        <is>
          <t>LFC5409</t>
        </is>
      </c>
      <c r="C667" t="inlineStr">
        <is>
          <t>BADAGRY</t>
        </is>
      </c>
      <c r="D667" t="inlineStr"/>
      <c r="E667" t="inlineStr">
        <is>
          <t>Y</t>
        </is>
      </c>
    </row>
    <row r="668">
      <c r="A668" t="inlineStr">
        <is>
          <t>LFC5410</t>
        </is>
      </c>
      <c r="B668" t="inlineStr">
        <is>
          <t>LFC5410</t>
        </is>
      </c>
      <c r="C668" t="inlineStr">
        <is>
          <t>BADAGRY</t>
        </is>
      </c>
      <c r="D668" t="inlineStr"/>
      <c r="E668" t="inlineStr">
        <is>
          <t>Y</t>
        </is>
      </c>
    </row>
    <row r="669">
      <c r="A669" t="inlineStr">
        <is>
          <t>LFC5411</t>
        </is>
      </c>
      <c r="B669" t="inlineStr">
        <is>
          <t>LFC5411</t>
        </is>
      </c>
      <c r="C669" t="inlineStr">
        <is>
          <t>BADAGRY</t>
        </is>
      </c>
      <c r="D669" t="inlineStr"/>
      <c r="E669" t="inlineStr">
        <is>
          <t>Y</t>
        </is>
      </c>
    </row>
    <row r="670">
      <c r="A670" t="inlineStr">
        <is>
          <t>LFC5412</t>
        </is>
      </c>
      <c r="B670" t="inlineStr">
        <is>
          <t>LFC5412</t>
        </is>
      </c>
      <c r="C670" t="inlineStr">
        <is>
          <t>BADAGRY</t>
        </is>
      </c>
      <c r="D670" t="inlineStr"/>
      <c r="E670" t="inlineStr">
        <is>
          <t>Y</t>
        </is>
      </c>
    </row>
    <row r="671">
      <c r="A671" t="inlineStr">
        <is>
          <t>LFC5501</t>
        </is>
      </c>
      <c r="B671" t="inlineStr">
        <is>
          <t>LFC5501</t>
        </is>
      </c>
      <c r="C671" t="inlineStr">
        <is>
          <t>IBIYE</t>
        </is>
      </c>
      <c r="D671" t="inlineStr"/>
      <c r="E671" t="inlineStr">
        <is>
          <t>Y</t>
        </is>
      </c>
    </row>
    <row r="672">
      <c r="A672" t="inlineStr">
        <is>
          <t>LFC5502</t>
        </is>
      </c>
      <c r="B672" t="inlineStr">
        <is>
          <t>LFC5502</t>
        </is>
      </c>
      <c r="C672" t="inlineStr">
        <is>
          <t>IBIYE</t>
        </is>
      </c>
      <c r="D672" t="inlineStr"/>
      <c r="E672" t="inlineStr">
        <is>
          <t>Y</t>
        </is>
      </c>
    </row>
    <row r="673">
      <c r="A673" t="inlineStr">
        <is>
          <t>LFC5503</t>
        </is>
      </c>
      <c r="B673" t="inlineStr">
        <is>
          <t>LFC5503</t>
        </is>
      </c>
      <c r="C673" t="inlineStr">
        <is>
          <t>IBIYE</t>
        </is>
      </c>
      <c r="D673" t="inlineStr"/>
      <c r="E673" t="inlineStr">
        <is>
          <t>Y</t>
        </is>
      </c>
    </row>
    <row r="674">
      <c r="A674" t="inlineStr">
        <is>
          <t>LFC5504</t>
        </is>
      </c>
      <c r="B674" t="inlineStr">
        <is>
          <t>LFC5504</t>
        </is>
      </c>
      <c r="C674" t="inlineStr">
        <is>
          <t>IBIYE</t>
        </is>
      </c>
      <c r="D674" t="inlineStr"/>
      <c r="E674" t="inlineStr">
        <is>
          <t>Y</t>
        </is>
      </c>
    </row>
    <row r="675">
      <c r="A675" t="inlineStr">
        <is>
          <t>LFC5505</t>
        </is>
      </c>
      <c r="B675" t="inlineStr">
        <is>
          <t>LFC5505</t>
        </is>
      </c>
      <c r="C675" t="inlineStr">
        <is>
          <t>IBIYE</t>
        </is>
      </c>
      <c r="D675" t="inlineStr"/>
      <c r="E675" t="inlineStr">
        <is>
          <t>Y</t>
        </is>
      </c>
    </row>
    <row r="676">
      <c r="A676" t="inlineStr">
        <is>
          <t>LFC5506</t>
        </is>
      </c>
      <c r="B676" t="inlineStr">
        <is>
          <t>LFC5506</t>
        </is>
      </c>
      <c r="C676" t="inlineStr">
        <is>
          <t>IBIYE</t>
        </is>
      </c>
      <c r="D676" t="inlineStr"/>
      <c r="E676" t="inlineStr">
        <is>
          <t>Y</t>
        </is>
      </c>
    </row>
    <row r="677">
      <c r="A677" t="inlineStr">
        <is>
          <t>LFC5601</t>
        </is>
      </c>
      <c r="B677" t="inlineStr">
        <is>
          <t>LFC5601</t>
        </is>
      </c>
      <c r="C677" t="inlineStr">
        <is>
          <t>OKOTA</t>
        </is>
      </c>
      <c r="D677" t="inlineStr"/>
      <c r="E677" t="inlineStr">
        <is>
          <t>Y</t>
        </is>
      </c>
    </row>
    <row r="678">
      <c r="A678" t="inlineStr">
        <is>
          <t>LFC5602</t>
        </is>
      </c>
      <c r="B678" t="inlineStr">
        <is>
          <t>LFC5602</t>
        </is>
      </c>
      <c r="C678" t="inlineStr">
        <is>
          <t>OKOTA</t>
        </is>
      </c>
      <c r="D678" t="inlineStr"/>
      <c r="E678" t="inlineStr">
        <is>
          <t>Y</t>
        </is>
      </c>
    </row>
    <row r="679">
      <c r="A679" t="inlineStr">
        <is>
          <t>LFC5603</t>
        </is>
      </c>
      <c r="B679" t="inlineStr">
        <is>
          <t>LFC5603</t>
        </is>
      </c>
      <c r="C679" t="inlineStr">
        <is>
          <t>OKOTA</t>
        </is>
      </c>
      <c r="D679" t="inlineStr"/>
      <c r="E679" t="inlineStr">
        <is>
          <t>Y</t>
        </is>
      </c>
    </row>
    <row r="680">
      <c r="A680" t="inlineStr">
        <is>
          <t>LFC5604</t>
        </is>
      </c>
      <c r="B680" t="inlineStr">
        <is>
          <t>LFC5604</t>
        </is>
      </c>
      <c r="C680" t="inlineStr">
        <is>
          <t>OKOTA</t>
        </is>
      </c>
      <c r="D680" t="inlineStr"/>
      <c r="E680" t="inlineStr">
        <is>
          <t>Y</t>
        </is>
      </c>
    </row>
    <row r="681">
      <c r="A681" t="inlineStr">
        <is>
          <t>LFC5605</t>
        </is>
      </c>
      <c r="B681" t="inlineStr">
        <is>
          <t>LFC5605</t>
        </is>
      </c>
      <c r="C681" t="inlineStr">
        <is>
          <t>OKOTA</t>
        </is>
      </c>
      <c r="D681" t="inlineStr"/>
      <c r="E681" t="inlineStr">
        <is>
          <t>Y</t>
        </is>
      </c>
    </row>
    <row r="682">
      <c r="A682" t="inlineStr">
        <is>
          <t>LFC5606</t>
        </is>
      </c>
      <c r="B682" t="inlineStr">
        <is>
          <t>LFC5606</t>
        </is>
      </c>
      <c r="C682" t="inlineStr">
        <is>
          <t>OKOTA</t>
        </is>
      </c>
      <c r="D682" t="inlineStr"/>
      <c r="E682" t="inlineStr">
        <is>
          <t>Y</t>
        </is>
      </c>
    </row>
    <row r="683">
      <c r="A683" t="inlineStr">
        <is>
          <t>LFC5607</t>
        </is>
      </c>
      <c r="B683" t="inlineStr">
        <is>
          <t>LFC5607</t>
        </is>
      </c>
      <c r="C683" t="inlineStr">
        <is>
          <t>OKOTA</t>
        </is>
      </c>
      <c r="D683" t="inlineStr"/>
      <c r="E683" t="inlineStr">
        <is>
          <t>Y</t>
        </is>
      </c>
    </row>
    <row r="684">
      <c r="A684" t="inlineStr">
        <is>
          <t>LFC5608</t>
        </is>
      </c>
      <c r="B684" t="inlineStr">
        <is>
          <t>LFC5608</t>
        </is>
      </c>
      <c r="C684" t="inlineStr">
        <is>
          <t>OKOTA</t>
        </is>
      </c>
      <c r="D684" t="inlineStr"/>
      <c r="E684" t="inlineStr">
        <is>
          <t>Y</t>
        </is>
      </c>
    </row>
    <row r="685">
      <c r="A685" t="inlineStr">
        <is>
          <t>LFC5609</t>
        </is>
      </c>
      <c r="B685" t="inlineStr">
        <is>
          <t>LFC5609</t>
        </is>
      </c>
      <c r="C685" t="inlineStr">
        <is>
          <t>OKOTA</t>
        </is>
      </c>
      <c r="D685" t="inlineStr"/>
      <c r="E685" t="inlineStr">
        <is>
          <t>Y</t>
        </is>
      </c>
    </row>
    <row r="686">
      <c r="A686" t="inlineStr">
        <is>
          <t>LFC5610</t>
        </is>
      </c>
      <c r="B686" t="inlineStr">
        <is>
          <t>LFC5610</t>
        </is>
      </c>
      <c r="C686" t="inlineStr">
        <is>
          <t>OKOTA</t>
        </is>
      </c>
      <c r="D686" t="inlineStr"/>
      <c r="E686" t="inlineStr">
        <is>
          <t>Y</t>
        </is>
      </c>
    </row>
    <row r="687">
      <c r="A687" t="inlineStr">
        <is>
          <t>LFC5611</t>
        </is>
      </c>
      <c r="B687" t="inlineStr">
        <is>
          <t>LFC5611</t>
        </is>
      </c>
      <c r="C687" t="inlineStr">
        <is>
          <t>OKOTA</t>
        </is>
      </c>
      <c r="D687" t="inlineStr"/>
      <c r="E687" t="inlineStr">
        <is>
          <t>Y</t>
        </is>
      </c>
    </row>
    <row r="688">
      <c r="A688" t="inlineStr">
        <is>
          <t>LFC5612</t>
        </is>
      </c>
      <c r="B688" t="inlineStr">
        <is>
          <t>LFC5612</t>
        </is>
      </c>
      <c r="C688" t="inlineStr">
        <is>
          <t>OKOTA</t>
        </is>
      </c>
      <c r="D688" t="inlineStr"/>
      <c r="E688" t="inlineStr">
        <is>
          <t>Y</t>
        </is>
      </c>
    </row>
    <row r="689">
      <c r="A689" t="inlineStr">
        <is>
          <t>LFC5613</t>
        </is>
      </c>
      <c r="B689" t="inlineStr">
        <is>
          <t>LFC5613</t>
        </is>
      </c>
      <c r="C689" t="inlineStr">
        <is>
          <t>OKOTA</t>
        </is>
      </c>
      <c r="D689" t="inlineStr"/>
      <c r="E689" t="inlineStr">
        <is>
          <t>Y</t>
        </is>
      </c>
    </row>
    <row r="690">
      <c r="A690" t="inlineStr">
        <is>
          <t>LFC5615</t>
        </is>
      </c>
      <c r="B690" t="inlineStr">
        <is>
          <t>LFC5615</t>
        </is>
      </c>
      <c r="C690" t="inlineStr">
        <is>
          <t>OKOTA</t>
        </is>
      </c>
      <c r="D690" t="inlineStr"/>
      <c r="E690" t="inlineStr">
        <is>
          <t>Y</t>
        </is>
      </c>
    </row>
    <row r="691">
      <c r="A691" t="inlineStr">
        <is>
          <t>LFC5701</t>
        </is>
      </c>
      <c r="B691" t="inlineStr">
        <is>
          <t>LFC5701</t>
        </is>
      </c>
      <c r="C691" t="inlineStr">
        <is>
          <t>OSHODI</t>
        </is>
      </c>
      <c r="D691" t="inlineStr"/>
      <c r="E691" t="inlineStr">
        <is>
          <t>Y</t>
        </is>
      </c>
    </row>
    <row r="692">
      <c r="A692" t="inlineStr">
        <is>
          <t>LFC5702</t>
        </is>
      </c>
      <c r="B692" t="inlineStr">
        <is>
          <t>LFC5702</t>
        </is>
      </c>
      <c r="C692" t="inlineStr">
        <is>
          <t>OSHODI</t>
        </is>
      </c>
      <c r="D692" t="inlineStr"/>
      <c r="E692" t="inlineStr">
        <is>
          <t>Y</t>
        </is>
      </c>
    </row>
    <row r="693">
      <c r="A693" t="inlineStr">
        <is>
          <t>LFC5703</t>
        </is>
      </c>
      <c r="B693" t="inlineStr">
        <is>
          <t>LFC5703</t>
        </is>
      </c>
      <c r="C693" t="inlineStr">
        <is>
          <t>OSHODI</t>
        </is>
      </c>
      <c r="D693" t="inlineStr"/>
      <c r="E693" t="inlineStr">
        <is>
          <t>Y</t>
        </is>
      </c>
    </row>
    <row r="694">
      <c r="A694" t="inlineStr">
        <is>
          <t>LFC5704</t>
        </is>
      </c>
      <c r="B694" t="inlineStr">
        <is>
          <t>LFC5704</t>
        </is>
      </c>
      <c r="C694" t="inlineStr">
        <is>
          <t>OSHODI</t>
        </is>
      </c>
      <c r="D694" t="inlineStr"/>
      <c r="E694" t="inlineStr">
        <is>
          <t>Y</t>
        </is>
      </c>
    </row>
    <row r="695">
      <c r="A695" t="inlineStr">
        <is>
          <t>LFC5705</t>
        </is>
      </c>
      <c r="B695" t="inlineStr">
        <is>
          <t>LFC5705</t>
        </is>
      </c>
      <c r="C695" t="inlineStr">
        <is>
          <t>OSHODI</t>
        </is>
      </c>
      <c r="D695" t="inlineStr"/>
      <c r="E695" t="inlineStr">
        <is>
          <t>Y</t>
        </is>
      </c>
    </row>
    <row r="696">
      <c r="A696" t="inlineStr">
        <is>
          <t>LFC5706</t>
        </is>
      </c>
      <c r="B696" t="inlineStr">
        <is>
          <t>LFC5706</t>
        </is>
      </c>
      <c r="C696" t="inlineStr">
        <is>
          <t>OSHODI</t>
        </is>
      </c>
      <c r="D696" t="inlineStr"/>
      <c r="E696" t="inlineStr">
        <is>
          <t>Y</t>
        </is>
      </c>
    </row>
    <row r="697">
      <c r="A697" t="inlineStr">
        <is>
          <t>LFC5707</t>
        </is>
      </c>
      <c r="B697" t="inlineStr">
        <is>
          <t>LFC5707</t>
        </is>
      </c>
      <c r="C697" t="inlineStr">
        <is>
          <t>OSHODI</t>
        </is>
      </c>
      <c r="D697" t="inlineStr"/>
      <c r="E697" t="inlineStr">
        <is>
          <t>Y</t>
        </is>
      </c>
    </row>
    <row r="698">
      <c r="A698" t="inlineStr">
        <is>
          <t>LFC5708</t>
        </is>
      </c>
      <c r="B698" t="inlineStr">
        <is>
          <t>LFC5708</t>
        </is>
      </c>
      <c r="C698" t="inlineStr">
        <is>
          <t>OSHODI</t>
        </is>
      </c>
      <c r="D698" t="inlineStr"/>
      <c r="E698" t="inlineStr">
        <is>
          <t>Y</t>
        </is>
      </c>
    </row>
    <row r="699">
      <c r="A699" t="inlineStr">
        <is>
          <t>LFC5709</t>
        </is>
      </c>
      <c r="B699" t="inlineStr">
        <is>
          <t>LFC5709</t>
        </is>
      </c>
      <c r="C699" t="inlineStr">
        <is>
          <t>OSHODI</t>
        </is>
      </c>
      <c r="D699" t="inlineStr"/>
      <c r="E699" t="inlineStr">
        <is>
          <t>Y</t>
        </is>
      </c>
    </row>
    <row r="700">
      <c r="A700" t="inlineStr">
        <is>
          <t>LFC5710</t>
        </is>
      </c>
      <c r="B700" t="inlineStr">
        <is>
          <t>LFC5710</t>
        </is>
      </c>
      <c r="C700" t="inlineStr">
        <is>
          <t>OSHODI</t>
        </is>
      </c>
      <c r="D700" t="inlineStr"/>
      <c r="E700" t="inlineStr">
        <is>
          <t>Y</t>
        </is>
      </c>
    </row>
    <row r="701">
      <c r="A701" t="inlineStr">
        <is>
          <t>LFC5711</t>
        </is>
      </c>
      <c r="B701" t="inlineStr">
        <is>
          <t>LFC5711</t>
        </is>
      </c>
      <c r="C701" t="inlineStr">
        <is>
          <t>OSHODI</t>
        </is>
      </c>
      <c r="D701" t="inlineStr"/>
      <c r="E701" t="inlineStr">
        <is>
          <t>Y</t>
        </is>
      </c>
    </row>
    <row r="702">
      <c r="A702" t="inlineStr">
        <is>
          <t>LFC5712</t>
        </is>
      </c>
      <c r="B702" t="inlineStr">
        <is>
          <t>LFC5712</t>
        </is>
      </c>
      <c r="C702" t="inlineStr">
        <is>
          <t>OSHODI</t>
        </is>
      </c>
      <c r="D702" t="inlineStr"/>
      <c r="E702" t="inlineStr">
        <is>
          <t>Y</t>
        </is>
      </c>
    </row>
    <row r="703">
      <c r="A703" t="inlineStr">
        <is>
          <t>LFC5713</t>
        </is>
      </c>
      <c r="B703" t="inlineStr">
        <is>
          <t>LFC5713</t>
        </is>
      </c>
      <c r="C703" t="inlineStr">
        <is>
          <t>OSHODI</t>
        </is>
      </c>
      <c r="D703" t="inlineStr"/>
      <c r="E703" t="inlineStr">
        <is>
          <t>Y</t>
        </is>
      </c>
    </row>
    <row r="704">
      <c r="A704" t="inlineStr">
        <is>
          <t>LFC5714</t>
        </is>
      </c>
      <c r="B704" t="inlineStr">
        <is>
          <t>LFC5714</t>
        </is>
      </c>
      <c r="C704" t="inlineStr">
        <is>
          <t>OSHODI</t>
        </is>
      </c>
      <c r="D704" t="inlineStr"/>
      <c r="E704" t="inlineStr">
        <is>
          <t>Y</t>
        </is>
      </c>
    </row>
    <row r="705">
      <c r="A705" t="inlineStr">
        <is>
          <t>LFC5715</t>
        </is>
      </c>
      <c r="B705" t="inlineStr">
        <is>
          <t>LFC5715</t>
        </is>
      </c>
      <c r="C705" t="inlineStr">
        <is>
          <t>OSHODI</t>
        </is>
      </c>
      <c r="D705" t="inlineStr"/>
      <c r="E705" t="inlineStr">
        <is>
          <t>Y</t>
        </is>
      </c>
    </row>
    <row r="706">
      <c r="A706" t="inlineStr">
        <is>
          <t>LFC5716</t>
        </is>
      </c>
      <c r="B706" t="inlineStr">
        <is>
          <t>LFC5716</t>
        </is>
      </c>
      <c r="C706" t="inlineStr">
        <is>
          <t>OSHODI</t>
        </is>
      </c>
      <c r="D706" t="inlineStr"/>
      <c r="E706" t="inlineStr">
        <is>
          <t>Y</t>
        </is>
      </c>
    </row>
    <row r="707">
      <c r="A707" t="inlineStr">
        <is>
          <t>LFC5717</t>
        </is>
      </c>
      <c r="B707" t="inlineStr">
        <is>
          <t>LFC5717</t>
        </is>
      </c>
      <c r="C707" t="inlineStr">
        <is>
          <t>OSHODI</t>
        </is>
      </c>
      <c r="D707" t="inlineStr"/>
      <c r="E707" t="inlineStr">
        <is>
          <t>Y</t>
        </is>
      </c>
    </row>
    <row r="708">
      <c r="A708" t="inlineStr">
        <is>
          <t>LFC5718</t>
        </is>
      </c>
      <c r="B708" t="inlineStr">
        <is>
          <t>LFC5718</t>
        </is>
      </c>
      <c r="C708" t="inlineStr">
        <is>
          <t>OSHODI</t>
        </is>
      </c>
      <c r="D708" t="inlineStr"/>
      <c r="E708" t="inlineStr">
        <is>
          <t>Y</t>
        </is>
      </c>
    </row>
    <row r="709">
      <c r="A709" t="inlineStr">
        <is>
          <t>LFC5719</t>
        </is>
      </c>
      <c r="B709" t="inlineStr">
        <is>
          <t>LFC5719</t>
        </is>
      </c>
      <c r="C709" t="inlineStr">
        <is>
          <t>OSHODI</t>
        </is>
      </c>
      <c r="D709" t="inlineStr"/>
      <c r="E709" t="inlineStr">
        <is>
          <t>Y</t>
        </is>
      </c>
    </row>
    <row r="710">
      <c r="A710" t="inlineStr">
        <is>
          <t>LFC5801</t>
        </is>
      </c>
      <c r="B710" t="inlineStr">
        <is>
          <t>LFC5801</t>
        </is>
      </c>
      <c r="C710" t="inlineStr">
        <is>
          <t>FESTAC</t>
        </is>
      </c>
      <c r="D710" t="inlineStr"/>
      <c r="E710" t="inlineStr">
        <is>
          <t>Y</t>
        </is>
      </c>
    </row>
    <row r="711">
      <c r="A711" t="inlineStr">
        <is>
          <t>LFC5802</t>
        </is>
      </c>
      <c r="B711" t="inlineStr">
        <is>
          <t>LFC5802</t>
        </is>
      </c>
      <c r="C711" t="inlineStr">
        <is>
          <t>FESTAC</t>
        </is>
      </c>
      <c r="D711" t="inlineStr"/>
      <c r="E711" t="inlineStr">
        <is>
          <t>Y</t>
        </is>
      </c>
    </row>
    <row r="712">
      <c r="A712" t="inlineStr">
        <is>
          <t>LFC5803</t>
        </is>
      </c>
      <c r="B712" t="inlineStr">
        <is>
          <t>LFC5803</t>
        </is>
      </c>
      <c r="C712" t="inlineStr">
        <is>
          <t>FESTAC</t>
        </is>
      </c>
      <c r="D712" t="inlineStr"/>
      <c r="E712" t="inlineStr">
        <is>
          <t>Y</t>
        </is>
      </c>
    </row>
    <row r="713">
      <c r="A713" t="inlineStr">
        <is>
          <t>LFC5804</t>
        </is>
      </c>
      <c r="B713" t="inlineStr">
        <is>
          <t>LFC5804</t>
        </is>
      </c>
      <c r="C713" t="inlineStr">
        <is>
          <t>FESTAC</t>
        </is>
      </c>
      <c r="D713" t="inlineStr"/>
      <c r="E713" t="inlineStr">
        <is>
          <t>Y</t>
        </is>
      </c>
    </row>
    <row r="714">
      <c r="A714" t="inlineStr">
        <is>
          <t>LFC5805</t>
        </is>
      </c>
      <c r="B714" t="inlineStr">
        <is>
          <t>LFC5805</t>
        </is>
      </c>
      <c r="C714" t="inlineStr">
        <is>
          <t>FESTAC</t>
        </is>
      </c>
      <c r="D714" t="inlineStr"/>
      <c r="E714" t="inlineStr">
        <is>
          <t>Y</t>
        </is>
      </c>
    </row>
    <row r="715">
      <c r="A715" t="inlineStr">
        <is>
          <t>LFC5806</t>
        </is>
      </c>
      <c r="B715" t="inlineStr">
        <is>
          <t>LFC5806</t>
        </is>
      </c>
      <c r="C715" t="inlineStr">
        <is>
          <t>FESTAC</t>
        </is>
      </c>
      <c r="D715" t="inlineStr"/>
      <c r="E715" t="inlineStr">
        <is>
          <t>Y</t>
        </is>
      </c>
    </row>
    <row r="716">
      <c r="A716" t="inlineStr">
        <is>
          <t>LFC5807</t>
        </is>
      </c>
      <c r="B716" t="inlineStr">
        <is>
          <t>LFC5807</t>
        </is>
      </c>
      <c r="C716" t="inlineStr">
        <is>
          <t>FESTAC</t>
        </is>
      </c>
      <c r="D716" t="inlineStr"/>
      <c r="E716" t="inlineStr">
        <is>
          <t>Y</t>
        </is>
      </c>
    </row>
    <row r="717">
      <c r="A717" t="inlineStr">
        <is>
          <t>LFC5808</t>
        </is>
      </c>
      <c r="B717" t="inlineStr">
        <is>
          <t>LFC5808</t>
        </is>
      </c>
      <c r="C717" t="inlineStr">
        <is>
          <t>FESTAC</t>
        </is>
      </c>
      <c r="D717" t="inlineStr"/>
      <c r="E717" t="inlineStr">
        <is>
          <t>Y</t>
        </is>
      </c>
    </row>
    <row r="718">
      <c r="A718" t="inlineStr">
        <is>
          <t>LFC5809</t>
        </is>
      </c>
      <c r="B718" t="inlineStr">
        <is>
          <t>LFC5809</t>
        </is>
      </c>
      <c r="C718" t="inlineStr">
        <is>
          <t>FESTAC</t>
        </is>
      </c>
      <c r="D718" t="inlineStr"/>
      <c r="E718" t="inlineStr">
        <is>
          <t>Y</t>
        </is>
      </c>
    </row>
    <row r="719">
      <c r="A719" t="inlineStr">
        <is>
          <t>LFC5901</t>
        </is>
      </c>
      <c r="B719" t="inlineStr">
        <is>
          <t>LFC5901</t>
        </is>
      </c>
      <c r="C719" t="inlineStr">
        <is>
          <t>IJU ISHAGA</t>
        </is>
      </c>
      <c r="D719" t="inlineStr"/>
      <c r="E719" t="inlineStr">
        <is>
          <t>Y</t>
        </is>
      </c>
    </row>
    <row r="720">
      <c r="A720" t="inlineStr">
        <is>
          <t>LFC5902</t>
        </is>
      </c>
      <c r="B720" t="inlineStr">
        <is>
          <t>LFC5902</t>
        </is>
      </c>
      <c r="C720" t="inlineStr">
        <is>
          <t>IJU ISHAGA</t>
        </is>
      </c>
      <c r="D720" t="inlineStr"/>
      <c r="E720" t="inlineStr">
        <is>
          <t>Y</t>
        </is>
      </c>
    </row>
    <row r="721">
      <c r="A721" t="inlineStr">
        <is>
          <t>LFC5903</t>
        </is>
      </c>
      <c r="B721" t="inlineStr">
        <is>
          <t>LFC5903</t>
        </is>
      </c>
      <c r="C721" t="inlineStr">
        <is>
          <t>IJU ISHAGA</t>
        </is>
      </c>
      <c r="D721" t="inlineStr"/>
      <c r="E721" t="inlineStr">
        <is>
          <t>Y</t>
        </is>
      </c>
    </row>
    <row r="722">
      <c r="A722" t="inlineStr">
        <is>
          <t>LFC5904</t>
        </is>
      </c>
      <c r="B722" t="inlineStr">
        <is>
          <t>LFC5904</t>
        </is>
      </c>
      <c r="C722" t="inlineStr">
        <is>
          <t>IJU ISHAGA</t>
        </is>
      </c>
      <c r="D722" t="inlineStr"/>
      <c r="E722" t="inlineStr">
        <is>
          <t>Y</t>
        </is>
      </c>
    </row>
    <row r="723">
      <c r="A723" t="inlineStr">
        <is>
          <t>LFC5905</t>
        </is>
      </c>
      <c r="B723" t="inlineStr">
        <is>
          <t>LFC5905</t>
        </is>
      </c>
      <c r="C723" t="inlineStr">
        <is>
          <t>IJU ISHAGA</t>
        </is>
      </c>
      <c r="D723" t="inlineStr"/>
      <c r="E723" t="inlineStr">
        <is>
          <t>Y</t>
        </is>
      </c>
    </row>
    <row r="724">
      <c r="A724" t="inlineStr">
        <is>
          <t>LFC5906</t>
        </is>
      </c>
      <c r="B724" t="inlineStr">
        <is>
          <t>LFC5906</t>
        </is>
      </c>
      <c r="C724" t="inlineStr">
        <is>
          <t>IJU ISHAGA</t>
        </is>
      </c>
      <c r="D724" t="inlineStr"/>
      <c r="E724" t="inlineStr">
        <is>
          <t>Y</t>
        </is>
      </c>
    </row>
    <row r="725">
      <c r="A725" t="inlineStr">
        <is>
          <t>LFC5907</t>
        </is>
      </c>
      <c r="B725" t="inlineStr">
        <is>
          <t>LFC5907</t>
        </is>
      </c>
      <c r="C725" t="inlineStr">
        <is>
          <t>IJU ISHAGA</t>
        </is>
      </c>
      <c r="D725" t="inlineStr"/>
      <c r="E725" t="inlineStr">
        <is>
          <t>Y</t>
        </is>
      </c>
    </row>
    <row r="726">
      <c r="A726" t="inlineStr">
        <is>
          <t>LFC5908</t>
        </is>
      </c>
      <c r="B726" t="inlineStr">
        <is>
          <t>LFC5908</t>
        </is>
      </c>
      <c r="C726" t="inlineStr">
        <is>
          <t>IJU ISHAGA</t>
        </is>
      </c>
      <c r="D726" t="inlineStr"/>
      <c r="E726" t="inlineStr">
        <is>
          <t>Y</t>
        </is>
      </c>
    </row>
    <row r="727">
      <c r="A727" t="inlineStr">
        <is>
          <t>LFC5909</t>
        </is>
      </c>
      <c r="B727" t="inlineStr">
        <is>
          <t>LFC5909</t>
        </is>
      </c>
      <c r="C727" t="inlineStr">
        <is>
          <t>IJU ISHAGA</t>
        </is>
      </c>
      <c r="D727" t="inlineStr"/>
      <c r="E727" t="inlineStr">
        <is>
          <t>Y</t>
        </is>
      </c>
    </row>
    <row r="728">
      <c r="A728" t="inlineStr">
        <is>
          <t>LFC5910</t>
        </is>
      </c>
      <c r="B728" t="inlineStr">
        <is>
          <t>LFC5910</t>
        </is>
      </c>
      <c r="C728" t="inlineStr">
        <is>
          <t>IJU ISHAGA</t>
        </is>
      </c>
      <c r="D728" t="inlineStr"/>
      <c r="E728" t="inlineStr">
        <is>
          <t>Y</t>
        </is>
      </c>
    </row>
    <row r="729">
      <c r="A729" t="inlineStr">
        <is>
          <t>LFC5911</t>
        </is>
      </c>
      <c r="B729" t="inlineStr">
        <is>
          <t>LFC5911</t>
        </is>
      </c>
      <c r="C729" t="inlineStr">
        <is>
          <t>IJU ISHAGA</t>
        </is>
      </c>
      <c r="D729" t="inlineStr"/>
      <c r="E729" t="inlineStr">
        <is>
          <t>Y</t>
        </is>
      </c>
    </row>
    <row r="730">
      <c r="A730" t="inlineStr">
        <is>
          <t>LFC5912</t>
        </is>
      </c>
      <c r="B730" t="inlineStr">
        <is>
          <t>LFC5912</t>
        </is>
      </c>
      <c r="C730" t="inlineStr">
        <is>
          <t>IJU ISHAGA</t>
        </is>
      </c>
      <c r="D730" t="inlineStr"/>
      <c r="E730" t="inlineStr">
        <is>
          <t>Y</t>
        </is>
      </c>
    </row>
    <row r="731">
      <c r="A731" t="inlineStr">
        <is>
          <t>LFC5913</t>
        </is>
      </c>
      <c r="B731" t="inlineStr">
        <is>
          <t>LFC5913</t>
        </is>
      </c>
      <c r="C731" t="inlineStr">
        <is>
          <t>IJU ISHAGA</t>
        </is>
      </c>
      <c r="D731" t="inlineStr"/>
      <c r="E731" t="inlineStr">
        <is>
          <t>Y</t>
        </is>
      </c>
    </row>
    <row r="732">
      <c r="A732" t="inlineStr">
        <is>
          <t>LFC5914</t>
        </is>
      </c>
      <c r="B732" t="inlineStr">
        <is>
          <t>LFC5914</t>
        </is>
      </c>
      <c r="C732" t="inlineStr">
        <is>
          <t>IJU ISHAGA</t>
        </is>
      </c>
      <c r="D732" t="inlineStr"/>
      <c r="E732" t="inlineStr">
        <is>
          <t>Y</t>
        </is>
      </c>
    </row>
    <row r="733">
      <c r="A733" t="inlineStr">
        <is>
          <t>LFC5915</t>
        </is>
      </c>
      <c r="B733" t="inlineStr">
        <is>
          <t>LFC5915</t>
        </is>
      </c>
      <c r="C733" t="inlineStr">
        <is>
          <t>IJU ISHAGA</t>
        </is>
      </c>
      <c r="D733" t="inlineStr"/>
      <c r="E733" t="inlineStr">
        <is>
          <t>Y</t>
        </is>
      </c>
    </row>
    <row r="734">
      <c r="A734" t="inlineStr">
        <is>
          <t>LFC5916</t>
        </is>
      </c>
      <c r="B734" t="inlineStr">
        <is>
          <t>LFC5916</t>
        </is>
      </c>
      <c r="C734" t="inlineStr">
        <is>
          <t>IJU ISHAGA</t>
        </is>
      </c>
      <c r="D734" t="inlineStr"/>
      <c r="E734" t="inlineStr">
        <is>
          <t>Y</t>
        </is>
      </c>
    </row>
    <row r="735">
      <c r="A735" t="inlineStr">
        <is>
          <t>LFC5917</t>
        </is>
      </c>
      <c r="B735" t="inlineStr">
        <is>
          <t>LFC5917</t>
        </is>
      </c>
      <c r="C735" t="inlineStr">
        <is>
          <t>IJU ISHAGA</t>
        </is>
      </c>
      <c r="D735" t="inlineStr"/>
      <c r="E735" t="inlineStr">
        <is>
          <t>Y</t>
        </is>
      </c>
    </row>
    <row r="736">
      <c r="A736" t="inlineStr">
        <is>
          <t>LFC5918</t>
        </is>
      </c>
      <c r="B736" t="inlineStr">
        <is>
          <t>LFC5918</t>
        </is>
      </c>
      <c r="C736" t="inlineStr">
        <is>
          <t>IJU ISHAGA</t>
        </is>
      </c>
      <c r="D736" t="inlineStr"/>
      <c r="E736" t="inlineStr">
        <is>
          <t>Y</t>
        </is>
      </c>
    </row>
    <row r="737">
      <c r="A737" t="inlineStr">
        <is>
          <t>LFC6001</t>
        </is>
      </c>
      <c r="B737" t="inlineStr">
        <is>
          <t>LFC6001</t>
        </is>
      </c>
      <c r="C737" t="inlineStr">
        <is>
          <t>EMDEO</t>
        </is>
      </c>
      <c r="D737" t="inlineStr"/>
      <c r="E737" t="inlineStr">
        <is>
          <t>Y</t>
        </is>
      </c>
    </row>
    <row r="738">
      <c r="A738" t="inlineStr">
        <is>
          <t>LFC6002</t>
        </is>
      </c>
      <c r="B738" t="inlineStr">
        <is>
          <t>LFC6002</t>
        </is>
      </c>
      <c r="C738" t="inlineStr">
        <is>
          <t>EMDEO</t>
        </is>
      </c>
      <c r="D738" t="inlineStr"/>
      <c r="E738" t="inlineStr">
        <is>
          <t>Y</t>
        </is>
      </c>
    </row>
    <row r="739">
      <c r="A739" t="inlineStr">
        <is>
          <t>LFC6003</t>
        </is>
      </c>
      <c r="B739" t="inlineStr">
        <is>
          <t>LFC6003</t>
        </is>
      </c>
      <c r="C739" t="inlineStr">
        <is>
          <t>EMDEO</t>
        </is>
      </c>
      <c r="D739" t="inlineStr"/>
      <c r="E739" t="inlineStr">
        <is>
          <t>Y</t>
        </is>
      </c>
    </row>
    <row r="740">
      <c r="A740" t="inlineStr">
        <is>
          <t>LFC6004</t>
        </is>
      </c>
      <c r="B740" t="inlineStr">
        <is>
          <t>LFC6004</t>
        </is>
      </c>
      <c r="C740" t="inlineStr">
        <is>
          <t>EMDEO</t>
        </is>
      </c>
      <c r="D740" t="inlineStr"/>
      <c r="E740" t="inlineStr">
        <is>
          <t>Y</t>
        </is>
      </c>
    </row>
    <row r="741">
      <c r="A741" t="inlineStr">
        <is>
          <t>LFC6005</t>
        </is>
      </c>
      <c r="B741" t="inlineStr">
        <is>
          <t>LFC6005</t>
        </is>
      </c>
      <c r="C741" t="inlineStr">
        <is>
          <t>EMDEO</t>
        </is>
      </c>
      <c r="D741" t="inlineStr"/>
      <c r="E741" t="inlineStr">
        <is>
          <t>Y</t>
        </is>
      </c>
    </row>
    <row r="742">
      <c r="A742" t="inlineStr">
        <is>
          <t>LFC6006</t>
        </is>
      </c>
      <c r="B742" t="inlineStr">
        <is>
          <t>LFC6006</t>
        </is>
      </c>
      <c r="C742" t="inlineStr">
        <is>
          <t>EMDEO</t>
        </is>
      </c>
      <c r="D742" t="inlineStr"/>
      <c r="E742" t="inlineStr">
        <is>
          <t>Y</t>
        </is>
      </c>
    </row>
    <row r="743">
      <c r="A743" t="inlineStr">
        <is>
          <t>LFC6007</t>
        </is>
      </c>
      <c r="B743" t="inlineStr">
        <is>
          <t>LFC6007</t>
        </is>
      </c>
      <c r="C743" t="inlineStr">
        <is>
          <t>EMDEO</t>
        </is>
      </c>
      <c r="D743" t="inlineStr"/>
      <c r="E743" t="inlineStr">
        <is>
          <t>Y</t>
        </is>
      </c>
    </row>
    <row r="744">
      <c r="A744" t="inlineStr">
        <is>
          <t>LFC6008</t>
        </is>
      </c>
      <c r="B744" t="inlineStr">
        <is>
          <t>LFC6008</t>
        </is>
      </c>
      <c r="C744" t="inlineStr">
        <is>
          <t>EMDEO</t>
        </is>
      </c>
      <c r="D744" t="inlineStr"/>
      <c r="E744" t="inlineStr">
        <is>
          <t>Y</t>
        </is>
      </c>
    </row>
    <row r="745">
      <c r="A745" t="inlineStr">
        <is>
          <t>LFC6009</t>
        </is>
      </c>
      <c r="B745" t="inlineStr">
        <is>
          <t>LFC6009</t>
        </is>
      </c>
      <c r="C745" t="inlineStr">
        <is>
          <t>EMDEO</t>
        </is>
      </c>
      <c r="D745" t="inlineStr"/>
      <c r="E745" t="inlineStr">
        <is>
          <t>Y</t>
        </is>
      </c>
    </row>
    <row r="746">
      <c r="A746" t="inlineStr">
        <is>
          <t>LFC6010</t>
        </is>
      </c>
      <c r="B746" t="inlineStr">
        <is>
          <t>LFC6010</t>
        </is>
      </c>
      <c r="C746" t="inlineStr">
        <is>
          <t>EMDEO</t>
        </is>
      </c>
      <c r="D746" t="inlineStr"/>
      <c r="E746" t="inlineStr">
        <is>
          <t>Y</t>
        </is>
      </c>
    </row>
    <row r="747">
      <c r="A747" t="inlineStr">
        <is>
          <t>LFC6101</t>
        </is>
      </c>
      <c r="B747" t="inlineStr">
        <is>
          <t>LFC6101</t>
        </is>
      </c>
      <c r="C747" t="inlineStr">
        <is>
          <t>AGBADO</t>
        </is>
      </c>
      <c r="D747" t="inlineStr"/>
      <c r="E747" t="inlineStr">
        <is>
          <t>Y</t>
        </is>
      </c>
    </row>
    <row r="748">
      <c r="A748" t="inlineStr">
        <is>
          <t>LFC6102</t>
        </is>
      </c>
      <c r="B748" t="inlineStr">
        <is>
          <t>LFC6102</t>
        </is>
      </c>
      <c r="C748" t="inlineStr">
        <is>
          <t>AGBADO</t>
        </is>
      </c>
      <c r="D748" t="inlineStr"/>
      <c r="E748" t="inlineStr">
        <is>
          <t>Y</t>
        </is>
      </c>
    </row>
    <row r="749">
      <c r="A749" t="inlineStr">
        <is>
          <t>LFC6103</t>
        </is>
      </c>
      <c r="B749" t="inlineStr">
        <is>
          <t>LFC6103</t>
        </is>
      </c>
      <c r="C749" t="inlineStr">
        <is>
          <t>AGBADO</t>
        </is>
      </c>
      <c r="D749" t="inlineStr"/>
      <c r="E749" t="inlineStr">
        <is>
          <t>Y</t>
        </is>
      </c>
    </row>
    <row r="750">
      <c r="A750" t="inlineStr">
        <is>
          <t>LFC6104</t>
        </is>
      </c>
      <c r="B750" t="inlineStr">
        <is>
          <t>LFC6104</t>
        </is>
      </c>
      <c r="C750" t="inlineStr">
        <is>
          <t>AGBADO</t>
        </is>
      </c>
      <c r="D750" t="inlineStr"/>
      <c r="E750" t="inlineStr">
        <is>
          <t>Y</t>
        </is>
      </c>
    </row>
    <row r="751">
      <c r="A751" t="inlineStr">
        <is>
          <t>LFC6106</t>
        </is>
      </c>
      <c r="B751" t="inlineStr">
        <is>
          <t>LFC6106</t>
        </is>
      </c>
      <c r="C751" t="inlineStr">
        <is>
          <t>AGBADO</t>
        </is>
      </c>
      <c r="D751" t="inlineStr"/>
      <c r="E751" t="inlineStr">
        <is>
          <t>Y</t>
        </is>
      </c>
    </row>
    <row r="752">
      <c r="A752" t="inlineStr">
        <is>
          <t>LFC6107</t>
        </is>
      </c>
      <c r="B752" t="inlineStr">
        <is>
          <t>LFC6107</t>
        </is>
      </c>
      <c r="C752" t="inlineStr">
        <is>
          <t>AGBADO</t>
        </is>
      </c>
      <c r="D752" t="inlineStr"/>
      <c r="E752" t="inlineStr">
        <is>
          <t>Y</t>
        </is>
      </c>
    </row>
    <row r="753">
      <c r="A753" t="inlineStr">
        <is>
          <t>LFC6108</t>
        </is>
      </c>
      <c r="B753" t="inlineStr">
        <is>
          <t>LFC6108</t>
        </is>
      </c>
      <c r="C753" t="inlineStr">
        <is>
          <t>AGBADO</t>
        </is>
      </c>
      <c r="D753" t="inlineStr"/>
      <c r="E753" t="inlineStr">
        <is>
          <t>Y</t>
        </is>
      </c>
    </row>
    <row r="754">
      <c r="A754" t="inlineStr">
        <is>
          <t>LFC6109</t>
        </is>
      </c>
      <c r="B754" t="inlineStr">
        <is>
          <t>LFC6109</t>
        </is>
      </c>
      <c r="C754" t="inlineStr">
        <is>
          <t>AGBADO</t>
        </is>
      </c>
      <c r="D754" t="inlineStr"/>
      <c r="E754" t="inlineStr">
        <is>
          <t>Y</t>
        </is>
      </c>
    </row>
    <row r="755">
      <c r="A755" t="inlineStr">
        <is>
          <t>LFC6110</t>
        </is>
      </c>
      <c r="B755" t="inlineStr">
        <is>
          <t>LFC6110</t>
        </is>
      </c>
      <c r="C755" t="inlineStr">
        <is>
          <t>AGBADO</t>
        </is>
      </c>
      <c r="D755" t="inlineStr"/>
      <c r="E755" t="inlineStr">
        <is>
          <t>Y</t>
        </is>
      </c>
    </row>
    <row r="756">
      <c r="A756" t="inlineStr">
        <is>
          <t>LFC6111</t>
        </is>
      </c>
      <c r="B756" t="inlineStr">
        <is>
          <t>LFC6111</t>
        </is>
      </c>
      <c r="C756" t="inlineStr">
        <is>
          <t>AGBADO</t>
        </is>
      </c>
      <c r="D756" t="inlineStr"/>
      <c r="E756" t="inlineStr">
        <is>
          <t>Y</t>
        </is>
      </c>
    </row>
    <row r="757">
      <c r="A757" t="inlineStr">
        <is>
          <t>LFC6112</t>
        </is>
      </c>
      <c r="B757" t="inlineStr">
        <is>
          <t>LFC6112</t>
        </is>
      </c>
      <c r="C757" t="inlineStr">
        <is>
          <t>AGBADO</t>
        </is>
      </c>
      <c r="D757" t="inlineStr"/>
      <c r="E757" t="inlineStr">
        <is>
          <t>Y</t>
        </is>
      </c>
    </row>
    <row r="758">
      <c r="A758" t="inlineStr">
        <is>
          <t>LFC6201</t>
        </is>
      </c>
      <c r="B758" t="inlineStr">
        <is>
          <t>LFC6201</t>
        </is>
      </c>
      <c r="C758" t="inlineStr">
        <is>
          <t>BODE WILLIAMS</t>
        </is>
      </c>
      <c r="D758" t="inlineStr"/>
      <c r="E758" t="inlineStr">
        <is>
          <t>Y</t>
        </is>
      </c>
    </row>
    <row r="759">
      <c r="A759" t="inlineStr">
        <is>
          <t>LFC6202</t>
        </is>
      </c>
      <c r="B759" t="inlineStr">
        <is>
          <t>LFC6202</t>
        </is>
      </c>
      <c r="C759" t="inlineStr">
        <is>
          <t>BODE WILLIAMS</t>
        </is>
      </c>
      <c r="D759" t="inlineStr"/>
      <c r="E759" t="inlineStr">
        <is>
          <t>Y</t>
        </is>
      </c>
    </row>
    <row r="760">
      <c r="A760" t="inlineStr">
        <is>
          <t>LFC6203</t>
        </is>
      </c>
      <c r="B760" t="inlineStr">
        <is>
          <t>LFC6203</t>
        </is>
      </c>
      <c r="C760" t="inlineStr">
        <is>
          <t>BODE WILLIAMS</t>
        </is>
      </c>
      <c r="D760" t="inlineStr"/>
      <c r="E760" t="inlineStr">
        <is>
          <t>Y</t>
        </is>
      </c>
    </row>
    <row r="761">
      <c r="A761" t="inlineStr">
        <is>
          <t>LFC6204</t>
        </is>
      </c>
      <c r="B761" t="inlineStr">
        <is>
          <t>LFC6204</t>
        </is>
      </c>
      <c r="C761" t="inlineStr">
        <is>
          <t>BODE WILLIAMS</t>
        </is>
      </c>
      <c r="D761" t="inlineStr"/>
      <c r="E761" t="inlineStr">
        <is>
          <t>Y</t>
        </is>
      </c>
    </row>
    <row r="762">
      <c r="A762" t="inlineStr">
        <is>
          <t>LFC6205</t>
        </is>
      </c>
      <c r="B762" t="inlineStr">
        <is>
          <t>LFC6205</t>
        </is>
      </c>
      <c r="C762" t="inlineStr">
        <is>
          <t>BODE WILLIAMS</t>
        </is>
      </c>
      <c r="D762" t="inlineStr"/>
      <c r="E762" t="inlineStr">
        <is>
          <t>Y</t>
        </is>
      </c>
    </row>
    <row r="763">
      <c r="A763" t="inlineStr">
        <is>
          <t>LFC6206</t>
        </is>
      </c>
      <c r="B763" t="inlineStr">
        <is>
          <t>LFC6206</t>
        </is>
      </c>
      <c r="C763" t="inlineStr">
        <is>
          <t>BODE WILLIAMS</t>
        </is>
      </c>
      <c r="D763" t="inlineStr"/>
      <c r="E763" t="inlineStr">
        <is>
          <t>Y</t>
        </is>
      </c>
    </row>
    <row r="764">
      <c r="A764" t="inlineStr">
        <is>
          <t>LFC6207</t>
        </is>
      </c>
      <c r="B764" t="inlineStr">
        <is>
          <t>LFC6207</t>
        </is>
      </c>
      <c r="C764" t="inlineStr">
        <is>
          <t>BODE WILLIAMS</t>
        </is>
      </c>
      <c r="D764" t="inlineStr"/>
      <c r="E764" t="inlineStr">
        <is>
          <t>Y</t>
        </is>
      </c>
    </row>
    <row r="765">
      <c r="A765" t="inlineStr">
        <is>
          <t>LFC6208</t>
        </is>
      </c>
      <c r="B765" t="inlineStr">
        <is>
          <t>LFC6208</t>
        </is>
      </c>
      <c r="C765" t="inlineStr">
        <is>
          <t>BODE WILLIAMS</t>
        </is>
      </c>
      <c r="D765" t="inlineStr"/>
      <c r="E765" t="inlineStr">
        <is>
          <t>Y</t>
        </is>
      </c>
    </row>
    <row r="766">
      <c r="A766" t="inlineStr">
        <is>
          <t>LFC6209</t>
        </is>
      </c>
      <c r="B766" t="inlineStr">
        <is>
          <t>LFC6209</t>
        </is>
      </c>
      <c r="C766" t="inlineStr">
        <is>
          <t>BODE WILLIAMS</t>
        </is>
      </c>
      <c r="D766" t="inlineStr"/>
      <c r="E766" t="inlineStr">
        <is>
          <t>Y</t>
        </is>
      </c>
    </row>
    <row r="767">
      <c r="A767" t="inlineStr">
        <is>
          <t>LFC6210</t>
        </is>
      </c>
      <c r="B767" t="inlineStr">
        <is>
          <t>LFC6210</t>
        </is>
      </c>
      <c r="C767" t="inlineStr">
        <is>
          <t>BODE WILLIAMS</t>
        </is>
      </c>
      <c r="D767" t="inlineStr"/>
      <c r="E767" t="inlineStr">
        <is>
          <t>Y</t>
        </is>
      </c>
    </row>
    <row r="768">
      <c r="A768" t="inlineStr">
        <is>
          <t>LFC6211</t>
        </is>
      </c>
      <c r="B768" t="inlineStr">
        <is>
          <t>LFC6211</t>
        </is>
      </c>
      <c r="C768" t="inlineStr">
        <is>
          <t>BODE WILLIAMS</t>
        </is>
      </c>
      <c r="D768" t="inlineStr"/>
      <c r="E768" t="inlineStr">
        <is>
          <t>Y</t>
        </is>
      </c>
    </row>
    <row r="769">
      <c r="A769" t="inlineStr">
        <is>
          <t>LFC6212</t>
        </is>
      </c>
      <c r="B769" t="inlineStr">
        <is>
          <t>LFC6212</t>
        </is>
      </c>
      <c r="C769" t="inlineStr">
        <is>
          <t>BODE WILLIAMS</t>
        </is>
      </c>
      <c r="D769" t="inlineStr"/>
      <c r="E769" t="inlineStr">
        <is>
          <t>Y</t>
        </is>
      </c>
    </row>
    <row r="770">
      <c r="A770" t="inlineStr">
        <is>
          <t>LFC6301</t>
        </is>
      </c>
      <c r="B770" t="inlineStr">
        <is>
          <t>LFC6301</t>
        </is>
      </c>
      <c r="C770" t="inlineStr">
        <is>
          <t>LEKKI</t>
        </is>
      </c>
      <c r="D770" t="inlineStr"/>
      <c r="E770" t="inlineStr">
        <is>
          <t>Y</t>
        </is>
      </c>
    </row>
    <row r="771">
      <c r="A771" t="inlineStr">
        <is>
          <t>LFC6302</t>
        </is>
      </c>
      <c r="B771" t="inlineStr">
        <is>
          <t>LFC6302</t>
        </is>
      </c>
      <c r="C771" t="inlineStr">
        <is>
          <t>LEKKI</t>
        </is>
      </c>
      <c r="D771" t="inlineStr"/>
      <c r="E771" t="inlineStr">
        <is>
          <t>Y</t>
        </is>
      </c>
    </row>
    <row r="772">
      <c r="A772" t="inlineStr">
        <is>
          <t>LFC6303</t>
        </is>
      </c>
      <c r="B772" t="inlineStr">
        <is>
          <t>LFC6303</t>
        </is>
      </c>
      <c r="C772" t="inlineStr">
        <is>
          <t>LEKKI</t>
        </is>
      </c>
      <c r="D772" t="inlineStr"/>
      <c r="E772" t="inlineStr">
        <is>
          <t>Y</t>
        </is>
      </c>
    </row>
    <row r="773">
      <c r="A773" t="inlineStr">
        <is>
          <t>LFC6304</t>
        </is>
      </c>
      <c r="B773" t="inlineStr">
        <is>
          <t>LFC6304</t>
        </is>
      </c>
      <c r="C773" t="inlineStr">
        <is>
          <t>LEKKI</t>
        </is>
      </c>
      <c r="D773" t="inlineStr"/>
      <c r="E773" t="inlineStr">
        <is>
          <t>Y</t>
        </is>
      </c>
    </row>
    <row r="774">
      <c r="A774" t="inlineStr">
        <is>
          <t>LFC6305</t>
        </is>
      </c>
      <c r="B774" t="inlineStr">
        <is>
          <t>LFC6305</t>
        </is>
      </c>
      <c r="C774" t="inlineStr">
        <is>
          <t>LEKKI</t>
        </is>
      </c>
      <c r="D774" t="inlineStr"/>
      <c r="E774" t="inlineStr">
        <is>
          <t>Y</t>
        </is>
      </c>
    </row>
    <row r="775">
      <c r="A775" t="inlineStr">
        <is>
          <t>LFC6306</t>
        </is>
      </c>
      <c r="B775" t="inlineStr">
        <is>
          <t>LFC6306</t>
        </is>
      </c>
      <c r="C775" t="inlineStr">
        <is>
          <t>LEKKI</t>
        </is>
      </c>
      <c r="D775" t="inlineStr"/>
      <c r="E775" t="inlineStr">
        <is>
          <t>Y</t>
        </is>
      </c>
    </row>
    <row r="776">
      <c r="A776" t="inlineStr">
        <is>
          <t>LFC6307</t>
        </is>
      </c>
      <c r="B776" t="inlineStr">
        <is>
          <t>LFC6307</t>
        </is>
      </c>
      <c r="C776" t="inlineStr">
        <is>
          <t>LEKKI</t>
        </is>
      </c>
      <c r="D776" t="inlineStr"/>
      <c r="E776" t="inlineStr">
        <is>
          <t>Y</t>
        </is>
      </c>
    </row>
    <row r="777">
      <c r="A777" t="inlineStr">
        <is>
          <t>LFC6308</t>
        </is>
      </c>
      <c r="B777" t="inlineStr">
        <is>
          <t>LFC6308</t>
        </is>
      </c>
      <c r="C777" t="inlineStr">
        <is>
          <t>LEKKI</t>
        </is>
      </c>
      <c r="D777" t="inlineStr"/>
      <c r="E777" t="inlineStr">
        <is>
          <t>Y</t>
        </is>
      </c>
    </row>
    <row r="778">
      <c r="A778" t="inlineStr">
        <is>
          <t>LFC6309</t>
        </is>
      </c>
      <c r="B778" t="inlineStr">
        <is>
          <t>LFC6309</t>
        </is>
      </c>
      <c r="C778" t="inlineStr">
        <is>
          <t>LEKKI</t>
        </is>
      </c>
      <c r="D778" t="inlineStr"/>
      <c r="E778" t="inlineStr">
        <is>
          <t>Y</t>
        </is>
      </c>
    </row>
    <row r="779">
      <c r="A779" t="inlineStr">
        <is>
          <t>LFC6310</t>
        </is>
      </c>
      <c r="B779" t="inlineStr">
        <is>
          <t>LFC6310</t>
        </is>
      </c>
      <c r="C779" t="inlineStr">
        <is>
          <t>LEKKI</t>
        </is>
      </c>
      <c r="D779" t="inlineStr"/>
      <c r="E779" t="inlineStr">
        <is>
          <t>Y</t>
        </is>
      </c>
    </row>
    <row r="780">
      <c r="A780" t="inlineStr">
        <is>
          <t>LFC6311</t>
        </is>
      </c>
      <c r="B780" t="inlineStr">
        <is>
          <t>LFC6311</t>
        </is>
      </c>
      <c r="C780" t="inlineStr">
        <is>
          <t>LEKKI</t>
        </is>
      </c>
      <c r="D780" t="inlineStr"/>
      <c r="E780" t="inlineStr">
        <is>
          <t>Y</t>
        </is>
      </c>
    </row>
    <row r="781">
      <c r="A781" t="inlineStr">
        <is>
          <t>LFC6312</t>
        </is>
      </c>
      <c r="B781" t="inlineStr">
        <is>
          <t>LFC6312</t>
        </is>
      </c>
      <c r="C781" t="inlineStr">
        <is>
          <t>LEKKI</t>
        </is>
      </c>
      <c r="D781" t="inlineStr"/>
      <c r="E781" t="inlineStr">
        <is>
          <t>Y</t>
        </is>
      </c>
    </row>
    <row r="782">
      <c r="A782" t="inlineStr">
        <is>
          <t>LFC6401</t>
        </is>
      </c>
      <c r="B782" t="inlineStr">
        <is>
          <t>LFC6401</t>
        </is>
      </c>
      <c r="C782" t="inlineStr">
        <is>
          <t>VGC</t>
        </is>
      </c>
      <c r="D782" t="inlineStr"/>
      <c r="E782" t="inlineStr">
        <is>
          <t>Y</t>
        </is>
      </c>
    </row>
    <row r="783">
      <c r="A783" t="inlineStr">
        <is>
          <t>LFC6402</t>
        </is>
      </c>
      <c r="B783" t="inlineStr">
        <is>
          <t>LFC6402</t>
        </is>
      </c>
      <c r="C783" t="inlineStr">
        <is>
          <t>VGC</t>
        </is>
      </c>
      <c r="D783" t="inlineStr"/>
      <c r="E783" t="inlineStr">
        <is>
          <t>Y</t>
        </is>
      </c>
    </row>
    <row r="784">
      <c r="A784" t="inlineStr">
        <is>
          <t>LFC6403</t>
        </is>
      </c>
      <c r="B784" t="inlineStr">
        <is>
          <t>LFC6403</t>
        </is>
      </c>
      <c r="C784" t="inlineStr">
        <is>
          <t>VGC</t>
        </is>
      </c>
      <c r="D784" t="inlineStr"/>
      <c r="E784" t="inlineStr">
        <is>
          <t>Y</t>
        </is>
      </c>
    </row>
    <row r="785">
      <c r="A785" t="inlineStr">
        <is>
          <t>LFC6404</t>
        </is>
      </c>
      <c r="B785" t="inlineStr">
        <is>
          <t>LFC6404</t>
        </is>
      </c>
      <c r="C785" t="inlineStr">
        <is>
          <t>VGC</t>
        </is>
      </c>
      <c r="D785" t="inlineStr"/>
      <c r="E785" t="inlineStr">
        <is>
          <t>Y</t>
        </is>
      </c>
    </row>
    <row r="786">
      <c r="A786" t="inlineStr">
        <is>
          <t>LFC6405</t>
        </is>
      </c>
      <c r="B786" t="inlineStr">
        <is>
          <t>LFC6405</t>
        </is>
      </c>
      <c r="C786" t="inlineStr">
        <is>
          <t>VGC</t>
        </is>
      </c>
      <c r="D786" t="inlineStr"/>
      <c r="E786" t="inlineStr">
        <is>
          <t>Y</t>
        </is>
      </c>
    </row>
    <row r="787">
      <c r="A787" t="inlineStr">
        <is>
          <t>LFC6406</t>
        </is>
      </c>
      <c r="B787" t="inlineStr">
        <is>
          <t>LFC6406</t>
        </is>
      </c>
      <c r="C787" t="inlineStr">
        <is>
          <t>VGC</t>
        </is>
      </c>
      <c r="D787" t="inlineStr"/>
      <c r="E787" t="inlineStr">
        <is>
          <t>Y</t>
        </is>
      </c>
    </row>
    <row r="788">
      <c r="A788" t="inlineStr">
        <is>
          <t>LFC6407</t>
        </is>
      </c>
      <c r="B788" t="inlineStr">
        <is>
          <t>LFC6407</t>
        </is>
      </c>
      <c r="C788" t="inlineStr">
        <is>
          <t>VGC</t>
        </is>
      </c>
      <c r="D788" t="inlineStr"/>
      <c r="E788" t="inlineStr">
        <is>
          <t>Y</t>
        </is>
      </c>
    </row>
    <row r="789">
      <c r="A789" t="inlineStr">
        <is>
          <t>LFC6408</t>
        </is>
      </c>
      <c r="B789" t="inlineStr">
        <is>
          <t>LFC6408</t>
        </is>
      </c>
      <c r="C789" t="inlineStr">
        <is>
          <t>VGC</t>
        </is>
      </c>
      <c r="D789" t="inlineStr"/>
      <c r="E789" t="inlineStr">
        <is>
          <t>Y</t>
        </is>
      </c>
    </row>
    <row r="790">
      <c r="A790" t="inlineStr">
        <is>
          <t>LFC6409</t>
        </is>
      </c>
      <c r="B790" t="inlineStr">
        <is>
          <t>LFC6409</t>
        </is>
      </c>
      <c r="C790" t="inlineStr">
        <is>
          <t>VGC</t>
        </is>
      </c>
      <c r="D790" t="inlineStr"/>
      <c r="E790" t="inlineStr">
        <is>
          <t>Y</t>
        </is>
      </c>
    </row>
    <row r="791">
      <c r="A791" t="inlineStr">
        <is>
          <t>LFC6410</t>
        </is>
      </c>
      <c r="B791" t="inlineStr">
        <is>
          <t>LFC6410</t>
        </is>
      </c>
      <c r="C791" t="inlineStr">
        <is>
          <t>VGC</t>
        </is>
      </c>
      <c r="D791" t="inlineStr"/>
      <c r="E791" t="inlineStr">
        <is>
          <t>Y</t>
        </is>
      </c>
    </row>
    <row r="792">
      <c r="A792" t="inlineStr">
        <is>
          <t>LFC6411</t>
        </is>
      </c>
      <c r="B792" t="inlineStr">
        <is>
          <t>LFC6411</t>
        </is>
      </c>
      <c r="C792" t="inlineStr">
        <is>
          <t>VGC</t>
        </is>
      </c>
      <c r="D792" t="inlineStr"/>
      <c r="E792" t="inlineStr">
        <is>
          <t>Y</t>
        </is>
      </c>
    </row>
    <row r="793">
      <c r="A793" t="inlineStr">
        <is>
          <t>LFC6501</t>
        </is>
      </c>
      <c r="B793" t="inlineStr">
        <is>
          <t>LFC6501</t>
        </is>
      </c>
      <c r="C793" t="inlineStr">
        <is>
          <t>AJAH</t>
        </is>
      </c>
      <c r="D793" t="inlineStr"/>
      <c r="E793" t="inlineStr">
        <is>
          <t>Y</t>
        </is>
      </c>
    </row>
    <row r="794">
      <c r="A794" t="inlineStr">
        <is>
          <t>LFC6504</t>
        </is>
      </c>
      <c r="B794" t="inlineStr">
        <is>
          <t>LFC6504</t>
        </is>
      </c>
      <c r="C794" t="inlineStr">
        <is>
          <t>AJAH</t>
        </is>
      </c>
      <c r="D794" t="inlineStr"/>
      <c r="E794" t="inlineStr">
        <is>
          <t>Y</t>
        </is>
      </c>
    </row>
    <row r="795">
      <c r="A795" t="inlineStr">
        <is>
          <t>LFC6505</t>
        </is>
      </c>
      <c r="B795" t="inlineStr">
        <is>
          <t>LFC6505</t>
        </is>
      </c>
      <c r="C795" t="inlineStr">
        <is>
          <t>AJAH</t>
        </is>
      </c>
      <c r="D795" t="inlineStr"/>
      <c r="E795" t="inlineStr">
        <is>
          <t>Y</t>
        </is>
      </c>
    </row>
    <row r="796">
      <c r="A796" t="inlineStr">
        <is>
          <t>LFC6506</t>
        </is>
      </c>
      <c r="B796" t="inlineStr">
        <is>
          <t>LFC6506</t>
        </is>
      </c>
      <c r="C796" t="inlineStr">
        <is>
          <t>AJAH</t>
        </is>
      </c>
      <c r="D796" t="inlineStr"/>
      <c r="E796" t="inlineStr">
        <is>
          <t>Y</t>
        </is>
      </c>
    </row>
    <row r="797">
      <c r="A797" t="inlineStr">
        <is>
          <t>LFC6507</t>
        </is>
      </c>
      <c r="B797" t="inlineStr">
        <is>
          <t>LFC6507</t>
        </is>
      </c>
      <c r="C797" t="inlineStr">
        <is>
          <t>AJAH</t>
        </is>
      </c>
      <c r="D797" t="inlineStr"/>
      <c r="E797" t="inlineStr">
        <is>
          <t>Y</t>
        </is>
      </c>
    </row>
    <row r="798">
      <c r="A798" t="inlineStr">
        <is>
          <t>LFC6508</t>
        </is>
      </c>
      <c r="B798" t="inlineStr">
        <is>
          <t>LFC6508</t>
        </is>
      </c>
      <c r="C798" t="inlineStr">
        <is>
          <t>AJAH</t>
        </is>
      </c>
      <c r="D798" t="inlineStr"/>
      <c r="E798" t="inlineStr">
        <is>
          <t>Y</t>
        </is>
      </c>
    </row>
    <row r="799">
      <c r="A799" t="inlineStr">
        <is>
          <t>LFC6509</t>
        </is>
      </c>
      <c r="B799" t="inlineStr">
        <is>
          <t>LFC6509</t>
        </is>
      </c>
      <c r="C799" t="inlineStr">
        <is>
          <t>AJAH</t>
        </is>
      </c>
      <c r="D799" t="inlineStr"/>
      <c r="E799" t="inlineStr">
        <is>
          <t>Y</t>
        </is>
      </c>
    </row>
    <row r="800">
      <c r="A800" t="inlineStr">
        <is>
          <t>LFC6510</t>
        </is>
      </c>
      <c r="B800" t="inlineStr">
        <is>
          <t>LFC6510</t>
        </is>
      </c>
      <c r="C800" t="inlineStr">
        <is>
          <t>AJAH</t>
        </is>
      </c>
      <c r="D800" t="inlineStr"/>
      <c r="E800" t="inlineStr">
        <is>
          <t>Y</t>
        </is>
      </c>
    </row>
    <row r="801">
      <c r="A801" t="inlineStr">
        <is>
          <t>LFC6511</t>
        </is>
      </c>
      <c r="B801" t="inlineStr">
        <is>
          <t>LFC6511</t>
        </is>
      </c>
      <c r="C801" t="inlineStr">
        <is>
          <t>AJAH</t>
        </is>
      </c>
      <c r="D801" t="inlineStr"/>
      <c r="E801" t="inlineStr">
        <is>
          <t>Y</t>
        </is>
      </c>
    </row>
    <row r="802">
      <c r="A802" t="inlineStr">
        <is>
          <t>LFC6512</t>
        </is>
      </c>
      <c r="B802" t="inlineStr">
        <is>
          <t>LFC6512</t>
        </is>
      </c>
      <c r="C802" t="inlineStr">
        <is>
          <t>AJAH</t>
        </is>
      </c>
      <c r="D802" t="inlineStr"/>
      <c r="E802" t="inlineStr">
        <is>
          <t>Y</t>
        </is>
      </c>
    </row>
    <row r="803">
      <c r="A803" t="inlineStr">
        <is>
          <t>LFC6513</t>
        </is>
      </c>
      <c r="B803" t="inlineStr">
        <is>
          <t>LFC6513</t>
        </is>
      </c>
      <c r="C803" t="inlineStr">
        <is>
          <t>AJAH</t>
        </is>
      </c>
      <c r="D803" t="inlineStr"/>
      <c r="E803" t="inlineStr">
        <is>
          <t>Y</t>
        </is>
      </c>
    </row>
    <row r="804">
      <c r="A804" t="inlineStr">
        <is>
          <t>LFC6514</t>
        </is>
      </c>
      <c r="B804" t="inlineStr">
        <is>
          <t>LFC6514</t>
        </is>
      </c>
      <c r="C804" t="inlineStr">
        <is>
          <t>AJAH</t>
        </is>
      </c>
      <c r="D804" t="inlineStr"/>
      <c r="E804" t="inlineStr">
        <is>
          <t>Y</t>
        </is>
      </c>
    </row>
    <row r="805">
      <c r="A805" t="inlineStr">
        <is>
          <t>LFC6515</t>
        </is>
      </c>
      <c r="B805" t="inlineStr">
        <is>
          <t>LFC6515</t>
        </is>
      </c>
      <c r="C805" t="inlineStr">
        <is>
          <t>AJAH</t>
        </is>
      </c>
      <c r="D805" t="inlineStr"/>
      <c r="E805" t="inlineStr">
        <is>
          <t>Y</t>
        </is>
      </c>
    </row>
    <row r="806">
      <c r="A806" t="inlineStr">
        <is>
          <t>LFC6516</t>
        </is>
      </c>
      <c r="B806" t="inlineStr">
        <is>
          <t>LFC6516</t>
        </is>
      </c>
      <c r="C806" t="inlineStr">
        <is>
          <t>AJAH</t>
        </is>
      </c>
      <c r="D806" t="inlineStr"/>
      <c r="E806" t="inlineStr">
        <is>
          <t>Y</t>
        </is>
      </c>
    </row>
    <row r="807">
      <c r="A807" t="inlineStr">
        <is>
          <t>LFC6517</t>
        </is>
      </c>
      <c r="B807" t="inlineStr">
        <is>
          <t>LFC6517</t>
        </is>
      </c>
      <c r="C807" t="inlineStr">
        <is>
          <t>AJAH</t>
        </is>
      </c>
      <c r="D807" t="inlineStr"/>
      <c r="E807" t="inlineStr">
        <is>
          <t>Y</t>
        </is>
      </c>
    </row>
    <row r="808">
      <c r="A808" t="inlineStr">
        <is>
          <t>LFC6518</t>
        </is>
      </c>
      <c r="B808" t="inlineStr">
        <is>
          <t>LFC6518</t>
        </is>
      </c>
      <c r="C808" t="inlineStr">
        <is>
          <t>AJAH</t>
        </is>
      </c>
      <c r="D808" t="inlineStr"/>
      <c r="E808" t="inlineStr">
        <is>
          <t>Y</t>
        </is>
      </c>
    </row>
    <row r="809">
      <c r="A809" t="inlineStr">
        <is>
          <t>LFC6601</t>
        </is>
      </c>
      <c r="B809" t="inlineStr">
        <is>
          <t>LFC6601</t>
        </is>
      </c>
      <c r="C809" t="inlineStr">
        <is>
          <t>BADORE</t>
        </is>
      </c>
      <c r="D809" t="inlineStr"/>
      <c r="E809" t="inlineStr">
        <is>
          <t>Y</t>
        </is>
      </c>
    </row>
    <row r="810">
      <c r="A810" t="inlineStr">
        <is>
          <t>LFC6602</t>
        </is>
      </c>
      <c r="B810" t="inlineStr">
        <is>
          <t>LFC6602</t>
        </is>
      </c>
      <c r="C810" t="inlineStr">
        <is>
          <t>BADORE</t>
        </is>
      </c>
      <c r="D810" t="inlineStr"/>
      <c r="E810" t="inlineStr">
        <is>
          <t>Y</t>
        </is>
      </c>
    </row>
    <row r="811">
      <c r="A811" t="inlineStr">
        <is>
          <t>LFC6603</t>
        </is>
      </c>
      <c r="B811" t="inlineStr">
        <is>
          <t>LFC6603</t>
        </is>
      </c>
      <c r="C811" t="inlineStr">
        <is>
          <t>BADORE</t>
        </is>
      </c>
      <c r="D811" t="inlineStr"/>
      <c r="E811" t="inlineStr">
        <is>
          <t>Y</t>
        </is>
      </c>
    </row>
    <row r="812">
      <c r="A812" t="inlineStr">
        <is>
          <t>LFC6604</t>
        </is>
      </c>
      <c r="B812" t="inlineStr">
        <is>
          <t>LFC6604</t>
        </is>
      </c>
      <c r="C812" t="inlineStr">
        <is>
          <t>BADORE</t>
        </is>
      </c>
      <c r="D812" t="inlineStr"/>
      <c r="E812" t="inlineStr">
        <is>
          <t>Y</t>
        </is>
      </c>
    </row>
    <row r="813">
      <c r="A813" t="inlineStr">
        <is>
          <t>LFC6605</t>
        </is>
      </c>
      <c r="B813" t="inlineStr">
        <is>
          <t>LFC6605</t>
        </is>
      </c>
      <c r="C813" t="inlineStr">
        <is>
          <t>BADORE</t>
        </is>
      </c>
      <c r="D813" t="inlineStr"/>
      <c r="E813" t="inlineStr">
        <is>
          <t>Y</t>
        </is>
      </c>
    </row>
    <row r="814">
      <c r="A814" t="inlineStr">
        <is>
          <t>LFC6606</t>
        </is>
      </c>
      <c r="B814" t="inlineStr">
        <is>
          <t>LFC6606</t>
        </is>
      </c>
      <c r="C814" t="inlineStr">
        <is>
          <t>BADORE</t>
        </is>
      </c>
      <c r="D814" t="inlineStr"/>
      <c r="E814" t="inlineStr">
        <is>
          <t>Y</t>
        </is>
      </c>
    </row>
    <row r="815">
      <c r="A815" t="inlineStr">
        <is>
          <t>LFC6607</t>
        </is>
      </c>
      <c r="B815" t="inlineStr">
        <is>
          <t>LFC6607</t>
        </is>
      </c>
      <c r="C815" t="inlineStr">
        <is>
          <t>BADORE</t>
        </is>
      </c>
      <c r="D815" t="inlineStr"/>
      <c r="E815" t="inlineStr">
        <is>
          <t>Y</t>
        </is>
      </c>
    </row>
    <row r="816">
      <c r="A816" t="inlineStr">
        <is>
          <t>LFC6608</t>
        </is>
      </c>
      <c r="B816" t="inlineStr">
        <is>
          <t>LFC6608</t>
        </is>
      </c>
      <c r="C816" t="inlineStr">
        <is>
          <t>BADORE</t>
        </is>
      </c>
      <c r="D816" t="inlineStr"/>
      <c r="E816" t="inlineStr">
        <is>
          <t>Y</t>
        </is>
      </c>
    </row>
    <row r="817">
      <c r="A817" t="inlineStr">
        <is>
          <t>LFC6609</t>
        </is>
      </c>
      <c r="B817" t="inlineStr">
        <is>
          <t>LFC6609</t>
        </is>
      </c>
      <c r="C817" t="inlineStr">
        <is>
          <t>BADORE</t>
        </is>
      </c>
      <c r="D817" t="inlineStr"/>
      <c r="E817" t="inlineStr">
        <is>
          <t>Y</t>
        </is>
      </c>
    </row>
    <row r="818">
      <c r="A818" t="inlineStr">
        <is>
          <t>LFC6610</t>
        </is>
      </c>
      <c r="B818" t="inlineStr">
        <is>
          <t>LFC6610</t>
        </is>
      </c>
      <c r="C818" t="inlineStr">
        <is>
          <t>BADORE</t>
        </is>
      </c>
      <c r="D818" t="inlineStr"/>
      <c r="E818" t="inlineStr">
        <is>
          <t>Y</t>
        </is>
      </c>
    </row>
    <row r="819">
      <c r="A819" t="inlineStr">
        <is>
          <t>LFC6611</t>
        </is>
      </c>
      <c r="B819" t="inlineStr">
        <is>
          <t>LFC6611</t>
        </is>
      </c>
      <c r="C819" t="inlineStr">
        <is>
          <t>BADORE</t>
        </is>
      </c>
      <c r="D819" t="inlineStr"/>
      <c r="E819" t="inlineStr">
        <is>
          <t>Y</t>
        </is>
      </c>
    </row>
    <row r="820">
      <c r="A820" t="inlineStr">
        <is>
          <t>LFC6612</t>
        </is>
      </c>
      <c r="B820" t="inlineStr">
        <is>
          <t>LFC6612</t>
        </is>
      </c>
      <c r="C820" t="inlineStr">
        <is>
          <t>BADORE</t>
        </is>
      </c>
      <c r="D820" t="inlineStr"/>
      <c r="E820" t="inlineStr">
        <is>
          <t>Y</t>
        </is>
      </c>
    </row>
    <row r="821">
      <c r="A821" t="inlineStr">
        <is>
          <t>LFC6613</t>
        </is>
      </c>
      <c r="B821" t="inlineStr">
        <is>
          <t>LFC6613</t>
        </is>
      </c>
      <c r="C821" t="inlineStr">
        <is>
          <t>BADORE</t>
        </is>
      </c>
      <c r="D821" t="inlineStr"/>
      <c r="E821" t="inlineStr">
        <is>
          <t>Y</t>
        </is>
      </c>
    </row>
    <row r="822">
      <c r="A822" t="inlineStr">
        <is>
          <t>LFC6614</t>
        </is>
      </c>
      <c r="B822" t="inlineStr">
        <is>
          <t>LFC6614</t>
        </is>
      </c>
      <c r="C822" t="inlineStr">
        <is>
          <t>BADORE</t>
        </is>
      </c>
      <c r="D822" t="inlineStr"/>
      <c r="E822" t="inlineStr">
        <is>
          <t>Y</t>
        </is>
      </c>
    </row>
    <row r="823">
      <c r="A823" t="inlineStr">
        <is>
          <t>LFC6615</t>
        </is>
      </c>
      <c r="B823" t="inlineStr">
        <is>
          <t>LFC6615</t>
        </is>
      </c>
      <c r="C823" t="inlineStr">
        <is>
          <t>BADORE</t>
        </is>
      </c>
      <c r="D823" t="inlineStr"/>
      <c r="E823" t="inlineStr">
        <is>
          <t>Y</t>
        </is>
      </c>
    </row>
    <row r="824">
      <c r="A824" t="inlineStr">
        <is>
          <t>LFC6616</t>
        </is>
      </c>
      <c r="B824" t="inlineStr">
        <is>
          <t>LFC6616</t>
        </is>
      </c>
      <c r="C824" t="inlineStr">
        <is>
          <t>BADORE</t>
        </is>
      </c>
      <c r="D824" t="inlineStr"/>
      <c r="E824" t="inlineStr">
        <is>
          <t>Y</t>
        </is>
      </c>
    </row>
    <row r="825">
      <c r="A825" t="inlineStr">
        <is>
          <t>LFC6617</t>
        </is>
      </c>
      <c r="B825" t="inlineStr">
        <is>
          <t>LFC6617</t>
        </is>
      </c>
      <c r="C825" t="inlineStr">
        <is>
          <t>BADORE</t>
        </is>
      </c>
      <c r="D825" t="inlineStr"/>
      <c r="E825" t="inlineStr">
        <is>
          <t>Y</t>
        </is>
      </c>
    </row>
    <row r="826">
      <c r="A826" t="inlineStr">
        <is>
          <t>LFC6618</t>
        </is>
      </c>
      <c r="B826" t="inlineStr">
        <is>
          <t>LFC6618</t>
        </is>
      </c>
      <c r="C826" t="inlineStr">
        <is>
          <t>BADORE</t>
        </is>
      </c>
      <c r="D826" t="inlineStr"/>
      <c r="E826" t="inlineStr">
        <is>
          <t>Y</t>
        </is>
      </c>
    </row>
    <row r="827">
      <c r="A827" t="inlineStr">
        <is>
          <t>LFC6701</t>
        </is>
      </c>
      <c r="B827" t="inlineStr">
        <is>
          <t>LFC6701</t>
        </is>
      </c>
      <c r="C827" t="inlineStr">
        <is>
          <t>SURULERE</t>
        </is>
      </c>
      <c r="D827" t="inlineStr"/>
      <c r="E827" t="inlineStr">
        <is>
          <t>Y</t>
        </is>
      </c>
    </row>
    <row r="828">
      <c r="A828" t="inlineStr">
        <is>
          <t>LFC6702</t>
        </is>
      </c>
      <c r="B828" t="inlineStr">
        <is>
          <t>LFC6702</t>
        </is>
      </c>
      <c r="C828" t="inlineStr">
        <is>
          <t>SURULERE</t>
        </is>
      </c>
      <c r="D828" t="inlineStr"/>
      <c r="E828" t="inlineStr">
        <is>
          <t>Y</t>
        </is>
      </c>
    </row>
    <row r="829">
      <c r="A829" t="inlineStr">
        <is>
          <t>LFC6703</t>
        </is>
      </c>
      <c r="B829" t="inlineStr">
        <is>
          <t>LFC6703</t>
        </is>
      </c>
      <c r="C829" t="inlineStr">
        <is>
          <t>SURULERE</t>
        </is>
      </c>
      <c r="D829" t="inlineStr"/>
      <c r="E829" t="inlineStr">
        <is>
          <t>Y</t>
        </is>
      </c>
    </row>
    <row r="830">
      <c r="A830" t="inlineStr">
        <is>
          <t>LFC6704</t>
        </is>
      </c>
      <c r="B830" t="inlineStr">
        <is>
          <t>LFC6704</t>
        </is>
      </c>
      <c r="C830" t="inlineStr">
        <is>
          <t>SURULERE</t>
        </is>
      </c>
      <c r="D830" t="inlineStr"/>
      <c r="E830" t="inlineStr">
        <is>
          <t>Y</t>
        </is>
      </c>
    </row>
    <row r="831">
      <c r="A831" t="inlineStr">
        <is>
          <t>LFC6705</t>
        </is>
      </c>
      <c r="B831" t="inlineStr">
        <is>
          <t>LFC6705</t>
        </is>
      </c>
      <c r="C831" t="inlineStr">
        <is>
          <t>SURULERE</t>
        </is>
      </c>
      <c r="D831" t="inlineStr"/>
      <c r="E831" t="inlineStr">
        <is>
          <t>Y</t>
        </is>
      </c>
    </row>
    <row r="832">
      <c r="A832" t="inlineStr">
        <is>
          <t>LFC6706</t>
        </is>
      </c>
      <c r="B832" t="inlineStr">
        <is>
          <t>LFC6706</t>
        </is>
      </c>
      <c r="C832" t="inlineStr">
        <is>
          <t>SURULERE</t>
        </is>
      </c>
      <c r="D832" t="inlineStr"/>
      <c r="E832" t="inlineStr">
        <is>
          <t>Y</t>
        </is>
      </c>
    </row>
    <row r="833">
      <c r="A833" t="inlineStr">
        <is>
          <t>LFC6707</t>
        </is>
      </c>
      <c r="B833" t="inlineStr">
        <is>
          <t>LFC6707</t>
        </is>
      </c>
      <c r="C833" t="inlineStr">
        <is>
          <t>SURULERE</t>
        </is>
      </c>
      <c r="D833" t="inlineStr"/>
      <c r="E833" t="inlineStr">
        <is>
          <t>Y</t>
        </is>
      </c>
    </row>
    <row r="834">
      <c r="A834" t="inlineStr">
        <is>
          <t>LFC6708</t>
        </is>
      </c>
      <c r="B834" t="inlineStr">
        <is>
          <t>LFC6708</t>
        </is>
      </c>
      <c r="C834" t="inlineStr">
        <is>
          <t>SURULERE</t>
        </is>
      </c>
      <c r="D834" t="inlineStr"/>
      <c r="E834" t="inlineStr">
        <is>
          <t>Y</t>
        </is>
      </c>
    </row>
    <row r="835">
      <c r="A835" t="inlineStr">
        <is>
          <t>LFC6709</t>
        </is>
      </c>
      <c r="B835" t="inlineStr">
        <is>
          <t>LFC6709</t>
        </is>
      </c>
      <c r="C835" t="inlineStr">
        <is>
          <t>SURULERE</t>
        </is>
      </c>
      <c r="D835" t="inlineStr"/>
      <c r="E835" t="inlineStr">
        <is>
          <t>Y</t>
        </is>
      </c>
    </row>
    <row r="836">
      <c r="A836" t="inlineStr">
        <is>
          <t>LFC6801</t>
        </is>
      </c>
      <c r="B836" t="inlineStr">
        <is>
          <t>LFC6801</t>
        </is>
      </c>
      <c r="C836" t="inlineStr">
        <is>
          <t>LAWANSON</t>
        </is>
      </c>
      <c r="D836" t="inlineStr"/>
      <c r="E836" t="inlineStr">
        <is>
          <t>Y</t>
        </is>
      </c>
    </row>
    <row r="837">
      <c r="A837" t="inlineStr">
        <is>
          <t>LFC6802</t>
        </is>
      </c>
      <c r="B837" t="inlineStr">
        <is>
          <t>LFC6802</t>
        </is>
      </c>
      <c r="C837" t="inlineStr">
        <is>
          <t>LAWANSON</t>
        </is>
      </c>
      <c r="D837" t="inlineStr"/>
      <c r="E837" t="inlineStr">
        <is>
          <t>Y</t>
        </is>
      </c>
    </row>
    <row r="838">
      <c r="A838" t="inlineStr">
        <is>
          <t>LFC6803</t>
        </is>
      </c>
      <c r="B838" t="inlineStr">
        <is>
          <t>LFC6803</t>
        </is>
      </c>
      <c r="C838" t="inlineStr">
        <is>
          <t>LAWANSON</t>
        </is>
      </c>
      <c r="D838" t="inlineStr"/>
      <c r="E838" t="inlineStr">
        <is>
          <t>Y</t>
        </is>
      </c>
    </row>
    <row r="839">
      <c r="A839" t="inlineStr">
        <is>
          <t>LFC6901</t>
        </is>
      </c>
      <c r="B839" t="inlineStr">
        <is>
          <t>LFC6901</t>
        </is>
      </c>
      <c r="C839" t="inlineStr">
        <is>
          <t>MASHA</t>
        </is>
      </c>
      <c r="D839" t="inlineStr"/>
      <c r="E839" t="inlineStr">
        <is>
          <t>Y</t>
        </is>
      </c>
    </row>
    <row r="840">
      <c r="A840" t="inlineStr">
        <is>
          <t>LFC6902</t>
        </is>
      </c>
      <c r="B840" t="inlineStr">
        <is>
          <t>LFC6902</t>
        </is>
      </c>
      <c r="C840" t="inlineStr">
        <is>
          <t>MASHA</t>
        </is>
      </c>
      <c r="D840" t="inlineStr"/>
      <c r="E840" t="inlineStr">
        <is>
          <t>Y</t>
        </is>
      </c>
    </row>
    <row r="841">
      <c r="A841" t="inlineStr">
        <is>
          <t>LFC6903</t>
        </is>
      </c>
      <c r="B841" t="inlineStr">
        <is>
          <t>LFC6903</t>
        </is>
      </c>
      <c r="C841" t="inlineStr">
        <is>
          <t>MASHA</t>
        </is>
      </c>
      <c r="D841" t="inlineStr"/>
      <c r="E841" t="inlineStr">
        <is>
          <t>Y</t>
        </is>
      </c>
    </row>
    <row r="842">
      <c r="A842" t="inlineStr">
        <is>
          <t>LFC6904</t>
        </is>
      </c>
      <c r="B842" t="inlineStr">
        <is>
          <t>LFC6904</t>
        </is>
      </c>
      <c r="C842" t="inlineStr">
        <is>
          <t>MASHA</t>
        </is>
      </c>
      <c r="D842" t="inlineStr"/>
      <c r="E842" t="inlineStr">
        <is>
          <t>Y</t>
        </is>
      </c>
    </row>
    <row r="843">
      <c r="A843" t="inlineStr">
        <is>
          <t>LFC7001</t>
        </is>
      </c>
      <c r="B843" t="inlineStr">
        <is>
          <t>LFC7001</t>
        </is>
      </c>
      <c r="C843" t="inlineStr">
        <is>
          <t>ILAJE</t>
        </is>
      </c>
      <c r="D843" t="inlineStr"/>
      <c r="E843" t="inlineStr">
        <is>
          <t>Y</t>
        </is>
      </c>
    </row>
    <row r="844">
      <c r="A844" t="inlineStr">
        <is>
          <t>LFC7002</t>
        </is>
      </c>
      <c r="B844" t="inlineStr">
        <is>
          <t>LFC7002</t>
        </is>
      </c>
      <c r="C844" t="inlineStr">
        <is>
          <t>ILAJE</t>
        </is>
      </c>
      <c r="D844" t="inlineStr"/>
      <c r="E844" t="inlineStr">
        <is>
          <t>Y</t>
        </is>
      </c>
    </row>
    <row r="845">
      <c r="A845" t="inlineStr">
        <is>
          <t>LFC7003</t>
        </is>
      </c>
      <c r="B845" t="inlineStr">
        <is>
          <t>LFC7003</t>
        </is>
      </c>
      <c r="C845" t="inlineStr">
        <is>
          <t>ILAJE</t>
        </is>
      </c>
      <c r="D845" t="inlineStr"/>
      <c r="E845" t="inlineStr">
        <is>
          <t>Y</t>
        </is>
      </c>
    </row>
    <row r="846">
      <c r="A846" t="inlineStr">
        <is>
          <t>LFC7004</t>
        </is>
      </c>
      <c r="B846" t="inlineStr">
        <is>
          <t>LFC7004</t>
        </is>
      </c>
      <c r="C846" t="inlineStr">
        <is>
          <t>ILAJE</t>
        </is>
      </c>
      <c r="D846" t="inlineStr"/>
      <c r="E846" t="inlineStr">
        <is>
          <t>Y</t>
        </is>
      </c>
    </row>
    <row r="847">
      <c r="A847" t="inlineStr">
        <is>
          <t>LFC7005</t>
        </is>
      </c>
      <c r="B847" t="inlineStr">
        <is>
          <t>LFC7005</t>
        </is>
      </c>
      <c r="C847" t="inlineStr">
        <is>
          <t>ILAJE</t>
        </is>
      </c>
      <c r="D847" t="inlineStr"/>
      <c r="E847" t="inlineStr">
        <is>
          <t>Y</t>
        </is>
      </c>
    </row>
    <row r="848">
      <c r="A848" t="inlineStr">
        <is>
          <t>LFC7101</t>
        </is>
      </c>
      <c r="B848" t="inlineStr">
        <is>
          <t>LFC7101</t>
        </is>
      </c>
      <c r="C848" t="inlineStr">
        <is>
          <t>OWODE</t>
        </is>
      </c>
      <c r="D848" t="inlineStr"/>
      <c r="E848" t="inlineStr">
        <is>
          <t>Y</t>
        </is>
      </c>
    </row>
    <row r="849">
      <c r="A849" t="inlineStr">
        <is>
          <t>LFC7102</t>
        </is>
      </c>
      <c r="B849" t="inlineStr">
        <is>
          <t>LFC7102</t>
        </is>
      </c>
      <c r="C849" t="inlineStr">
        <is>
          <t>OWODE</t>
        </is>
      </c>
      <c r="D849" t="inlineStr"/>
      <c r="E849" t="inlineStr">
        <is>
          <t>Y</t>
        </is>
      </c>
    </row>
    <row r="850">
      <c r="A850" t="inlineStr">
        <is>
          <t>LFC7103</t>
        </is>
      </c>
      <c r="B850" t="inlineStr">
        <is>
          <t>LFC7103</t>
        </is>
      </c>
      <c r="C850" t="inlineStr">
        <is>
          <t>OWODE</t>
        </is>
      </c>
      <c r="D850" t="inlineStr"/>
      <c r="E850" t="inlineStr">
        <is>
          <t>Y</t>
        </is>
      </c>
    </row>
    <row r="851">
      <c r="A851" t="inlineStr">
        <is>
          <t>LFC7104</t>
        </is>
      </c>
      <c r="B851" t="inlineStr">
        <is>
          <t>LFC7104</t>
        </is>
      </c>
      <c r="C851" t="inlineStr">
        <is>
          <t>OWODE</t>
        </is>
      </c>
      <c r="D851" t="inlineStr"/>
      <c r="E851" t="inlineStr">
        <is>
          <t>Y</t>
        </is>
      </c>
    </row>
    <row r="852">
      <c r="A852" t="inlineStr">
        <is>
          <t>LFC7105</t>
        </is>
      </c>
      <c r="B852" t="inlineStr">
        <is>
          <t>LFC7105</t>
        </is>
      </c>
      <c r="C852" t="inlineStr">
        <is>
          <t>OWODE</t>
        </is>
      </c>
      <c r="D852" t="inlineStr"/>
      <c r="E852" t="inlineStr">
        <is>
          <t>Y</t>
        </is>
      </c>
    </row>
    <row r="853">
      <c r="A853" t="inlineStr">
        <is>
          <t>LFC7106</t>
        </is>
      </c>
      <c r="B853" t="inlineStr">
        <is>
          <t>LFC7106</t>
        </is>
      </c>
      <c r="C853" t="inlineStr">
        <is>
          <t>OWODE</t>
        </is>
      </c>
      <c r="D853" t="inlineStr"/>
      <c r="E853" t="inlineStr">
        <is>
          <t>Y</t>
        </is>
      </c>
    </row>
    <row r="854">
      <c r="A854" t="inlineStr">
        <is>
          <t>LFC7107</t>
        </is>
      </c>
      <c r="B854" t="inlineStr">
        <is>
          <t>LFC7107</t>
        </is>
      </c>
      <c r="C854" t="inlineStr">
        <is>
          <t>OWODE</t>
        </is>
      </c>
      <c r="D854" t="inlineStr"/>
      <c r="E854" t="inlineStr">
        <is>
          <t>Y</t>
        </is>
      </c>
    </row>
    <row r="855">
      <c r="A855" t="inlineStr">
        <is>
          <t>LFC7108</t>
        </is>
      </c>
      <c r="B855" t="inlineStr">
        <is>
          <t>LFC7108</t>
        </is>
      </c>
      <c r="C855" t="inlineStr">
        <is>
          <t>OWODE</t>
        </is>
      </c>
      <c r="D855" t="inlineStr"/>
      <c r="E855" t="inlineStr">
        <is>
          <t>Y</t>
        </is>
      </c>
    </row>
    <row r="856">
      <c r="A856" t="inlineStr">
        <is>
          <t>LFC7109</t>
        </is>
      </c>
      <c r="B856" t="inlineStr">
        <is>
          <t>LFC7109</t>
        </is>
      </c>
      <c r="C856" t="inlineStr">
        <is>
          <t>OWODE</t>
        </is>
      </c>
      <c r="D856" t="inlineStr"/>
      <c r="E856" t="inlineStr">
        <is>
          <t>Y</t>
        </is>
      </c>
    </row>
    <row r="857">
      <c r="A857" t="inlineStr">
        <is>
          <t>LFC7110</t>
        </is>
      </c>
      <c r="B857" t="inlineStr">
        <is>
          <t>LFC7110</t>
        </is>
      </c>
      <c r="C857" t="inlineStr">
        <is>
          <t>OWODE</t>
        </is>
      </c>
      <c r="D857" t="inlineStr"/>
      <c r="E857" t="inlineStr">
        <is>
          <t>Y</t>
        </is>
      </c>
    </row>
    <row r="858">
      <c r="A858" t="inlineStr">
        <is>
          <t>LFC7111</t>
        </is>
      </c>
      <c r="B858" t="inlineStr">
        <is>
          <t>LFC7111</t>
        </is>
      </c>
      <c r="C858" t="inlineStr">
        <is>
          <t>OWODE</t>
        </is>
      </c>
      <c r="D858" t="inlineStr"/>
      <c r="E858" t="inlineStr">
        <is>
          <t>Y</t>
        </is>
      </c>
    </row>
    <row r="859">
      <c r="A859" t="inlineStr">
        <is>
          <t>LFC7112</t>
        </is>
      </c>
      <c r="B859" t="inlineStr">
        <is>
          <t>LFC7112</t>
        </is>
      </c>
      <c r="C859" t="inlineStr">
        <is>
          <t>OWODE</t>
        </is>
      </c>
      <c r="D859" t="inlineStr"/>
      <c r="E859" t="inlineStr">
        <is>
          <t>Y</t>
        </is>
      </c>
    </row>
    <row r="860">
      <c r="A860" t="inlineStr">
        <is>
          <t>LFC7113</t>
        </is>
      </c>
      <c r="B860" t="inlineStr">
        <is>
          <t>LFC7113</t>
        </is>
      </c>
      <c r="C860" t="inlineStr">
        <is>
          <t>OWODE</t>
        </is>
      </c>
      <c r="D860" t="inlineStr"/>
      <c r="E860" t="inlineStr">
        <is>
          <t>Y</t>
        </is>
      </c>
    </row>
    <row r="861">
      <c r="A861" t="inlineStr">
        <is>
          <t>LFC7114</t>
        </is>
      </c>
      <c r="B861" t="inlineStr">
        <is>
          <t>LFC7114</t>
        </is>
      </c>
      <c r="C861" t="inlineStr">
        <is>
          <t>OWODE</t>
        </is>
      </c>
      <c r="D861" t="inlineStr"/>
      <c r="E861" t="inlineStr">
        <is>
          <t>Y</t>
        </is>
      </c>
    </row>
    <row r="862">
      <c r="A862" t="inlineStr">
        <is>
          <t>LFC7115</t>
        </is>
      </c>
      <c r="B862" t="inlineStr">
        <is>
          <t>LFC7115</t>
        </is>
      </c>
      <c r="C862" t="inlineStr">
        <is>
          <t>OWODE</t>
        </is>
      </c>
      <c r="D862" t="inlineStr"/>
      <c r="E862" t="inlineStr">
        <is>
          <t>Y</t>
        </is>
      </c>
    </row>
    <row r="863">
      <c r="A863" t="inlineStr">
        <is>
          <t>LFC7116</t>
        </is>
      </c>
      <c r="B863" t="inlineStr">
        <is>
          <t>LFC7116</t>
        </is>
      </c>
      <c r="C863" t="inlineStr">
        <is>
          <t>OWODE</t>
        </is>
      </c>
      <c r="D863" t="inlineStr"/>
      <c r="E863" t="inlineStr">
        <is>
          <t>Y</t>
        </is>
      </c>
    </row>
    <row r="864">
      <c r="A864" t="inlineStr">
        <is>
          <t>LFC7117</t>
        </is>
      </c>
      <c r="B864" t="inlineStr">
        <is>
          <t>LFC7117</t>
        </is>
      </c>
      <c r="C864" t="inlineStr">
        <is>
          <t>OWODE</t>
        </is>
      </c>
      <c r="D864" t="inlineStr"/>
      <c r="E864" t="inlineStr">
        <is>
          <t>Y</t>
        </is>
      </c>
    </row>
    <row r="865">
      <c r="A865" t="inlineStr">
        <is>
          <t>LFC7118</t>
        </is>
      </c>
      <c r="B865" t="inlineStr">
        <is>
          <t>LFC7118</t>
        </is>
      </c>
      <c r="C865" t="inlineStr">
        <is>
          <t>OWODE</t>
        </is>
      </c>
      <c r="D865" t="inlineStr"/>
      <c r="E865" t="inlineStr">
        <is>
          <t>Y</t>
        </is>
      </c>
    </row>
    <row r="866">
      <c r="A866" t="inlineStr">
        <is>
          <t>LFC7119</t>
        </is>
      </c>
      <c r="B866" t="inlineStr">
        <is>
          <t>LFC7119</t>
        </is>
      </c>
      <c r="C866" t="inlineStr">
        <is>
          <t>OWODE</t>
        </is>
      </c>
      <c r="D866" t="inlineStr"/>
      <c r="E866" t="inlineStr">
        <is>
          <t>Y</t>
        </is>
      </c>
    </row>
    <row r="867">
      <c r="A867" t="inlineStr">
        <is>
          <t>LFC7120</t>
        </is>
      </c>
      <c r="B867" t="inlineStr">
        <is>
          <t>LFC7120</t>
        </is>
      </c>
      <c r="C867" t="inlineStr">
        <is>
          <t>OWODE</t>
        </is>
      </c>
      <c r="D867" t="inlineStr"/>
      <c r="E867" t="inlineStr">
        <is>
          <t>Y</t>
        </is>
      </c>
    </row>
    <row r="868">
      <c r="A868" t="inlineStr">
        <is>
          <t>LFC7121</t>
        </is>
      </c>
      <c r="B868" t="inlineStr">
        <is>
          <t>LFC7121</t>
        </is>
      </c>
      <c r="C868" t="inlineStr">
        <is>
          <t>OWODE</t>
        </is>
      </c>
      <c r="D868" t="inlineStr"/>
      <c r="E868" t="inlineStr">
        <is>
          <t>Y</t>
        </is>
      </c>
    </row>
    <row r="869">
      <c r="A869" t="inlineStr">
        <is>
          <t>LFC7122</t>
        </is>
      </c>
      <c r="B869" t="inlineStr">
        <is>
          <t>LFC7122</t>
        </is>
      </c>
      <c r="C869" t="inlineStr">
        <is>
          <t>OWODE</t>
        </is>
      </c>
      <c r="D869" t="inlineStr"/>
      <c r="E869" t="inlineStr">
        <is>
          <t>Y</t>
        </is>
      </c>
    </row>
    <row r="870">
      <c r="A870" t="inlineStr">
        <is>
          <t>LFC7123</t>
        </is>
      </c>
      <c r="B870" t="inlineStr">
        <is>
          <t>LFC7123</t>
        </is>
      </c>
      <c r="C870" t="inlineStr">
        <is>
          <t>OWODE</t>
        </is>
      </c>
      <c r="D870" t="inlineStr"/>
      <c r="E870" t="inlineStr">
        <is>
          <t>Y</t>
        </is>
      </c>
    </row>
    <row r="871">
      <c r="A871" t="inlineStr">
        <is>
          <t>LFC7124</t>
        </is>
      </c>
      <c r="B871" t="inlineStr">
        <is>
          <t>LFC7124</t>
        </is>
      </c>
      <c r="C871" t="inlineStr">
        <is>
          <t>OWODE</t>
        </is>
      </c>
      <c r="D871" t="inlineStr"/>
      <c r="E871" t="inlineStr">
        <is>
          <t>Y</t>
        </is>
      </c>
    </row>
    <row r="872">
      <c r="A872" t="inlineStr">
        <is>
          <t>LFC7125</t>
        </is>
      </c>
      <c r="B872" t="inlineStr">
        <is>
          <t>LFC7125</t>
        </is>
      </c>
      <c r="C872" t="inlineStr">
        <is>
          <t>OWODE</t>
        </is>
      </c>
      <c r="D872" t="inlineStr"/>
      <c r="E872" t="inlineStr">
        <is>
          <t>Y</t>
        </is>
      </c>
    </row>
    <row r="873">
      <c r="A873" t="inlineStr">
        <is>
          <t>LFC7126</t>
        </is>
      </c>
      <c r="B873" t="inlineStr">
        <is>
          <t>LFC7126</t>
        </is>
      </c>
      <c r="C873" t="inlineStr">
        <is>
          <t>OWODE</t>
        </is>
      </c>
      <c r="D873" t="inlineStr"/>
      <c r="E873" t="inlineStr">
        <is>
          <t>Y</t>
        </is>
      </c>
    </row>
    <row r="874">
      <c r="A874" t="inlineStr">
        <is>
          <t>LFC7127</t>
        </is>
      </c>
      <c r="B874" t="inlineStr">
        <is>
          <t>LFC7127</t>
        </is>
      </c>
      <c r="C874" t="inlineStr">
        <is>
          <t>OWODE</t>
        </is>
      </c>
      <c r="D874" t="inlineStr"/>
      <c r="E874" t="inlineStr">
        <is>
          <t>Y</t>
        </is>
      </c>
    </row>
    <row r="875">
      <c r="A875" t="inlineStr">
        <is>
          <t>LFC7128</t>
        </is>
      </c>
      <c r="B875" t="inlineStr">
        <is>
          <t>LFC7128</t>
        </is>
      </c>
      <c r="C875" t="inlineStr">
        <is>
          <t>OWODE</t>
        </is>
      </c>
      <c r="D875" t="inlineStr"/>
      <c r="E875" t="inlineStr">
        <is>
          <t>Y</t>
        </is>
      </c>
    </row>
    <row r="876">
      <c r="A876" t="inlineStr">
        <is>
          <t>LFC7129</t>
        </is>
      </c>
      <c r="B876" t="inlineStr">
        <is>
          <t>LFC7129</t>
        </is>
      </c>
      <c r="C876" t="inlineStr">
        <is>
          <t>OWODE</t>
        </is>
      </c>
      <c r="D876" t="inlineStr"/>
      <c r="E876" t="inlineStr">
        <is>
          <t>Y</t>
        </is>
      </c>
    </row>
    <row r="877">
      <c r="A877" t="inlineStr">
        <is>
          <t>LFC7130</t>
        </is>
      </c>
      <c r="B877" t="inlineStr">
        <is>
          <t>LFC7130</t>
        </is>
      </c>
      <c r="C877" t="inlineStr">
        <is>
          <t>OWODE</t>
        </is>
      </c>
      <c r="D877" t="inlineStr"/>
      <c r="E877" t="inlineStr">
        <is>
          <t>Y</t>
        </is>
      </c>
    </row>
    <row r="878">
      <c r="A878" t="inlineStr">
        <is>
          <t>LFC7131</t>
        </is>
      </c>
      <c r="B878" t="inlineStr">
        <is>
          <t>LFC7131</t>
        </is>
      </c>
      <c r="C878" t="inlineStr">
        <is>
          <t>OWODE</t>
        </is>
      </c>
      <c r="D878" t="inlineStr"/>
      <c r="E878" t="inlineStr">
        <is>
          <t>Y</t>
        </is>
      </c>
    </row>
    <row r="879">
      <c r="A879" t="inlineStr">
        <is>
          <t>LFC7132</t>
        </is>
      </c>
      <c r="B879" t="inlineStr">
        <is>
          <t>LFC7132</t>
        </is>
      </c>
      <c r="C879" t="inlineStr">
        <is>
          <t>OWODE</t>
        </is>
      </c>
      <c r="D879" t="inlineStr"/>
      <c r="E879" t="inlineStr">
        <is>
          <t>Y</t>
        </is>
      </c>
    </row>
    <row r="880">
      <c r="A880" t="inlineStr">
        <is>
          <t>LFC7133</t>
        </is>
      </c>
      <c r="B880" t="inlineStr">
        <is>
          <t>LFC7133</t>
        </is>
      </c>
      <c r="C880" t="inlineStr">
        <is>
          <t>OWODE</t>
        </is>
      </c>
      <c r="D880" t="inlineStr"/>
      <c r="E880" t="inlineStr">
        <is>
          <t>Y</t>
        </is>
      </c>
    </row>
    <row r="881">
      <c r="A881" t="inlineStr">
        <is>
          <t>LFC7134</t>
        </is>
      </c>
      <c r="B881" t="inlineStr">
        <is>
          <t>LFC7134</t>
        </is>
      </c>
      <c r="C881" t="inlineStr">
        <is>
          <t>OWODE</t>
        </is>
      </c>
      <c r="D881" t="inlineStr"/>
      <c r="E881" t="inlineStr">
        <is>
          <t>Y</t>
        </is>
      </c>
    </row>
    <row r="882">
      <c r="A882" t="inlineStr">
        <is>
          <t>LFC7135</t>
        </is>
      </c>
      <c r="B882" t="inlineStr">
        <is>
          <t>LFC7135</t>
        </is>
      </c>
      <c r="C882" t="inlineStr">
        <is>
          <t>OWODE</t>
        </is>
      </c>
      <c r="D882" t="inlineStr"/>
      <c r="E882" t="inlineStr">
        <is>
          <t>Y</t>
        </is>
      </c>
    </row>
    <row r="883">
      <c r="A883" t="inlineStr">
        <is>
          <t>LFC7136</t>
        </is>
      </c>
      <c r="B883" t="inlineStr">
        <is>
          <t>LFC7136</t>
        </is>
      </c>
      <c r="C883" t="inlineStr">
        <is>
          <t>OWODE</t>
        </is>
      </c>
      <c r="D883" t="inlineStr"/>
      <c r="E883" t="inlineStr">
        <is>
          <t>Y</t>
        </is>
      </c>
    </row>
    <row r="884">
      <c r="A884" t="inlineStr">
        <is>
          <t>LFC7201</t>
        </is>
      </c>
      <c r="B884" t="inlineStr">
        <is>
          <t>LFC7201</t>
        </is>
      </c>
      <c r="C884" t="inlineStr">
        <is>
          <t>SANGO OTA</t>
        </is>
      </c>
      <c r="D884" t="inlineStr"/>
      <c r="E884" t="inlineStr">
        <is>
          <t>Y</t>
        </is>
      </c>
    </row>
    <row r="885">
      <c r="A885" t="inlineStr">
        <is>
          <t>LFC7202</t>
        </is>
      </c>
      <c r="B885" t="inlineStr">
        <is>
          <t>LFC7202</t>
        </is>
      </c>
      <c r="C885" t="inlineStr">
        <is>
          <t>SANGO OTA</t>
        </is>
      </c>
      <c r="D885" t="inlineStr"/>
      <c r="E885" t="inlineStr">
        <is>
          <t>Y</t>
        </is>
      </c>
    </row>
    <row r="886">
      <c r="A886" t="inlineStr">
        <is>
          <t>LFC7203</t>
        </is>
      </c>
      <c r="B886" t="inlineStr">
        <is>
          <t>LFC7203</t>
        </is>
      </c>
      <c r="C886" t="inlineStr">
        <is>
          <t>SANGO OTA</t>
        </is>
      </c>
      <c r="D886" t="inlineStr"/>
      <c r="E886" t="inlineStr">
        <is>
          <t>Y</t>
        </is>
      </c>
    </row>
    <row r="887">
      <c r="A887" t="inlineStr">
        <is>
          <t>LFC7204</t>
        </is>
      </c>
      <c r="B887" t="inlineStr">
        <is>
          <t>LFC7204</t>
        </is>
      </c>
      <c r="C887" t="inlineStr">
        <is>
          <t>SANGO OTA</t>
        </is>
      </c>
      <c r="D887" t="inlineStr"/>
      <c r="E887" t="inlineStr">
        <is>
          <t>Y</t>
        </is>
      </c>
    </row>
    <row r="888">
      <c r="A888" t="inlineStr">
        <is>
          <t>LFC7205</t>
        </is>
      </c>
      <c r="B888" t="inlineStr">
        <is>
          <t>LFC7205</t>
        </is>
      </c>
      <c r="C888" t="inlineStr">
        <is>
          <t>SANGO OTA</t>
        </is>
      </c>
      <c r="D888" t="inlineStr"/>
      <c r="E888" t="inlineStr">
        <is>
          <t>Y</t>
        </is>
      </c>
    </row>
    <row r="889">
      <c r="A889" t="inlineStr">
        <is>
          <t>LFC7206</t>
        </is>
      </c>
      <c r="B889" t="inlineStr">
        <is>
          <t>LFC7206</t>
        </is>
      </c>
      <c r="C889" t="inlineStr">
        <is>
          <t>SANGO OTA</t>
        </is>
      </c>
      <c r="D889" t="inlineStr"/>
      <c r="E889" t="inlineStr">
        <is>
          <t>Y</t>
        </is>
      </c>
    </row>
    <row r="890">
      <c r="A890" t="inlineStr">
        <is>
          <t>LFC7207</t>
        </is>
      </c>
      <c r="B890" t="inlineStr">
        <is>
          <t>LFC7207</t>
        </is>
      </c>
      <c r="C890" t="inlineStr">
        <is>
          <t>SANGO OTA</t>
        </is>
      </c>
      <c r="D890" t="inlineStr"/>
      <c r="E890" t="inlineStr">
        <is>
          <t>Y</t>
        </is>
      </c>
    </row>
    <row r="891">
      <c r="A891" t="inlineStr">
        <is>
          <t>LFC7208</t>
        </is>
      </c>
      <c r="B891" t="inlineStr">
        <is>
          <t>LFC7208</t>
        </is>
      </c>
      <c r="C891" t="inlineStr">
        <is>
          <t>SANGO OTA</t>
        </is>
      </c>
      <c r="D891" t="inlineStr"/>
      <c r="E891" t="inlineStr">
        <is>
          <t>Y</t>
        </is>
      </c>
    </row>
    <row r="892">
      <c r="A892" t="inlineStr">
        <is>
          <t>LFC7209</t>
        </is>
      </c>
      <c r="B892" t="inlineStr">
        <is>
          <t>LFC7209</t>
        </is>
      </c>
      <c r="C892" t="inlineStr">
        <is>
          <t>SANGO OTA</t>
        </is>
      </c>
      <c r="D892" t="inlineStr"/>
      <c r="E892" t="inlineStr">
        <is>
          <t>Y</t>
        </is>
      </c>
    </row>
    <row r="893">
      <c r="A893" t="inlineStr">
        <is>
          <t>LFC7210</t>
        </is>
      </c>
      <c r="B893" t="inlineStr">
        <is>
          <t>LFC7210</t>
        </is>
      </c>
      <c r="C893" t="inlineStr">
        <is>
          <t>SANGO OTA</t>
        </is>
      </c>
      <c r="D893" t="inlineStr"/>
      <c r="E893" t="inlineStr">
        <is>
          <t>Y</t>
        </is>
      </c>
    </row>
    <row r="894">
      <c r="A894" t="inlineStr">
        <is>
          <t>LFC7211</t>
        </is>
      </c>
      <c r="B894" t="inlineStr">
        <is>
          <t>LFC7211</t>
        </is>
      </c>
      <c r="C894" t="inlineStr">
        <is>
          <t>SANGO OTA</t>
        </is>
      </c>
      <c r="D894" t="inlineStr"/>
      <c r="E894" t="inlineStr">
        <is>
          <t>Y</t>
        </is>
      </c>
    </row>
    <row r="895">
      <c r="A895" t="inlineStr">
        <is>
          <t>LFC7212</t>
        </is>
      </c>
      <c r="B895" t="inlineStr">
        <is>
          <t>LFC7212</t>
        </is>
      </c>
      <c r="C895" t="inlineStr">
        <is>
          <t>SANGO OTA</t>
        </is>
      </c>
      <c r="D895" t="inlineStr"/>
      <c r="E895" t="inlineStr">
        <is>
          <t>Y</t>
        </is>
      </c>
    </row>
    <row r="896">
      <c r="A896" t="inlineStr">
        <is>
          <t>LFC7213</t>
        </is>
      </c>
      <c r="B896" t="inlineStr">
        <is>
          <t>LFC7213</t>
        </is>
      </c>
      <c r="C896" t="inlineStr">
        <is>
          <t>SANGO OTA</t>
        </is>
      </c>
      <c r="D896" t="inlineStr"/>
      <c r="E896" t="inlineStr">
        <is>
          <t>Y</t>
        </is>
      </c>
    </row>
    <row r="897">
      <c r="A897" t="inlineStr">
        <is>
          <t>LFC7301</t>
        </is>
      </c>
      <c r="B897" t="inlineStr">
        <is>
          <t>LFC7301</t>
        </is>
      </c>
      <c r="C897" t="inlineStr">
        <is>
          <t>ABEBI OTA</t>
        </is>
      </c>
      <c r="D897" t="inlineStr"/>
      <c r="E897" t="inlineStr">
        <is>
          <t>Y</t>
        </is>
      </c>
    </row>
    <row r="898">
      <c r="A898" t="inlineStr">
        <is>
          <t>LFC7302</t>
        </is>
      </c>
      <c r="B898" t="inlineStr">
        <is>
          <t>LFC7302</t>
        </is>
      </c>
      <c r="C898" t="inlineStr">
        <is>
          <t>ABEBI OTA</t>
        </is>
      </c>
      <c r="D898" t="inlineStr"/>
      <c r="E898" t="inlineStr">
        <is>
          <t>Y</t>
        </is>
      </c>
    </row>
    <row r="899">
      <c r="A899" t="inlineStr">
        <is>
          <t>LFC7303</t>
        </is>
      </c>
      <c r="B899" t="inlineStr">
        <is>
          <t>LFC7303</t>
        </is>
      </c>
      <c r="C899" t="inlineStr">
        <is>
          <t>ABEBI OTA</t>
        </is>
      </c>
      <c r="D899" t="inlineStr"/>
      <c r="E899" t="inlineStr">
        <is>
          <t>Y</t>
        </is>
      </c>
    </row>
    <row r="900">
      <c r="A900" t="inlineStr">
        <is>
          <t>LFC7304</t>
        </is>
      </c>
      <c r="B900" t="inlineStr">
        <is>
          <t>LFC7304</t>
        </is>
      </c>
      <c r="C900" t="inlineStr">
        <is>
          <t>ABEBI OTA</t>
        </is>
      </c>
      <c r="D900" t="inlineStr"/>
      <c r="E900" t="inlineStr">
        <is>
          <t>Y</t>
        </is>
      </c>
    </row>
    <row r="901">
      <c r="A901" t="inlineStr">
        <is>
          <t>LFC7305</t>
        </is>
      </c>
      <c r="B901" t="inlineStr">
        <is>
          <t>LFC7305</t>
        </is>
      </c>
      <c r="C901" t="inlineStr">
        <is>
          <t>ABEBI OTA</t>
        </is>
      </c>
      <c r="D901" t="inlineStr"/>
      <c r="E901" t="inlineStr">
        <is>
          <t>Y</t>
        </is>
      </c>
    </row>
    <row r="902">
      <c r="A902" t="inlineStr">
        <is>
          <t>LFC7306</t>
        </is>
      </c>
      <c r="B902" t="inlineStr">
        <is>
          <t>LFC7306</t>
        </is>
      </c>
      <c r="C902" t="inlineStr">
        <is>
          <t>ABEBI OTA</t>
        </is>
      </c>
      <c r="D902" t="inlineStr"/>
      <c r="E902" t="inlineStr">
        <is>
          <t>Y</t>
        </is>
      </c>
    </row>
    <row r="903">
      <c r="A903" t="inlineStr">
        <is>
          <t>LFC7307</t>
        </is>
      </c>
      <c r="B903" t="inlineStr">
        <is>
          <t>LFC7307</t>
        </is>
      </c>
      <c r="C903" t="inlineStr">
        <is>
          <t>ABEBI OTA</t>
        </is>
      </c>
      <c r="D903" t="inlineStr"/>
      <c r="E903" t="inlineStr">
        <is>
          <t>Y</t>
        </is>
      </c>
    </row>
    <row r="904">
      <c r="A904" t="inlineStr">
        <is>
          <t>LFC7308</t>
        </is>
      </c>
      <c r="B904" t="inlineStr">
        <is>
          <t>LFC7308</t>
        </is>
      </c>
      <c r="C904" t="inlineStr">
        <is>
          <t>ABEBI OTA</t>
        </is>
      </c>
      <c r="D904" t="inlineStr"/>
      <c r="E904" t="inlineStr">
        <is>
          <t>Y</t>
        </is>
      </c>
    </row>
    <row r="905">
      <c r="A905" t="inlineStr">
        <is>
          <t>LFC7309</t>
        </is>
      </c>
      <c r="B905" t="inlineStr">
        <is>
          <t>LFC7309</t>
        </is>
      </c>
      <c r="C905" t="inlineStr">
        <is>
          <t>ABEBI OTA</t>
        </is>
      </c>
      <c r="D905" t="inlineStr"/>
      <c r="E905" t="inlineStr">
        <is>
          <t>Y</t>
        </is>
      </c>
    </row>
    <row r="906">
      <c r="A906" t="inlineStr">
        <is>
          <t>LFC7310</t>
        </is>
      </c>
      <c r="B906" t="inlineStr">
        <is>
          <t>LFC7310</t>
        </is>
      </c>
      <c r="C906" t="inlineStr">
        <is>
          <t>ABEBI OTA</t>
        </is>
      </c>
      <c r="D906" t="inlineStr"/>
      <c r="E906" t="inlineStr">
        <is>
          <t>Y</t>
        </is>
      </c>
    </row>
    <row r="907">
      <c r="A907" t="inlineStr">
        <is>
          <t>LFC7311</t>
        </is>
      </c>
      <c r="B907" t="inlineStr">
        <is>
          <t>LFC7311</t>
        </is>
      </c>
      <c r="C907" t="inlineStr">
        <is>
          <t>ABEBI OTA</t>
        </is>
      </c>
      <c r="D907" t="inlineStr"/>
      <c r="E907" t="inlineStr">
        <is>
          <t>Y</t>
        </is>
      </c>
    </row>
    <row r="908">
      <c r="A908" t="inlineStr">
        <is>
          <t>LFC7312</t>
        </is>
      </c>
      <c r="B908" t="inlineStr">
        <is>
          <t>LFC7312</t>
        </is>
      </c>
      <c r="C908" t="inlineStr">
        <is>
          <t>ABEBI OTA</t>
        </is>
      </c>
      <c r="D908" t="inlineStr"/>
      <c r="E908" t="inlineStr">
        <is>
          <t>Y</t>
        </is>
      </c>
    </row>
    <row r="909">
      <c r="A909" t="inlineStr">
        <is>
          <t>LFC7313</t>
        </is>
      </c>
      <c r="B909" t="inlineStr">
        <is>
          <t>LFC7313</t>
        </is>
      </c>
      <c r="C909" t="inlineStr">
        <is>
          <t>ABEBI OTA</t>
        </is>
      </c>
      <c r="D909" t="inlineStr"/>
      <c r="E909" t="inlineStr">
        <is>
          <t>Y</t>
        </is>
      </c>
    </row>
    <row r="910">
      <c r="A910" t="inlineStr">
        <is>
          <t>LFC7314</t>
        </is>
      </c>
      <c r="B910" t="inlineStr">
        <is>
          <t>LFC7314</t>
        </is>
      </c>
      <c r="C910" t="inlineStr">
        <is>
          <t>ABEBI OTA</t>
        </is>
      </c>
      <c r="D910" t="inlineStr"/>
      <c r="E910" t="inlineStr">
        <is>
          <t>Y</t>
        </is>
      </c>
    </row>
    <row r="911">
      <c r="A911" t="inlineStr">
        <is>
          <t>LFC7315</t>
        </is>
      </c>
      <c r="B911" t="inlineStr">
        <is>
          <t>LFC7315</t>
        </is>
      </c>
      <c r="C911" t="inlineStr">
        <is>
          <t>ABEBI OTA</t>
        </is>
      </c>
      <c r="D911" t="inlineStr"/>
      <c r="E911" t="inlineStr">
        <is>
          <t>Y</t>
        </is>
      </c>
    </row>
    <row r="912">
      <c r="A912" t="inlineStr">
        <is>
          <t>LFC7316</t>
        </is>
      </c>
      <c r="B912" t="inlineStr">
        <is>
          <t>LFC7316</t>
        </is>
      </c>
      <c r="C912" t="inlineStr">
        <is>
          <t>ABEBI OTA</t>
        </is>
      </c>
      <c r="D912" t="inlineStr"/>
      <c r="E912" t="inlineStr">
        <is>
          <t>Y</t>
        </is>
      </c>
    </row>
    <row r="913">
      <c r="A913" t="inlineStr">
        <is>
          <t>LFC7317</t>
        </is>
      </c>
      <c r="B913" t="inlineStr">
        <is>
          <t>LFC7317</t>
        </is>
      </c>
      <c r="C913" t="inlineStr">
        <is>
          <t>ABEBI OTA</t>
        </is>
      </c>
      <c r="D913" t="inlineStr"/>
      <c r="E913" t="inlineStr">
        <is>
          <t>Y</t>
        </is>
      </c>
    </row>
    <row r="914">
      <c r="A914" t="inlineStr">
        <is>
          <t>LFC7318</t>
        </is>
      </c>
      <c r="B914" t="inlineStr">
        <is>
          <t>LFC7318</t>
        </is>
      </c>
      <c r="C914" t="inlineStr">
        <is>
          <t>ABEBI OTA</t>
        </is>
      </c>
      <c r="D914" t="inlineStr"/>
      <c r="E914" t="inlineStr">
        <is>
          <t>Y</t>
        </is>
      </c>
    </row>
    <row r="915">
      <c r="A915" t="inlineStr">
        <is>
          <t>LFC7320</t>
        </is>
      </c>
      <c r="B915" t="inlineStr">
        <is>
          <t>LFC7320</t>
        </is>
      </c>
      <c r="C915" t="inlineStr">
        <is>
          <t>ABEBI OTA</t>
        </is>
      </c>
      <c r="D915" t="inlineStr"/>
      <c r="E915" t="inlineStr">
        <is>
          <t>Y</t>
        </is>
      </c>
    </row>
    <row r="916">
      <c r="A916" t="inlineStr">
        <is>
          <t>LFC7322</t>
        </is>
      </c>
      <c r="B916" t="inlineStr">
        <is>
          <t>LFC7322</t>
        </is>
      </c>
      <c r="C916" t="inlineStr">
        <is>
          <t>ABEBI OTA</t>
        </is>
      </c>
      <c r="D916" t="inlineStr"/>
      <c r="E916" t="inlineStr">
        <is>
          <t>Y</t>
        </is>
      </c>
    </row>
    <row r="917">
      <c r="A917" t="inlineStr">
        <is>
          <t>LFC7323</t>
        </is>
      </c>
      <c r="B917" t="inlineStr">
        <is>
          <t>LFC7323</t>
        </is>
      </c>
      <c r="C917" t="inlineStr">
        <is>
          <t>ABEBI OTA</t>
        </is>
      </c>
      <c r="D917" t="inlineStr"/>
      <c r="E917" t="inlineStr">
        <is>
          <t>Y</t>
        </is>
      </c>
    </row>
    <row r="918">
      <c r="A918" t="inlineStr">
        <is>
          <t>LFC7401</t>
        </is>
      </c>
      <c r="B918" t="inlineStr">
        <is>
          <t>LFC7401</t>
        </is>
      </c>
      <c r="C918" t="inlineStr">
        <is>
          <t>IGBALA</t>
        </is>
      </c>
      <c r="D918" t="inlineStr"/>
      <c r="E918" t="inlineStr">
        <is>
          <t>Y</t>
        </is>
      </c>
    </row>
    <row r="919">
      <c r="A919" t="inlineStr">
        <is>
          <t>LFC7402</t>
        </is>
      </c>
      <c r="B919" t="inlineStr">
        <is>
          <t>LFC7402</t>
        </is>
      </c>
      <c r="C919" t="inlineStr">
        <is>
          <t>IGBALA</t>
        </is>
      </c>
      <c r="D919" t="inlineStr"/>
      <c r="E919" t="inlineStr">
        <is>
          <t>Y</t>
        </is>
      </c>
    </row>
    <row r="920">
      <c r="A920" t="inlineStr">
        <is>
          <t>LFC7403</t>
        </is>
      </c>
      <c r="B920" t="inlineStr">
        <is>
          <t>LFC7403</t>
        </is>
      </c>
      <c r="C920" t="inlineStr">
        <is>
          <t>IGBALA</t>
        </is>
      </c>
      <c r="D920" t="inlineStr"/>
      <c r="E920" t="inlineStr">
        <is>
          <t>Y</t>
        </is>
      </c>
    </row>
    <row r="921">
      <c r="A921" t="inlineStr">
        <is>
          <t>LFC7404</t>
        </is>
      </c>
      <c r="B921" t="inlineStr">
        <is>
          <t>LFC7404</t>
        </is>
      </c>
      <c r="C921" t="inlineStr">
        <is>
          <t>IGBALA</t>
        </is>
      </c>
      <c r="D921" t="inlineStr"/>
      <c r="E921" t="inlineStr">
        <is>
          <t>Y</t>
        </is>
      </c>
    </row>
    <row r="922">
      <c r="A922" t="inlineStr">
        <is>
          <t>LFC7405</t>
        </is>
      </c>
      <c r="B922" t="inlineStr">
        <is>
          <t>LFC7405</t>
        </is>
      </c>
      <c r="C922" t="inlineStr">
        <is>
          <t>IGBALA</t>
        </is>
      </c>
      <c r="D922" t="inlineStr"/>
      <c r="E922" t="inlineStr">
        <is>
          <t>Y</t>
        </is>
      </c>
    </row>
    <row r="923">
      <c r="A923" t="inlineStr">
        <is>
          <t>LFC7406</t>
        </is>
      </c>
      <c r="B923" t="inlineStr">
        <is>
          <t>LFC7406</t>
        </is>
      </c>
      <c r="C923" t="inlineStr">
        <is>
          <t>IGBALA</t>
        </is>
      </c>
      <c r="D923" t="inlineStr"/>
      <c r="E923" t="inlineStr">
        <is>
          <t>Y</t>
        </is>
      </c>
    </row>
    <row r="924">
      <c r="A924" t="inlineStr">
        <is>
          <t>LFC7407</t>
        </is>
      </c>
      <c r="B924" t="inlineStr">
        <is>
          <t>LFC7407</t>
        </is>
      </c>
      <c r="C924" t="inlineStr">
        <is>
          <t>IGBALA</t>
        </is>
      </c>
      <c r="D924" t="inlineStr"/>
      <c r="E924" t="inlineStr">
        <is>
          <t>Y</t>
        </is>
      </c>
    </row>
    <row r="925">
      <c r="A925" t="inlineStr">
        <is>
          <t>LFC7501</t>
        </is>
      </c>
      <c r="B925" t="inlineStr">
        <is>
          <t>LFC7501</t>
        </is>
      </c>
      <c r="C925" t="inlineStr">
        <is>
          <t>ILOGBO OTA</t>
        </is>
      </c>
      <c r="D925" t="inlineStr"/>
      <c r="E925" t="inlineStr">
        <is>
          <t>Y</t>
        </is>
      </c>
    </row>
    <row r="926">
      <c r="A926" t="inlineStr">
        <is>
          <t>LFC7502</t>
        </is>
      </c>
      <c r="B926" t="inlineStr">
        <is>
          <t>LFC7502</t>
        </is>
      </c>
      <c r="C926" t="inlineStr">
        <is>
          <t>ILOGBO OTA</t>
        </is>
      </c>
      <c r="D926" t="inlineStr"/>
      <c r="E926" t="inlineStr">
        <is>
          <t>Y</t>
        </is>
      </c>
    </row>
    <row r="927">
      <c r="A927" t="inlineStr">
        <is>
          <t>LFC7503</t>
        </is>
      </c>
      <c r="B927" t="inlineStr">
        <is>
          <t>LFC7503</t>
        </is>
      </c>
      <c r="C927" t="inlineStr">
        <is>
          <t>ILOGBO OTA</t>
        </is>
      </c>
      <c r="D927" t="inlineStr"/>
      <c r="E927" t="inlineStr">
        <is>
          <t>Y</t>
        </is>
      </c>
    </row>
    <row r="928">
      <c r="A928" t="inlineStr">
        <is>
          <t>LFC7504</t>
        </is>
      </c>
      <c r="B928" t="inlineStr">
        <is>
          <t>LFC7504</t>
        </is>
      </c>
      <c r="C928" t="inlineStr">
        <is>
          <t>ILOGBO OTA</t>
        </is>
      </c>
      <c r="D928" t="inlineStr"/>
      <c r="E928" t="inlineStr">
        <is>
          <t>Y</t>
        </is>
      </c>
    </row>
    <row r="929">
      <c r="A929" t="inlineStr">
        <is>
          <t>LFC7505</t>
        </is>
      </c>
      <c r="B929" t="inlineStr">
        <is>
          <t>LFC7505</t>
        </is>
      </c>
      <c r="C929" t="inlineStr">
        <is>
          <t>ILOGBO OTA</t>
        </is>
      </c>
      <c r="D929" t="inlineStr"/>
      <c r="E929" t="inlineStr">
        <is>
          <t>Y</t>
        </is>
      </c>
    </row>
    <row r="930">
      <c r="A930" t="inlineStr">
        <is>
          <t>LFC7506</t>
        </is>
      </c>
      <c r="B930" t="inlineStr">
        <is>
          <t>LFC7506</t>
        </is>
      </c>
      <c r="C930" t="inlineStr">
        <is>
          <t>ILOGBO OTA</t>
        </is>
      </c>
      <c r="D930" t="inlineStr"/>
      <c r="E930" t="inlineStr">
        <is>
          <t>Y</t>
        </is>
      </c>
    </row>
    <row r="931">
      <c r="A931" t="inlineStr">
        <is>
          <t>LFC7507</t>
        </is>
      </c>
      <c r="B931" t="inlineStr">
        <is>
          <t>LFC7507</t>
        </is>
      </c>
      <c r="C931" t="inlineStr">
        <is>
          <t>ILOGBO OTA</t>
        </is>
      </c>
      <c r="D931" t="inlineStr"/>
      <c r="E931" t="inlineStr">
        <is>
          <t>Y</t>
        </is>
      </c>
    </row>
    <row r="932">
      <c r="A932" t="inlineStr">
        <is>
          <t>LFC7508</t>
        </is>
      </c>
      <c r="B932" t="inlineStr">
        <is>
          <t>LFC7508</t>
        </is>
      </c>
      <c r="C932" t="inlineStr">
        <is>
          <t>ILOGBO OTA</t>
        </is>
      </c>
      <c r="D932" t="inlineStr"/>
      <c r="E932" t="inlineStr">
        <is>
          <t>Y</t>
        </is>
      </c>
    </row>
    <row r="933">
      <c r="A933" t="inlineStr">
        <is>
          <t>LFC7509</t>
        </is>
      </c>
      <c r="B933" t="inlineStr">
        <is>
          <t>LFC7509</t>
        </is>
      </c>
      <c r="C933" t="inlineStr">
        <is>
          <t>ILOGBO OTA</t>
        </is>
      </c>
      <c r="D933" t="inlineStr"/>
      <c r="E933" t="inlineStr">
        <is>
          <t>Y</t>
        </is>
      </c>
    </row>
    <row r="934">
      <c r="A934" t="inlineStr">
        <is>
          <t>LFC7510</t>
        </is>
      </c>
      <c r="B934" t="inlineStr">
        <is>
          <t>LFC7510</t>
        </is>
      </c>
      <c r="C934" t="inlineStr">
        <is>
          <t>ILOGBO OTA</t>
        </is>
      </c>
      <c r="D934" t="inlineStr"/>
      <c r="E934" t="inlineStr">
        <is>
          <t>Y</t>
        </is>
      </c>
    </row>
    <row r="935">
      <c r="A935" t="inlineStr">
        <is>
          <t>LFC7511</t>
        </is>
      </c>
      <c r="B935" t="inlineStr">
        <is>
          <t>LFC7511</t>
        </is>
      </c>
      <c r="C935" t="inlineStr">
        <is>
          <t>ILOGBO OTA</t>
        </is>
      </c>
      <c r="D935" t="inlineStr"/>
      <c r="E935" t="inlineStr">
        <is>
          <t>Y</t>
        </is>
      </c>
    </row>
    <row r="936">
      <c r="A936" t="inlineStr">
        <is>
          <t>LFC7512</t>
        </is>
      </c>
      <c r="B936" t="inlineStr">
        <is>
          <t>LFC7512</t>
        </is>
      </c>
      <c r="C936" t="inlineStr">
        <is>
          <t>ILOGBO OTA</t>
        </is>
      </c>
      <c r="D936" t="inlineStr"/>
      <c r="E936" t="inlineStr">
        <is>
          <t>Y</t>
        </is>
      </c>
    </row>
    <row r="937">
      <c r="A937" t="inlineStr">
        <is>
          <t>LFC7513</t>
        </is>
      </c>
      <c r="B937" t="inlineStr">
        <is>
          <t>LFC7513</t>
        </is>
      </c>
      <c r="C937" t="inlineStr">
        <is>
          <t>ILOGBO OTA</t>
        </is>
      </c>
      <c r="D937" t="inlineStr"/>
      <c r="E937" t="inlineStr">
        <is>
          <t>Y</t>
        </is>
      </c>
    </row>
    <row r="938">
      <c r="A938" t="inlineStr">
        <is>
          <t>LFC7514</t>
        </is>
      </c>
      <c r="B938" t="inlineStr">
        <is>
          <t>LFC7514</t>
        </is>
      </c>
      <c r="C938" t="inlineStr">
        <is>
          <t>ILOGBO OTA</t>
        </is>
      </c>
      <c r="D938" t="inlineStr"/>
      <c r="E938" t="inlineStr">
        <is>
          <t>Y</t>
        </is>
      </c>
    </row>
    <row r="939">
      <c r="A939" t="inlineStr">
        <is>
          <t>LFC7515</t>
        </is>
      </c>
      <c r="B939" t="inlineStr">
        <is>
          <t>LFC7515</t>
        </is>
      </c>
      <c r="C939" t="inlineStr">
        <is>
          <t>ILOGBO OTA</t>
        </is>
      </c>
      <c r="D939" t="inlineStr"/>
      <c r="E939" t="inlineStr">
        <is>
          <t>Y</t>
        </is>
      </c>
    </row>
    <row r="940">
      <c r="A940" t="inlineStr">
        <is>
          <t>LFC7516</t>
        </is>
      </c>
      <c r="B940" t="inlineStr">
        <is>
          <t>LFC7516</t>
        </is>
      </c>
      <c r="C940" t="inlineStr">
        <is>
          <t>ILOGBO OTA</t>
        </is>
      </c>
      <c r="D940" t="inlineStr"/>
      <c r="E940" t="inlineStr">
        <is>
          <t>Y</t>
        </is>
      </c>
    </row>
    <row r="941">
      <c r="A941" t="inlineStr">
        <is>
          <t>LFC7517</t>
        </is>
      </c>
      <c r="B941" t="inlineStr">
        <is>
          <t>LFC7517</t>
        </is>
      </c>
      <c r="C941" t="inlineStr">
        <is>
          <t>ILOGBO OTA</t>
        </is>
      </c>
      <c r="D941" t="inlineStr"/>
      <c r="E941" t="inlineStr">
        <is>
          <t>Y</t>
        </is>
      </c>
    </row>
    <row r="942">
      <c r="A942" t="inlineStr">
        <is>
          <t>LFC7518</t>
        </is>
      </c>
      <c r="B942" t="inlineStr">
        <is>
          <t>LFC7518</t>
        </is>
      </c>
      <c r="C942" t="inlineStr">
        <is>
          <t>ILOGBO OTA</t>
        </is>
      </c>
      <c r="D942" t="inlineStr"/>
      <c r="E942" t="inlineStr">
        <is>
          <t>Y</t>
        </is>
      </c>
    </row>
    <row r="943">
      <c r="A943" t="inlineStr">
        <is>
          <t>LFC7519</t>
        </is>
      </c>
      <c r="B943" t="inlineStr">
        <is>
          <t>LFC7519</t>
        </is>
      </c>
      <c r="C943" t="inlineStr">
        <is>
          <t>ILOGBO OTA</t>
        </is>
      </c>
      <c r="D943" t="inlineStr"/>
      <c r="E943" t="inlineStr">
        <is>
          <t>Y</t>
        </is>
      </c>
    </row>
    <row r="944">
      <c r="A944" t="inlineStr">
        <is>
          <t>LFC7520</t>
        </is>
      </c>
      <c r="B944" t="inlineStr">
        <is>
          <t>LFC7520</t>
        </is>
      </c>
      <c r="C944" t="inlineStr">
        <is>
          <t>ILOGBO OTA</t>
        </is>
      </c>
      <c r="D944" t="inlineStr"/>
      <c r="E944" t="inlineStr">
        <is>
          <t>Y</t>
        </is>
      </c>
    </row>
    <row r="945">
      <c r="A945" t="inlineStr">
        <is>
          <t>LFC7601</t>
        </is>
      </c>
      <c r="B945" t="inlineStr">
        <is>
          <t>LFC7601</t>
        </is>
      </c>
      <c r="C945" t="inlineStr">
        <is>
          <t>IJOKO</t>
        </is>
      </c>
      <c r="D945" t="inlineStr"/>
      <c r="E945" t="inlineStr">
        <is>
          <t>Y</t>
        </is>
      </c>
    </row>
    <row r="946">
      <c r="A946" t="inlineStr">
        <is>
          <t>LFC7602</t>
        </is>
      </c>
      <c r="B946" t="inlineStr">
        <is>
          <t>LFC7602</t>
        </is>
      </c>
      <c r="C946" t="inlineStr">
        <is>
          <t>IJOKO</t>
        </is>
      </c>
      <c r="D946" t="inlineStr"/>
      <c r="E946" t="inlineStr">
        <is>
          <t>Y</t>
        </is>
      </c>
    </row>
    <row r="947">
      <c r="A947" t="inlineStr">
        <is>
          <t>LFC7603</t>
        </is>
      </c>
      <c r="B947" t="inlineStr">
        <is>
          <t>LFC7603</t>
        </is>
      </c>
      <c r="C947" t="inlineStr">
        <is>
          <t>IJOKO</t>
        </is>
      </c>
      <c r="D947" t="inlineStr"/>
      <c r="E947" t="inlineStr">
        <is>
          <t>Y</t>
        </is>
      </c>
    </row>
    <row r="948">
      <c r="A948" t="inlineStr">
        <is>
          <t>LFC7604</t>
        </is>
      </c>
      <c r="B948" t="inlineStr">
        <is>
          <t>LFC7604</t>
        </is>
      </c>
      <c r="C948" t="inlineStr">
        <is>
          <t>IJOKO</t>
        </is>
      </c>
      <c r="D948" t="inlineStr"/>
      <c r="E948" t="inlineStr">
        <is>
          <t>Y</t>
        </is>
      </c>
    </row>
    <row r="949">
      <c r="A949" t="inlineStr">
        <is>
          <t>LFC7605</t>
        </is>
      </c>
      <c r="B949" t="inlineStr">
        <is>
          <t>LFC7605</t>
        </is>
      </c>
      <c r="C949" t="inlineStr">
        <is>
          <t>IJOKO</t>
        </is>
      </c>
      <c r="D949" t="inlineStr"/>
      <c r="E949" t="inlineStr">
        <is>
          <t>Y</t>
        </is>
      </c>
    </row>
    <row r="950">
      <c r="A950" t="inlineStr">
        <is>
          <t>LFC7606</t>
        </is>
      </c>
      <c r="B950" t="inlineStr">
        <is>
          <t>LFC7606</t>
        </is>
      </c>
      <c r="C950" t="inlineStr">
        <is>
          <t>IJOKO</t>
        </is>
      </c>
      <c r="D950" t="inlineStr"/>
      <c r="E950" t="inlineStr">
        <is>
          <t>Y</t>
        </is>
      </c>
    </row>
    <row r="951">
      <c r="A951" t="inlineStr">
        <is>
          <t>LFC7607</t>
        </is>
      </c>
      <c r="B951" t="inlineStr">
        <is>
          <t>LFC7607</t>
        </is>
      </c>
      <c r="C951" t="inlineStr">
        <is>
          <t>IJOKO</t>
        </is>
      </c>
      <c r="D951" t="inlineStr"/>
      <c r="E951" t="inlineStr">
        <is>
          <t>Y</t>
        </is>
      </c>
    </row>
    <row r="952">
      <c r="A952" t="inlineStr">
        <is>
          <t>LFC7608</t>
        </is>
      </c>
      <c r="B952" t="inlineStr">
        <is>
          <t>LFC7608</t>
        </is>
      </c>
      <c r="C952" t="inlineStr">
        <is>
          <t>IJOKO</t>
        </is>
      </c>
      <c r="D952" t="inlineStr"/>
      <c r="E952" t="inlineStr">
        <is>
          <t>Y</t>
        </is>
      </c>
    </row>
    <row r="953">
      <c r="A953" t="inlineStr">
        <is>
          <t>LFC7609</t>
        </is>
      </c>
      <c r="B953" t="inlineStr">
        <is>
          <t>LFC7609</t>
        </is>
      </c>
      <c r="C953" t="inlineStr">
        <is>
          <t>IJOKO</t>
        </is>
      </c>
      <c r="D953" t="inlineStr"/>
      <c r="E953" t="inlineStr">
        <is>
          <t>Y</t>
        </is>
      </c>
    </row>
    <row r="954">
      <c r="A954" t="inlineStr">
        <is>
          <t>LFC7610</t>
        </is>
      </c>
      <c r="B954" t="inlineStr">
        <is>
          <t>LFC7610</t>
        </is>
      </c>
      <c r="C954" t="inlineStr">
        <is>
          <t>IJOKO</t>
        </is>
      </c>
      <c r="D954" t="inlineStr"/>
      <c r="E954" t="inlineStr">
        <is>
          <t>Y</t>
        </is>
      </c>
    </row>
    <row r="955">
      <c r="A955" t="inlineStr">
        <is>
          <t>LFC7611</t>
        </is>
      </c>
      <c r="B955" t="inlineStr">
        <is>
          <t>LFC7611</t>
        </is>
      </c>
      <c r="C955" t="inlineStr">
        <is>
          <t>IJOKO</t>
        </is>
      </c>
      <c r="D955" t="inlineStr"/>
      <c r="E955" t="inlineStr">
        <is>
          <t>Y</t>
        </is>
      </c>
    </row>
    <row r="956">
      <c r="A956" t="inlineStr">
        <is>
          <t>LFC7612</t>
        </is>
      </c>
      <c r="B956" t="inlineStr">
        <is>
          <t>LFC7612</t>
        </is>
      </c>
      <c r="C956" t="inlineStr">
        <is>
          <t>IJOKO</t>
        </is>
      </c>
      <c r="D956" t="inlineStr"/>
      <c r="E956" t="inlineStr">
        <is>
          <t>Y</t>
        </is>
      </c>
    </row>
    <row r="957">
      <c r="A957" t="inlineStr">
        <is>
          <t>LFC7613</t>
        </is>
      </c>
      <c r="B957" t="inlineStr">
        <is>
          <t>LFC7613</t>
        </is>
      </c>
      <c r="C957" t="inlineStr">
        <is>
          <t>IJOKO</t>
        </is>
      </c>
      <c r="D957" t="inlineStr"/>
      <c r="E957" t="inlineStr">
        <is>
          <t>Y</t>
        </is>
      </c>
    </row>
    <row r="958">
      <c r="A958" t="inlineStr">
        <is>
          <t>LFC7614</t>
        </is>
      </c>
      <c r="B958" t="inlineStr">
        <is>
          <t>LFC7614</t>
        </is>
      </c>
      <c r="C958" t="inlineStr">
        <is>
          <t>IJOKO</t>
        </is>
      </c>
      <c r="D958" t="inlineStr"/>
      <c r="E958" t="inlineStr">
        <is>
          <t>Y</t>
        </is>
      </c>
    </row>
    <row r="959">
      <c r="A959" t="inlineStr">
        <is>
          <t>LFC7615</t>
        </is>
      </c>
      <c r="B959" t="inlineStr">
        <is>
          <t>LFC7615</t>
        </is>
      </c>
      <c r="C959" t="inlineStr">
        <is>
          <t>IJOKO</t>
        </is>
      </c>
      <c r="D959" t="inlineStr"/>
      <c r="E959" t="inlineStr">
        <is>
          <t>Y</t>
        </is>
      </c>
    </row>
    <row r="960">
      <c r="A960" t="inlineStr">
        <is>
          <t>LFC7616</t>
        </is>
      </c>
      <c r="B960" t="inlineStr">
        <is>
          <t>LFC7616</t>
        </is>
      </c>
      <c r="C960" t="inlineStr">
        <is>
          <t>IJOKO</t>
        </is>
      </c>
      <c r="D960" t="inlineStr"/>
      <c r="E960" t="inlineStr">
        <is>
          <t>Y</t>
        </is>
      </c>
    </row>
    <row r="961">
      <c r="A961" t="inlineStr">
        <is>
          <t>LFC7701</t>
        </is>
      </c>
      <c r="B961" t="inlineStr">
        <is>
          <t>LFC7701</t>
        </is>
      </c>
      <c r="C961" t="inlineStr">
        <is>
          <t>WHITEHOUSE</t>
        </is>
      </c>
      <c r="D961" t="inlineStr"/>
      <c r="E961" t="inlineStr">
        <is>
          <t>Y</t>
        </is>
      </c>
    </row>
    <row r="962">
      <c r="A962" t="inlineStr">
        <is>
          <t>LFC7702</t>
        </is>
      </c>
      <c r="B962" t="inlineStr">
        <is>
          <t>LFC7702</t>
        </is>
      </c>
      <c r="C962" t="inlineStr">
        <is>
          <t>WHITEHOUSE</t>
        </is>
      </c>
      <c r="D962" t="inlineStr"/>
      <c r="E962" t="inlineStr">
        <is>
          <t>Y</t>
        </is>
      </c>
    </row>
    <row r="963">
      <c r="A963" t="inlineStr">
        <is>
          <t>LFC7703</t>
        </is>
      </c>
      <c r="B963" t="inlineStr">
        <is>
          <t>LFC7703</t>
        </is>
      </c>
      <c r="C963" t="inlineStr">
        <is>
          <t>WHITEHOUSE</t>
        </is>
      </c>
      <c r="D963" t="inlineStr"/>
      <c r="E963" t="inlineStr">
        <is>
          <t>Y</t>
        </is>
      </c>
    </row>
    <row r="964">
      <c r="A964" t="inlineStr">
        <is>
          <t>LFC7704</t>
        </is>
      </c>
      <c r="B964" t="inlineStr">
        <is>
          <t>LFC7704</t>
        </is>
      </c>
      <c r="C964" t="inlineStr">
        <is>
          <t>WHITEHOUSE</t>
        </is>
      </c>
      <c r="D964" t="inlineStr"/>
      <c r="E964" t="inlineStr">
        <is>
          <t>Y</t>
        </is>
      </c>
    </row>
    <row r="965">
      <c r="A965" t="inlineStr">
        <is>
          <t>LFC7705</t>
        </is>
      </c>
      <c r="B965" t="inlineStr">
        <is>
          <t>LFC7705</t>
        </is>
      </c>
      <c r="C965" t="inlineStr">
        <is>
          <t>WHITEHOUSE</t>
        </is>
      </c>
      <c r="D965" t="inlineStr"/>
      <c r="E965" t="inlineStr">
        <is>
          <t>Y</t>
        </is>
      </c>
    </row>
    <row r="966">
      <c r="A966" t="inlineStr">
        <is>
          <t>LFC7706</t>
        </is>
      </c>
      <c r="B966" t="inlineStr">
        <is>
          <t>LFC7706</t>
        </is>
      </c>
      <c r="C966" t="inlineStr">
        <is>
          <t>WHITEHOUSE</t>
        </is>
      </c>
      <c r="D966" t="inlineStr"/>
      <c r="E966" t="inlineStr">
        <is>
          <t>Y</t>
        </is>
      </c>
    </row>
    <row r="967">
      <c r="A967" t="inlineStr">
        <is>
          <t>LFC7707</t>
        </is>
      </c>
      <c r="B967" t="inlineStr">
        <is>
          <t>LFC7707</t>
        </is>
      </c>
      <c r="C967" t="inlineStr">
        <is>
          <t>WHITEHOUSE</t>
        </is>
      </c>
      <c r="D967" t="inlineStr"/>
      <c r="E967" t="inlineStr">
        <is>
          <t>Y</t>
        </is>
      </c>
    </row>
    <row r="968">
      <c r="A968" t="inlineStr">
        <is>
          <t>LFC7708</t>
        </is>
      </c>
      <c r="B968" t="inlineStr">
        <is>
          <t>LFC7708</t>
        </is>
      </c>
      <c r="C968" t="inlineStr">
        <is>
          <t>WHITEHOUSE</t>
        </is>
      </c>
      <c r="D968" t="inlineStr"/>
      <c r="E968" t="inlineStr">
        <is>
          <t>Y</t>
        </is>
      </c>
    </row>
    <row r="969">
      <c r="A969" t="inlineStr">
        <is>
          <t>LFC7709</t>
        </is>
      </c>
      <c r="B969" t="inlineStr">
        <is>
          <t>LFC7709</t>
        </is>
      </c>
      <c r="C969" t="inlineStr">
        <is>
          <t>WHITEHOUSE</t>
        </is>
      </c>
      <c r="D969" t="inlineStr"/>
      <c r="E969" t="inlineStr">
        <is>
          <t>Y</t>
        </is>
      </c>
    </row>
    <row r="970">
      <c r="A970" t="inlineStr">
        <is>
          <t>LFC7710</t>
        </is>
      </c>
      <c r="B970" t="inlineStr">
        <is>
          <t>LFC7710</t>
        </is>
      </c>
      <c r="C970" t="inlineStr">
        <is>
          <t>WHITEHOUSE</t>
        </is>
      </c>
      <c r="D970" t="inlineStr"/>
      <c r="E970" t="inlineStr">
        <is>
          <t>Y</t>
        </is>
      </c>
    </row>
    <row r="971">
      <c r="A971" t="inlineStr">
        <is>
          <t>LFC7711</t>
        </is>
      </c>
      <c r="B971" t="inlineStr">
        <is>
          <t>LFC7711</t>
        </is>
      </c>
      <c r="C971" t="inlineStr">
        <is>
          <t>WHITEHOUSE</t>
        </is>
      </c>
      <c r="D971" t="inlineStr"/>
      <c r="E971" t="inlineStr">
        <is>
          <t>Y</t>
        </is>
      </c>
    </row>
    <row r="972">
      <c r="A972" t="inlineStr">
        <is>
          <t>LFC7712</t>
        </is>
      </c>
      <c r="B972" t="inlineStr">
        <is>
          <t>LFC7712</t>
        </is>
      </c>
      <c r="C972" t="inlineStr">
        <is>
          <t>WHITEHOUSE</t>
        </is>
      </c>
      <c r="D972" t="inlineStr"/>
      <c r="E972" t="inlineStr">
        <is>
          <t>Y</t>
        </is>
      </c>
    </row>
    <row r="973">
      <c r="A973" t="inlineStr">
        <is>
          <t>LFC7713</t>
        </is>
      </c>
      <c r="B973" t="inlineStr">
        <is>
          <t>LFC7713</t>
        </is>
      </c>
      <c r="C973" t="inlineStr">
        <is>
          <t>WHITEHOUSE</t>
        </is>
      </c>
      <c r="D973" t="inlineStr"/>
      <c r="E973" t="inlineStr">
        <is>
          <t>Y</t>
        </is>
      </c>
    </row>
    <row r="974">
      <c r="A974" t="inlineStr">
        <is>
          <t>LFC7714</t>
        </is>
      </c>
      <c r="B974" t="inlineStr">
        <is>
          <t>LFC7714</t>
        </is>
      </c>
      <c r="C974" t="inlineStr">
        <is>
          <t>WHITEHOUSE</t>
        </is>
      </c>
      <c r="D974" t="inlineStr"/>
      <c r="E974" t="inlineStr">
        <is>
          <t>Y</t>
        </is>
      </c>
    </row>
    <row r="975">
      <c r="A975" t="inlineStr">
        <is>
          <t>LFC7715</t>
        </is>
      </c>
      <c r="B975" t="inlineStr">
        <is>
          <t>LFC7715</t>
        </is>
      </c>
      <c r="C975" t="inlineStr">
        <is>
          <t>WHITEHOUSE</t>
        </is>
      </c>
      <c r="D975" t="inlineStr"/>
      <c r="E975" t="inlineStr">
        <is>
          <t>Y</t>
        </is>
      </c>
    </row>
    <row r="976">
      <c r="A976" t="inlineStr">
        <is>
          <t>LFC7716</t>
        </is>
      </c>
      <c r="B976" t="inlineStr">
        <is>
          <t>LFC7716</t>
        </is>
      </c>
      <c r="C976" t="inlineStr">
        <is>
          <t>WHITEHOUSE</t>
        </is>
      </c>
      <c r="D976" t="inlineStr"/>
      <c r="E976" t="inlineStr">
        <is>
          <t>Y</t>
        </is>
      </c>
    </row>
    <row r="977">
      <c r="A977" t="inlineStr">
        <is>
          <t>LFC7717</t>
        </is>
      </c>
      <c r="B977" t="inlineStr">
        <is>
          <t>LFC7717</t>
        </is>
      </c>
      <c r="C977" t="inlineStr">
        <is>
          <t>WHITEHOUSE</t>
        </is>
      </c>
      <c r="D977" t="inlineStr"/>
      <c r="E977" t="inlineStr">
        <is>
          <t>Y</t>
        </is>
      </c>
    </row>
    <row r="978">
      <c r="A978" t="inlineStr">
        <is>
          <t>LFC7718</t>
        </is>
      </c>
      <c r="B978" t="inlineStr">
        <is>
          <t>LFC7718</t>
        </is>
      </c>
      <c r="C978" t="inlineStr">
        <is>
          <t>WHITEHOUSE</t>
        </is>
      </c>
      <c r="D978" t="inlineStr"/>
      <c r="E978" t="inlineStr">
        <is>
          <t>Y</t>
        </is>
      </c>
    </row>
    <row r="979">
      <c r="A979" t="inlineStr">
        <is>
          <t>LFC7719</t>
        </is>
      </c>
      <c r="B979" t="inlineStr">
        <is>
          <t>LFC7719</t>
        </is>
      </c>
      <c r="C979" t="inlineStr">
        <is>
          <t>WHITEHOUSE</t>
        </is>
      </c>
      <c r="D979" t="inlineStr"/>
      <c r="E979" t="inlineStr">
        <is>
          <t>Y</t>
        </is>
      </c>
    </row>
    <row r="980">
      <c r="A980" t="inlineStr">
        <is>
          <t>LFC7720</t>
        </is>
      </c>
      <c r="B980" t="inlineStr">
        <is>
          <t>LFC7720</t>
        </is>
      </c>
      <c r="C980" t="inlineStr">
        <is>
          <t>WHITEHOUSE</t>
        </is>
      </c>
      <c r="D980" t="inlineStr"/>
      <c r="E980" t="inlineStr">
        <is>
          <t>Y</t>
        </is>
      </c>
    </row>
    <row r="981">
      <c r="A981" t="inlineStr">
        <is>
          <t>LFC7721</t>
        </is>
      </c>
      <c r="B981" t="inlineStr">
        <is>
          <t>LFC7721</t>
        </is>
      </c>
      <c r="C981" t="inlineStr">
        <is>
          <t>WHITEHOUSE</t>
        </is>
      </c>
      <c r="D981" t="inlineStr"/>
      <c r="E981" t="inlineStr">
        <is>
          <t>Y</t>
        </is>
      </c>
    </row>
    <row r="982">
      <c r="A982" t="inlineStr">
        <is>
          <t>LFC7722</t>
        </is>
      </c>
      <c r="B982" t="inlineStr">
        <is>
          <t>LFC7722</t>
        </is>
      </c>
      <c r="C982" t="inlineStr">
        <is>
          <t>WHITEHOUSE</t>
        </is>
      </c>
      <c r="D982" t="inlineStr"/>
      <c r="E982" t="inlineStr">
        <is>
          <t>Y</t>
        </is>
      </c>
    </row>
    <row r="983">
      <c r="A983" t="inlineStr">
        <is>
          <t>LFC7723</t>
        </is>
      </c>
      <c r="B983" t="inlineStr">
        <is>
          <t>LFC7723</t>
        </is>
      </c>
      <c r="C983" t="inlineStr">
        <is>
          <t>WHITEHOUSE</t>
        </is>
      </c>
      <c r="D983" t="inlineStr"/>
      <c r="E983" t="inlineStr">
        <is>
          <t>Y</t>
        </is>
      </c>
    </row>
    <row r="984">
      <c r="A984" t="inlineStr">
        <is>
          <t>LFC7724</t>
        </is>
      </c>
      <c r="B984" t="inlineStr">
        <is>
          <t>LFC7724</t>
        </is>
      </c>
      <c r="C984" t="inlineStr">
        <is>
          <t>WHITEHOUSE</t>
        </is>
      </c>
      <c r="D984" t="inlineStr"/>
      <c r="E984" t="inlineStr">
        <is>
          <t>Y</t>
        </is>
      </c>
    </row>
    <row r="985">
      <c r="A985" t="inlineStr">
        <is>
          <t>LFC7725</t>
        </is>
      </c>
      <c r="B985" t="inlineStr">
        <is>
          <t>LFC7725</t>
        </is>
      </c>
      <c r="C985" t="inlineStr">
        <is>
          <t>WHITEHOUSE</t>
        </is>
      </c>
      <c r="D985" t="inlineStr"/>
      <c r="E985" t="inlineStr">
        <is>
          <t>Y</t>
        </is>
      </c>
    </row>
    <row r="986">
      <c r="A986" t="inlineStr">
        <is>
          <t>LFC7726</t>
        </is>
      </c>
      <c r="B986" t="inlineStr">
        <is>
          <t>LFC7726</t>
        </is>
      </c>
      <c r="C986" t="inlineStr">
        <is>
          <t>WHITEHOUSE</t>
        </is>
      </c>
      <c r="D986" t="inlineStr"/>
      <c r="E986" t="inlineStr">
        <is>
          <t>Y</t>
        </is>
      </c>
    </row>
    <row r="987">
      <c r="A987" t="inlineStr">
        <is>
          <t>LFC7801</t>
        </is>
      </c>
      <c r="B987" t="inlineStr">
        <is>
          <t>LFC7801</t>
        </is>
      </c>
      <c r="C987" t="inlineStr">
        <is>
          <t>IYESI 2</t>
        </is>
      </c>
      <c r="D987" t="inlineStr"/>
      <c r="E987" t="inlineStr">
        <is>
          <t>Y</t>
        </is>
      </c>
    </row>
    <row r="988">
      <c r="A988" t="inlineStr">
        <is>
          <t>LFC7802</t>
        </is>
      </c>
      <c r="B988" t="inlineStr">
        <is>
          <t>LFC7802</t>
        </is>
      </c>
      <c r="C988" t="inlineStr">
        <is>
          <t>IYESI 2</t>
        </is>
      </c>
      <c r="D988" t="inlineStr"/>
      <c r="E988" t="inlineStr">
        <is>
          <t>Y</t>
        </is>
      </c>
    </row>
    <row r="989">
      <c r="A989" t="inlineStr">
        <is>
          <t>LFC7803</t>
        </is>
      </c>
      <c r="B989" t="inlineStr">
        <is>
          <t>LFC7803</t>
        </is>
      </c>
      <c r="C989" t="inlineStr">
        <is>
          <t>IYESI 2</t>
        </is>
      </c>
      <c r="D989" t="inlineStr"/>
      <c r="E989" t="inlineStr">
        <is>
          <t>Y</t>
        </is>
      </c>
    </row>
    <row r="990">
      <c r="A990" t="inlineStr">
        <is>
          <t>LFC7804</t>
        </is>
      </c>
      <c r="B990" t="inlineStr">
        <is>
          <t>LFC7804</t>
        </is>
      </c>
      <c r="C990" t="inlineStr">
        <is>
          <t>IYESI 2</t>
        </is>
      </c>
      <c r="D990" t="inlineStr"/>
      <c r="E990" t="inlineStr">
        <is>
          <t>Y</t>
        </is>
      </c>
    </row>
    <row r="991">
      <c r="A991" t="inlineStr">
        <is>
          <t>LFC7805</t>
        </is>
      </c>
      <c r="B991" t="inlineStr">
        <is>
          <t>LFC7805</t>
        </is>
      </c>
      <c r="C991" t="inlineStr">
        <is>
          <t>IYESI 2</t>
        </is>
      </c>
      <c r="D991" t="inlineStr"/>
      <c r="E991" t="inlineStr">
        <is>
          <t>Y</t>
        </is>
      </c>
    </row>
    <row r="992">
      <c r="A992" t="inlineStr">
        <is>
          <t>LFC7806</t>
        </is>
      </c>
      <c r="B992" t="inlineStr">
        <is>
          <t>LFC7806</t>
        </is>
      </c>
      <c r="C992" t="inlineStr">
        <is>
          <t>IYESI 2</t>
        </is>
      </c>
      <c r="D992" t="inlineStr"/>
      <c r="E992" t="inlineStr">
        <is>
          <t>Y</t>
        </is>
      </c>
    </row>
    <row r="993">
      <c r="A993" t="inlineStr">
        <is>
          <t>LFC7807</t>
        </is>
      </c>
      <c r="B993" t="inlineStr">
        <is>
          <t>LFC7807</t>
        </is>
      </c>
      <c r="C993" t="inlineStr">
        <is>
          <t>IYESI 2</t>
        </is>
      </c>
      <c r="D993" t="inlineStr"/>
      <c r="E993" t="inlineStr">
        <is>
          <t>Y</t>
        </is>
      </c>
    </row>
    <row r="994">
      <c r="A994" t="inlineStr">
        <is>
          <t>LFC7808</t>
        </is>
      </c>
      <c r="B994" t="inlineStr">
        <is>
          <t>LFC7808</t>
        </is>
      </c>
      <c r="C994" t="inlineStr">
        <is>
          <t>IYESI 2</t>
        </is>
      </c>
      <c r="D994" t="inlineStr"/>
      <c r="E994" t="inlineStr">
        <is>
          <t>Y</t>
        </is>
      </c>
    </row>
    <row r="995">
      <c r="A995" t="inlineStr">
        <is>
          <t>LFC7809</t>
        </is>
      </c>
      <c r="B995" t="inlineStr">
        <is>
          <t>LFC7809</t>
        </is>
      </c>
      <c r="C995" t="inlineStr">
        <is>
          <t>IYESI 2</t>
        </is>
      </c>
      <c r="D995" t="inlineStr"/>
      <c r="E995" t="inlineStr">
        <is>
          <t>Y</t>
        </is>
      </c>
    </row>
    <row r="996">
      <c r="A996" t="inlineStr">
        <is>
          <t>LFC7811</t>
        </is>
      </c>
      <c r="B996" t="inlineStr">
        <is>
          <t>LFC7811</t>
        </is>
      </c>
      <c r="C996" t="inlineStr">
        <is>
          <t>IYESI 2</t>
        </is>
      </c>
      <c r="D996" t="inlineStr"/>
      <c r="E996" t="inlineStr">
        <is>
          <t>Y</t>
        </is>
      </c>
    </row>
    <row r="997">
      <c r="A997" t="inlineStr">
        <is>
          <t>LFC7812</t>
        </is>
      </c>
      <c r="B997" t="inlineStr">
        <is>
          <t>LFC7812</t>
        </is>
      </c>
      <c r="C997" t="inlineStr">
        <is>
          <t>IYESI 2</t>
        </is>
      </c>
      <c r="D997" t="inlineStr"/>
      <c r="E997" t="inlineStr">
        <is>
          <t>Y</t>
        </is>
      </c>
    </row>
    <row r="998">
      <c r="A998" t="inlineStr">
        <is>
          <t>LFC7813</t>
        </is>
      </c>
      <c r="B998" t="inlineStr">
        <is>
          <t>LFC7813</t>
        </is>
      </c>
      <c r="C998" t="inlineStr">
        <is>
          <t>IYESI 2</t>
        </is>
      </c>
      <c r="D998" t="inlineStr"/>
      <c r="E998" t="inlineStr">
        <is>
          <t>Y</t>
        </is>
      </c>
    </row>
    <row r="999">
      <c r="A999" t="inlineStr">
        <is>
          <t>LFC7814</t>
        </is>
      </c>
      <c r="B999" t="inlineStr">
        <is>
          <t>LFC7814</t>
        </is>
      </c>
      <c r="C999" t="inlineStr">
        <is>
          <t>IYESI 2</t>
        </is>
      </c>
      <c r="D999" t="inlineStr"/>
      <c r="E999" t="inlineStr">
        <is>
          <t>Y</t>
        </is>
      </c>
    </row>
    <row r="1000">
      <c r="A1000" t="inlineStr">
        <is>
          <t>LFC7901</t>
        </is>
      </c>
      <c r="B1000" t="inlineStr">
        <is>
          <t>LFC7901</t>
        </is>
      </c>
      <c r="C1000" t="inlineStr">
        <is>
          <t>HIGH COURT</t>
        </is>
      </c>
      <c r="D1000" t="inlineStr"/>
      <c r="E1000" t="inlineStr">
        <is>
          <t>Y</t>
        </is>
      </c>
    </row>
    <row r="1001">
      <c r="A1001" t="inlineStr">
        <is>
          <t>LFC7902</t>
        </is>
      </c>
      <c r="B1001" t="inlineStr">
        <is>
          <t>LFC7902</t>
        </is>
      </c>
      <c r="C1001" t="inlineStr">
        <is>
          <t>HIGH COURT</t>
        </is>
      </c>
      <c r="D1001" t="inlineStr"/>
      <c r="E1001" t="inlineStr">
        <is>
          <t>Y</t>
        </is>
      </c>
    </row>
    <row r="1002">
      <c r="A1002" t="inlineStr">
        <is>
          <t>LFC7903</t>
        </is>
      </c>
      <c r="B1002" t="inlineStr">
        <is>
          <t>LFC7903</t>
        </is>
      </c>
      <c r="C1002" t="inlineStr">
        <is>
          <t>HIGH COURT</t>
        </is>
      </c>
      <c r="D1002" t="inlineStr"/>
      <c r="E1002" t="inlineStr">
        <is>
          <t>Y</t>
        </is>
      </c>
    </row>
    <row r="1003">
      <c r="A1003" t="inlineStr">
        <is>
          <t>LFC7904</t>
        </is>
      </c>
      <c r="B1003" t="inlineStr">
        <is>
          <t>LFC7904</t>
        </is>
      </c>
      <c r="C1003" t="inlineStr">
        <is>
          <t>HIGH COURT</t>
        </is>
      </c>
      <c r="D1003" t="inlineStr"/>
      <c r="E1003" t="inlineStr">
        <is>
          <t>Y</t>
        </is>
      </c>
    </row>
    <row r="1004">
      <c r="A1004" t="inlineStr">
        <is>
          <t>LFC7905</t>
        </is>
      </c>
      <c r="B1004" t="inlineStr">
        <is>
          <t>LFC7905</t>
        </is>
      </c>
      <c r="C1004" t="inlineStr">
        <is>
          <t>HIGH COURT</t>
        </is>
      </c>
      <c r="D1004" t="inlineStr"/>
      <c r="E1004" t="inlineStr">
        <is>
          <t>Y</t>
        </is>
      </c>
    </row>
    <row r="1005">
      <c r="A1005" t="inlineStr">
        <is>
          <t>LFC7906</t>
        </is>
      </c>
      <c r="B1005" t="inlineStr">
        <is>
          <t>LFC7906</t>
        </is>
      </c>
      <c r="C1005" t="inlineStr">
        <is>
          <t>HIGH COURT</t>
        </is>
      </c>
      <c r="D1005" t="inlineStr"/>
      <c r="E1005" t="inlineStr">
        <is>
          <t>Y</t>
        </is>
      </c>
    </row>
    <row r="1006">
      <c r="A1006" t="inlineStr">
        <is>
          <t>LFC7907</t>
        </is>
      </c>
      <c r="B1006" t="inlineStr">
        <is>
          <t>LFC7907</t>
        </is>
      </c>
      <c r="C1006" t="inlineStr">
        <is>
          <t>HIGH COURT</t>
        </is>
      </c>
      <c r="D1006" t="inlineStr"/>
      <c r="E1006" t="inlineStr">
        <is>
          <t>Y</t>
        </is>
      </c>
    </row>
    <row r="1007">
      <c r="A1007" t="inlineStr">
        <is>
          <t>LFC7908</t>
        </is>
      </c>
      <c r="B1007" t="inlineStr">
        <is>
          <t>LFC7908</t>
        </is>
      </c>
      <c r="C1007" t="inlineStr">
        <is>
          <t>HIGH COURT</t>
        </is>
      </c>
      <c r="D1007" t="inlineStr"/>
      <c r="E1007" t="inlineStr">
        <is>
          <t>Y</t>
        </is>
      </c>
    </row>
    <row r="1008">
      <c r="A1008" t="inlineStr">
        <is>
          <t>LFC7909</t>
        </is>
      </c>
      <c r="B1008" t="inlineStr">
        <is>
          <t>LFC7909</t>
        </is>
      </c>
      <c r="C1008" t="inlineStr">
        <is>
          <t>HIGH COURT</t>
        </is>
      </c>
      <c r="D1008" t="inlineStr"/>
      <c r="E1008" t="inlineStr">
        <is>
          <t>Y</t>
        </is>
      </c>
    </row>
    <row r="1009">
      <c r="A1009" t="inlineStr">
        <is>
          <t>LFC7910</t>
        </is>
      </c>
      <c r="B1009" t="inlineStr">
        <is>
          <t>LFC7910</t>
        </is>
      </c>
      <c r="C1009" t="inlineStr">
        <is>
          <t>HIGH COURT</t>
        </is>
      </c>
      <c r="D1009" t="inlineStr"/>
      <c r="E1009" t="inlineStr">
        <is>
          <t>Y</t>
        </is>
      </c>
    </row>
    <row r="1010">
      <c r="A1010" t="inlineStr">
        <is>
          <t>LFC7911</t>
        </is>
      </c>
      <c r="B1010" t="inlineStr">
        <is>
          <t>LFC7911</t>
        </is>
      </c>
      <c r="C1010" t="inlineStr">
        <is>
          <t>HIGH COURT</t>
        </is>
      </c>
      <c r="D1010" t="inlineStr"/>
      <c r="E1010" t="inlineStr">
        <is>
          <t>Y</t>
        </is>
      </c>
    </row>
    <row r="1011">
      <c r="A1011" t="inlineStr">
        <is>
          <t>LFC7912</t>
        </is>
      </c>
      <c r="B1011" t="inlineStr">
        <is>
          <t>LFC7912</t>
        </is>
      </c>
      <c r="C1011" t="inlineStr">
        <is>
          <t>HIGH COURT</t>
        </is>
      </c>
      <c r="D1011" t="inlineStr"/>
      <c r="E1011" t="inlineStr">
        <is>
          <t>Y</t>
        </is>
      </c>
    </row>
    <row r="1012">
      <c r="A1012" t="inlineStr">
        <is>
          <t>LFC7913</t>
        </is>
      </c>
      <c r="B1012" t="inlineStr">
        <is>
          <t>LFC7913</t>
        </is>
      </c>
      <c r="C1012" t="inlineStr">
        <is>
          <t>HIGH COURT</t>
        </is>
      </c>
      <c r="D1012" t="inlineStr"/>
      <c r="E1012" t="inlineStr">
        <is>
          <t>Y</t>
        </is>
      </c>
    </row>
    <row r="1013">
      <c r="A1013" t="inlineStr">
        <is>
          <t>LFC7914</t>
        </is>
      </c>
      <c r="B1013" t="inlineStr">
        <is>
          <t>LFC7914</t>
        </is>
      </c>
      <c r="C1013" t="inlineStr">
        <is>
          <t>HIGH COURT</t>
        </is>
      </c>
      <c r="D1013" t="inlineStr"/>
      <c r="E1013" t="inlineStr">
        <is>
          <t>Y</t>
        </is>
      </c>
    </row>
    <row r="1014">
      <c r="A1014" t="inlineStr">
        <is>
          <t>LFC7915</t>
        </is>
      </c>
      <c r="B1014" t="inlineStr">
        <is>
          <t>LFC7915</t>
        </is>
      </c>
      <c r="C1014" t="inlineStr">
        <is>
          <t>HIGH COURT</t>
        </is>
      </c>
      <c r="D1014" t="inlineStr"/>
      <c r="E1014" t="inlineStr">
        <is>
          <t>Y</t>
        </is>
      </c>
    </row>
    <row r="1015">
      <c r="A1015" t="inlineStr">
        <is>
          <t>LFC7916</t>
        </is>
      </c>
      <c r="B1015" t="inlineStr">
        <is>
          <t>LFC7916</t>
        </is>
      </c>
      <c r="C1015" t="inlineStr">
        <is>
          <t>HIGH COURT</t>
        </is>
      </c>
      <c r="D1015" t="inlineStr"/>
      <c r="E1015" t="inlineStr">
        <is>
          <t>Y</t>
        </is>
      </c>
    </row>
    <row r="1016">
      <c r="A1016" t="inlineStr">
        <is>
          <t>LFC8001</t>
        </is>
      </c>
      <c r="B1016" t="inlineStr">
        <is>
          <t>LFC8001</t>
        </is>
      </c>
      <c r="C1016" t="inlineStr">
        <is>
          <t>ATAN 2</t>
        </is>
      </c>
      <c r="D1016" t="inlineStr"/>
      <c r="E1016" t="inlineStr">
        <is>
          <t>Y</t>
        </is>
      </c>
    </row>
    <row r="1017">
      <c r="A1017" t="inlineStr">
        <is>
          <t>LFC8002</t>
        </is>
      </c>
      <c r="B1017" t="inlineStr">
        <is>
          <t>LFC8002</t>
        </is>
      </c>
      <c r="C1017" t="inlineStr">
        <is>
          <t>ATAN 2</t>
        </is>
      </c>
      <c r="D1017" t="inlineStr"/>
      <c r="E1017" t="inlineStr">
        <is>
          <t>Y</t>
        </is>
      </c>
    </row>
    <row r="1018">
      <c r="A1018" t="inlineStr">
        <is>
          <t>LFC8003</t>
        </is>
      </c>
      <c r="B1018" t="inlineStr">
        <is>
          <t>LFC8003</t>
        </is>
      </c>
      <c r="C1018" t="inlineStr">
        <is>
          <t>ATAN 2</t>
        </is>
      </c>
      <c r="D1018" t="inlineStr"/>
      <c r="E1018" t="inlineStr">
        <is>
          <t>Y</t>
        </is>
      </c>
    </row>
    <row r="1019">
      <c r="A1019" t="inlineStr">
        <is>
          <t>LFC8004</t>
        </is>
      </c>
      <c r="B1019" t="inlineStr">
        <is>
          <t>LFC8004</t>
        </is>
      </c>
      <c r="C1019" t="inlineStr">
        <is>
          <t>ATAN 2</t>
        </is>
      </c>
      <c r="D1019" t="inlineStr"/>
      <c r="E1019" t="inlineStr">
        <is>
          <t>Y</t>
        </is>
      </c>
    </row>
    <row r="1020">
      <c r="A1020" t="inlineStr">
        <is>
          <t>LFC8005</t>
        </is>
      </c>
      <c r="B1020" t="inlineStr">
        <is>
          <t>LFC8005</t>
        </is>
      </c>
      <c r="C1020" t="inlineStr">
        <is>
          <t>ATAN 2</t>
        </is>
      </c>
      <c r="D1020" t="inlineStr"/>
      <c r="E1020" t="inlineStr">
        <is>
          <t>Y</t>
        </is>
      </c>
    </row>
    <row r="1021">
      <c r="A1021" t="inlineStr">
        <is>
          <t>LFC8006</t>
        </is>
      </c>
      <c r="B1021" t="inlineStr">
        <is>
          <t>LFC8006</t>
        </is>
      </c>
      <c r="C1021" t="inlineStr">
        <is>
          <t>ATAN 2</t>
        </is>
      </c>
      <c r="D1021" t="inlineStr"/>
      <c r="E1021" t="inlineStr">
        <is>
          <t>Y</t>
        </is>
      </c>
    </row>
    <row r="1022">
      <c r="A1022" t="inlineStr">
        <is>
          <t>LFC8007</t>
        </is>
      </c>
      <c r="B1022" t="inlineStr">
        <is>
          <t>LFC8007</t>
        </is>
      </c>
      <c r="C1022" t="inlineStr">
        <is>
          <t>ATAN 2</t>
        </is>
      </c>
      <c r="D1022" t="inlineStr"/>
      <c r="E1022" t="inlineStr">
        <is>
          <t>Y</t>
        </is>
      </c>
    </row>
    <row r="1023">
      <c r="A1023" t="inlineStr">
        <is>
          <t>LFC8008</t>
        </is>
      </c>
      <c r="B1023" t="inlineStr">
        <is>
          <t>LFC8008</t>
        </is>
      </c>
      <c r="C1023" t="inlineStr">
        <is>
          <t>ATAN 2</t>
        </is>
      </c>
      <c r="D1023" t="inlineStr"/>
      <c r="E1023" t="inlineStr">
        <is>
          <t>Y</t>
        </is>
      </c>
    </row>
    <row r="1024">
      <c r="A1024" t="inlineStr">
        <is>
          <t>LFC8009</t>
        </is>
      </c>
      <c r="B1024" t="inlineStr">
        <is>
          <t>LFC8009</t>
        </is>
      </c>
      <c r="C1024" t="inlineStr">
        <is>
          <t>ATAN 2</t>
        </is>
      </c>
      <c r="D1024" t="inlineStr"/>
      <c r="E1024" t="inlineStr">
        <is>
          <t>Y</t>
        </is>
      </c>
    </row>
    <row r="1025">
      <c r="A1025" t="inlineStr">
        <is>
          <t>LFC8010</t>
        </is>
      </c>
      <c r="B1025" t="inlineStr">
        <is>
          <t>LFC8010</t>
        </is>
      </c>
      <c r="C1025" t="inlineStr">
        <is>
          <t>ATAN 2</t>
        </is>
      </c>
      <c r="D1025" t="inlineStr"/>
      <c r="E1025" t="inlineStr">
        <is>
          <t>Y</t>
        </is>
      </c>
    </row>
    <row r="1026">
      <c r="A1026" t="inlineStr">
        <is>
          <t>LFC8011</t>
        </is>
      </c>
      <c r="B1026" t="inlineStr">
        <is>
          <t>LFC8011</t>
        </is>
      </c>
      <c r="C1026" t="inlineStr">
        <is>
          <t>ATAN 2</t>
        </is>
      </c>
      <c r="D1026" t="inlineStr"/>
      <c r="E1026" t="inlineStr">
        <is>
          <t>Y</t>
        </is>
      </c>
    </row>
    <row r="1027">
      <c r="A1027" t="inlineStr">
        <is>
          <t>LFC8014</t>
        </is>
      </c>
      <c r="B1027" t="inlineStr">
        <is>
          <t>LFC8014</t>
        </is>
      </c>
      <c r="C1027" t="inlineStr">
        <is>
          <t>ATAN 2</t>
        </is>
      </c>
      <c r="D1027" t="inlineStr"/>
      <c r="E1027" t="inlineStr">
        <is>
          <t>Y</t>
        </is>
      </c>
    </row>
    <row r="1028">
      <c r="A1028" t="inlineStr">
        <is>
          <t>LFC8101</t>
        </is>
      </c>
      <c r="B1028" t="inlineStr">
        <is>
          <t>LFC8101</t>
        </is>
      </c>
      <c r="C1028" t="inlineStr">
        <is>
          <t>ADELANS 2</t>
        </is>
      </c>
      <c r="D1028" t="inlineStr"/>
      <c r="E1028" t="inlineStr">
        <is>
          <t>Y</t>
        </is>
      </c>
    </row>
    <row r="1029">
      <c r="A1029" t="inlineStr">
        <is>
          <t>LFC8102</t>
        </is>
      </c>
      <c r="B1029" t="inlineStr">
        <is>
          <t>LFC8102</t>
        </is>
      </c>
      <c r="C1029" t="inlineStr">
        <is>
          <t>ADELANS 2</t>
        </is>
      </c>
      <c r="D1029" t="inlineStr"/>
      <c r="E1029" t="inlineStr">
        <is>
          <t>Y</t>
        </is>
      </c>
    </row>
    <row r="1030">
      <c r="A1030" t="inlineStr">
        <is>
          <t>LFC8103</t>
        </is>
      </c>
      <c r="B1030" t="inlineStr">
        <is>
          <t>LFC8103</t>
        </is>
      </c>
      <c r="C1030" t="inlineStr">
        <is>
          <t>ADELANS 2</t>
        </is>
      </c>
      <c r="D1030" t="inlineStr"/>
      <c r="E1030" t="inlineStr">
        <is>
          <t>Y</t>
        </is>
      </c>
    </row>
    <row r="1031">
      <c r="A1031" t="inlineStr">
        <is>
          <t>LFC8104</t>
        </is>
      </c>
      <c r="B1031" t="inlineStr">
        <is>
          <t>LFC8104</t>
        </is>
      </c>
      <c r="C1031" t="inlineStr">
        <is>
          <t>ADELANS 2</t>
        </is>
      </c>
      <c r="D1031" t="inlineStr"/>
      <c r="E1031" t="inlineStr">
        <is>
          <t>Y</t>
        </is>
      </c>
    </row>
    <row r="1032">
      <c r="A1032" t="inlineStr">
        <is>
          <t>LFC8105</t>
        </is>
      </c>
      <c r="B1032" t="inlineStr">
        <is>
          <t>LFC8105</t>
        </is>
      </c>
      <c r="C1032" t="inlineStr">
        <is>
          <t>ADELANS 2</t>
        </is>
      </c>
      <c r="D1032" t="inlineStr"/>
      <c r="E1032" t="inlineStr">
        <is>
          <t>Y</t>
        </is>
      </c>
    </row>
    <row r="1033">
      <c r="A1033" t="inlineStr">
        <is>
          <t>LFC8106</t>
        </is>
      </c>
      <c r="B1033" t="inlineStr">
        <is>
          <t>LFC8106</t>
        </is>
      </c>
      <c r="C1033" t="inlineStr">
        <is>
          <t>ADELANS 2</t>
        </is>
      </c>
      <c r="D1033" t="inlineStr"/>
      <c r="E1033" t="inlineStr">
        <is>
          <t>Y</t>
        </is>
      </c>
    </row>
    <row r="1034">
      <c r="A1034" t="inlineStr">
        <is>
          <t>LFC8107</t>
        </is>
      </c>
      <c r="B1034" t="inlineStr">
        <is>
          <t>LFC8107</t>
        </is>
      </c>
      <c r="C1034" t="inlineStr">
        <is>
          <t>ADELANS 2</t>
        </is>
      </c>
      <c r="D1034" t="inlineStr"/>
      <c r="E1034" t="inlineStr">
        <is>
          <t>Y</t>
        </is>
      </c>
    </row>
    <row r="1035">
      <c r="A1035" t="inlineStr">
        <is>
          <t>LFC8108</t>
        </is>
      </c>
      <c r="B1035" t="inlineStr">
        <is>
          <t>LFC8108</t>
        </is>
      </c>
      <c r="C1035" t="inlineStr">
        <is>
          <t>ADELANS 2</t>
        </is>
      </c>
      <c r="D1035" t="inlineStr"/>
      <c r="E1035" t="inlineStr">
        <is>
          <t>Y</t>
        </is>
      </c>
    </row>
    <row r="1036">
      <c r="A1036" t="inlineStr">
        <is>
          <t>LFC8109</t>
        </is>
      </c>
      <c r="B1036" t="inlineStr">
        <is>
          <t>LFC8109</t>
        </is>
      </c>
      <c r="C1036" t="inlineStr">
        <is>
          <t>ADELANS 2</t>
        </is>
      </c>
      <c r="D1036" t="inlineStr"/>
      <c r="E1036" t="inlineStr">
        <is>
          <t>Y</t>
        </is>
      </c>
    </row>
    <row r="1037">
      <c r="A1037" t="inlineStr">
        <is>
          <t>LFC8110</t>
        </is>
      </c>
      <c r="B1037" t="inlineStr">
        <is>
          <t>LFC8110</t>
        </is>
      </c>
      <c r="C1037" t="inlineStr">
        <is>
          <t>ADELANS 2</t>
        </is>
      </c>
      <c r="D1037" t="inlineStr"/>
      <c r="E1037" t="inlineStr">
        <is>
          <t>Y</t>
        </is>
      </c>
    </row>
    <row r="1038">
      <c r="A1038" t="inlineStr">
        <is>
          <t>LFC8111</t>
        </is>
      </c>
      <c r="B1038" t="inlineStr">
        <is>
          <t>LFC8111</t>
        </is>
      </c>
      <c r="C1038" t="inlineStr">
        <is>
          <t>ADELANS 2</t>
        </is>
      </c>
      <c r="D1038" t="inlineStr"/>
      <c r="E1038" t="inlineStr">
        <is>
          <t>Y</t>
        </is>
      </c>
    </row>
    <row r="1039">
      <c r="A1039" t="inlineStr">
        <is>
          <t>LFC8112</t>
        </is>
      </c>
      <c r="B1039" t="inlineStr">
        <is>
          <t>LFC8112</t>
        </is>
      </c>
      <c r="C1039" t="inlineStr">
        <is>
          <t>ADELANS 2</t>
        </is>
      </c>
      <c r="D1039" t="inlineStr"/>
      <c r="E1039" t="inlineStr">
        <is>
          <t>Y</t>
        </is>
      </c>
    </row>
    <row r="1040">
      <c r="A1040" t="inlineStr">
        <is>
          <t>LFC8113</t>
        </is>
      </c>
      <c r="B1040" t="inlineStr">
        <is>
          <t>LFC8113</t>
        </is>
      </c>
      <c r="C1040" t="inlineStr">
        <is>
          <t>ADELANS 2</t>
        </is>
      </c>
      <c r="D1040" t="inlineStr"/>
      <c r="E1040" t="inlineStr">
        <is>
          <t>Y</t>
        </is>
      </c>
    </row>
    <row r="1041">
      <c r="A1041" t="inlineStr">
        <is>
          <t>LFC8114</t>
        </is>
      </c>
      <c r="B1041" t="inlineStr">
        <is>
          <t>LFC8114</t>
        </is>
      </c>
      <c r="C1041" t="inlineStr">
        <is>
          <t>ADELANS 2</t>
        </is>
      </c>
      <c r="D1041" t="inlineStr"/>
      <c r="E1041" t="inlineStr">
        <is>
          <t>Y</t>
        </is>
      </c>
    </row>
    <row r="1042">
      <c r="A1042" t="inlineStr">
        <is>
          <t>LFC8115</t>
        </is>
      </c>
      <c r="B1042" t="inlineStr">
        <is>
          <t>LFC8115</t>
        </is>
      </c>
      <c r="C1042" t="inlineStr">
        <is>
          <t>ADELANS 2</t>
        </is>
      </c>
      <c r="D1042" t="inlineStr"/>
      <c r="E1042" t="inlineStr">
        <is>
          <t>Y</t>
        </is>
      </c>
    </row>
    <row r="1043">
      <c r="A1043" t="inlineStr">
        <is>
          <t>LFC8116</t>
        </is>
      </c>
      <c r="B1043" t="inlineStr">
        <is>
          <t>LFC8116</t>
        </is>
      </c>
      <c r="C1043" t="inlineStr">
        <is>
          <t>ADELANS 2</t>
        </is>
      </c>
      <c r="D1043" t="inlineStr"/>
      <c r="E1043" t="inlineStr">
        <is>
          <t>Y</t>
        </is>
      </c>
    </row>
    <row r="1044">
      <c r="A1044" t="inlineStr">
        <is>
          <t>LFC8201</t>
        </is>
      </c>
      <c r="B1044" t="inlineStr">
        <is>
          <t>LFC8201</t>
        </is>
      </c>
      <c r="C1044" t="inlineStr">
        <is>
          <t>AMJE</t>
        </is>
      </c>
      <c r="D1044" t="inlineStr"/>
      <c r="E1044" t="inlineStr">
        <is>
          <t>Y</t>
        </is>
      </c>
    </row>
    <row r="1045">
      <c r="A1045" t="inlineStr">
        <is>
          <t>LFC8202</t>
        </is>
      </c>
      <c r="B1045" t="inlineStr">
        <is>
          <t>LFC8202</t>
        </is>
      </c>
      <c r="C1045" t="inlineStr">
        <is>
          <t>AMJE</t>
        </is>
      </c>
      <c r="D1045" t="inlineStr"/>
      <c r="E1045" t="inlineStr">
        <is>
          <t>Y</t>
        </is>
      </c>
    </row>
    <row r="1046">
      <c r="A1046" t="inlineStr">
        <is>
          <t>LFC8203</t>
        </is>
      </c>
      <c r="B1046" t="inlineStr">
        <is>
          <t>LFC8203</t>
        </is>
      </c>
      <c r="C1046" t="inlineStr">
        <is>
          <t>AMJE</t>
        </is>
      </c>
      <c r="D1046" t="inlineStr"/>
      <c r="E1046" t="inlineStr">
        <is>
          <t>Y</t>
        </is>
      </c>
    </row>
    <row r="1047">
      <c r="A1047" t="inlineStr">
        <is>
          <t>LFC8204</t>
        </is>
      </c>
      <c r="B1047" t="inlineStr">
        <is>
          <t>LFC8204</t>
        </is>
      </c>
      <c r="C1047" t="inlineStr">
        <is>
          <t>AMJE</t>
        </is>
      </c>
      <c r="D1047" t="inlineStr"/>
      <c r="E1047" t="inlineStr">
        <is>
          <t>Y</t>
        </is>
      </c>
    </row>
    <row r="1048">
      <c r="A1048" t="inlineStr">
        <is>
          <t>LFC8301</t>
        </is>
      </c>
      <c r="B1048" t="inlineStr">
        <is>
          <t>LFC8301</t>
        </is>
      </c>
      <c r="C1048" t="inlineStr">
        <is>
          <t>IKOLA COMMAND</t>
        </is>
      </c>
      <c r="D1048" t="inlineStr"/>
      <c r="E1048" t="inlineStr">
        <is>
          <t>Y</t>
        </is>
      </c>
    </row>
    <row r="1049">
      <c r="A1049" t="inlineStr">
        <is>
          <t>LFC8302</t>
        </is>
      </c>
      <c r="B1049" t="inlineStr">
        <is>
          <t>LFC8302</t>
        </is>
      </c>
      <c r="C1049" t="inlineStr">
        <is>
          <t>IKOLA COMMAND</t>
        </is>
      </c>
      <c r="D1049" t="inlineStr"/>
      <c r="E1049" t="inlineStr">
        <is>
          <t>Y</t>
        </is>
      </c>
    </row>
    <row r="1050">
      <c r="A1050" t="inlineStr">
        <is>
          <t>LFC8303</t>
        </is>
      </c>
      <c r="B1050" t="inlineStr">
        <is>
          <t>LFC8303</t>
        </is>
      </c>
      <c r="C1050" t="inlineStr">
        <is>
          <t>IKOLA COMMAND</t>
        </is>
      </c>
      <c r="D1050" t="inlineStr"/>
      <c r="E1050" t="inlineStr">
        <is>
          <t>Y</t>
        </is>
      </c>
    </row>
    <row r="1051">
      <c r="A1051" t="inlineStr">
        <is>
          <t>LFC8304</t>
        </is>
      </c>
      <c r="B1051" t="inlineStr">
        <is>
          <t>LFC8304</t>
        </is>
      </c>
      <c r="C1051" t="inlineStr">
        <is>
          <t>IKOLA COMMAND</t>
        </is>
      </c>
      <c r="D1051" t="inlineStr"/>
      <c r="E1051" t="inlineStr">
        <is>
          <t>Y</t>
        </is>
      </c>
    </row>
    <row r="1052">
      <c r="A1052" t="inlineStr">
        <is>
          <t>LFC8305</t>
        </is>
      </c>
      <c r="B1052" t="inlineStr">
        <is>
          <t>LFC8305</t>
        </is>
      </c>
      <c r="C1052" t="inlineStr">
        <is>
          <t>IKOLA COMMAND</t>
        </is>
      </c>
      <c r="D1052" t="inlineStr"/>
      <c r="E1052" t="inlineStr">
        <is>
          <t>Y</t>
        </is>
      </c>
    </row>
    <row r="1053">
      <c r="A1053" t="inlineStr">
        <is>
          <t>LFC8306</t>
        </is>
      </c>
      <c r="B1053" t="inlineStr">
        <is>
          <t>LFC8306</t>
        </is>
      </c>
      <c r="C1053" t="inlineStr">
        <is>
          <t>IKOLA COMMAND</t>
        </is>
      </c>
      <c r="D1053" t="inlineStr"/>
      <c r="E1053" t="inlineStr">
        <is>
          <t>Y</t>
        </is>
      </c>
    </row>
    <row r="1054">
      <c r="A1054" t="inlineStr">
        <is>
          <t>LFC8307</t>
        </is>
      </c>
      <c r="B1054" t="inlineStr">
        <is>
          <t>LFC8307</t>
        </is>
      </c>
      <c r="C1054" t="inlineStr">
        <is>
          <t>IKOLA COMMAND</t>
        </is>
      </c>
      <c r="D1054" t="inlineStr"/>
      <c r="E1054" t="inlineStr">
        <is>
          <t>Y</t>
        </is>
      </c>
    </row>
    <row r="1055">
      <c r="A1055" t="inlineStr">
        <is>
          <t>LFC8308</t>
        </is>
      </c>
      <c r="B1055" t="inlineStr">
        <is>
          <t>LFC8308</t>
        </is>
      </c>
      <c r="C1055" t="inlineStr">
        <is>
          <t>IKOLA COMMAND</t>
        </is>
      </c>
      <c r="D1055" t="inlineStr"/>
      <c r="E1055" t="inlineStr">
        <is>
          <t>Y</t>
        </is>
      </c>
    </row>
    <row r="1056">
      <c r="A1056" t="inlineStr">
        <is>
          <t>LFC8309</t>
        </is>
      </c>
      <c r="B1056" t="inlineStr">
        <is>
          <t>LFC8309</t>
        </is>
      </c>
      <c r="C1056" t="inlineStr">
        <is>
          <t>IKOLA COMMAND</t>
        </is>
      </c>
      <c r="D1056" t="inlineStr"/>
      <c r="E1056" t="inlineStr">
        <is>
          <t>Y</t>
        </is>
      </c>
    </row>
    <row r="1057">
      <c r="A1057" t="inlineStr">
        <is>
          <t>LFC8310</t>
        </is>
      </c>
      <c r="B1057" t="inlineStr">
        <is>
          <t>LFC8310</t>
        </is>
      </c>
      <c r="C1057" t="inlineStr">
        <is>
          <t>IKOLA COMMAND</t>
        </is>
      </c>
      <c r="D1057" t="inlineStr"/>
      <c r="E1057" t="inlineStr">
        <is>
          <t>Y</t>
        </is>
      </c>
    </row>
    <row r="1058">
      <c r="A1058" t="inlineStr">
        <is>
          <t>LFC8311</t>
        </is>
      </c>
      <c r="B1058" t="inlineStr">
        <is>
          <t>LFC8311</t>
        </is>
      </c>
      <c r="C1058" t="inlineStr">
        <is>
          <t>IKOLA COMMAND</t>
        </is>
      </c>
      <c r="D1058" t="inlineStr"/>
      <c r="E1058" t="inlineStr">
        <is>
          <t>Y</t>
        </is>
      </c>
    </row>
    <row r="1059">
      <c r="A1059" t="inlineStr">
        <is>
          <t>LFC8312</t>
        </is>
      </c>
      <c r="B1059" t="inlineStr">
        <is>
          <t>LFC8312</t>
        </is>
      </c>
      <c r="C1059" t="inlineStr">
        <is>
          <t>IKOLA COMMAND</t>
        </is>
      </c>
      <c r="D1059" t="inlineStr"/>
      <c r="E1059" t="inlineStr">
        <is>
          <t>Y</t>
        </is>
      </c>
    </row>
    <row r="1060">
      <c r="A1060" t="inlineStr">
        <is>
          <t>LFC8401</t>
        </is>
      </c>
      <c r="B1060" t="inlineStr">
        <is>
          <t>LFC8401</t>
        </is>
      </c>
      <c r="C1060" t="inlineStr">
        <is>
          <t>EJIGBO</t>
        </is>
      </c>
      <c r="D1060" t="inlineStr"/>
      <c r="E1060" t="inlineStr">
        <is>
          <t>Y</t>
        </is>
      </c>
    </row>
    <row r="1061">
      <c r="A1061" t="inlineStr">
        <is>
          <t>LFC8402</t>
        </is>
      </c>
      <c r="B1061" t="inlineStr">
        <is>
          <t>LFC8402</t>
        </is>
      </c>
      <c r="C1061" t="inlineStr">
        <is>
          <t>EJIGBO</t>
        </is>
      </c>
      <c r="D1061" t="inlineStr"/>
      <c r="E1061" t="inlineStr">
        <is>
          <t>Y</t>
        </is>
      </c>
    </row>
    <row r="1062">
      <c r="A1062" t="inlineStr">
        <is>
          <t>LFC8403</t>
        </is>
      </c>
      <c r="B1062" t="inlineStr">
        <is>
          <t>LFC8403</t>
        </is>
      </c>
      <c r="C1062" t="inlineStr">
        <is>
          <t>EJIGBO</t>
        </is>
      </c>
      <c r="D1062" t="inlineStr"/>
      <c r="E1062" t="inlineStr">
        <is>
          <t>Y</t>
        </is>
      </c>
    </row>
    <row r="1063">
      <c r="A1063" t="inlineStr">
        <is>
          <t>LFC8404</t>
        </is>
      </c>
      <c r="B1063" t="inlineStr">
        <is>
          <t>LFC8404</t>
        </is>
      </c>
      <c r="C1063" t="inlineStr">
        <is>
          <t>EJIGBO</t>
        </is>
      </c>
      <c r="D1063" t="inlineStr"/>
      <c r="E1063" t="inlineStr">
        <is>
          <t>Y</t>
        </is>
      </c>
    </row>
    <row r="1064">
      <c r="A1064" t="inlineStr">
        <is>
          <t>LFC8405</t>
        </is>
      </c>
      <c r="B1064" t="inlineStr">
        <is>
          <t>LFC8405</t>
        </is>
      </c>
      <c r="C1064" t="inlineStr">
        <is>
          <t>EJIGBO</t>
        </is>
      </c>
      <c r="D1064" t="inlineStr"/>
      <c r="E1064" t="inlineStr">
        <is>
          <t>Y</t>
        </is>
      </c>
    </row>
    <row r="1065">
      <c r="A1065" t="inlineStr">
        <is>
          <t>LFC8406</t>
        </is>
      </c>
      <c r="B1065" t="inlineStr">
        <is>
          <t>LFC8406</t>
        </is>
      </c>
      <c r="C1065" t="inlineStr">
        <is>
          <t>EJIGBO</t>
        </is>
      </c>
      <c r="D1065" t="inlineStr"/>
      <c r="E1065" t="inlineStr">
        <is>
          <t>Y</t>
        </is>
      </c>
    </row>
    <row r="1066">
      <c r="A1066" t="inlineStr">
        <is>
          <t>LFC8407</t>
        </is>
      </c>
      <c r="B1066" t="inlineStr">
        <is>
          <t>LFC8407</t>
        </is>
      </c>
      <c r="C1066" t="inlineStr">
        <is>
          <t>EJIGBO</t>
        </is>
      </c>
      <c r="D1066" t="inlineStr"/>
      <c r="E1066" t="inlineStr">
        <is>
          <t>Y</t>
        </is>
      </c>
    </row>
    <row r="1067">
      <c r="A1067" t="inlineStr">
        <is>
          <t>LFC8408</t>
        </is>
      </c>
      <c r="B1067" t="inlineStr">
        <is>
          <t>LFC8408</t>
        </is>
      </c>
      <c r="C1067" t="inlineStr">
        <is>
          <t>EJIGBO</t>
        </is>
      </c>
      <c r="D1067" t="inlineStr"/>
      <c r="E1067" t="inlineStr">
        <is>
          <t>Y</t>
        </is>
      </c>
    </row>
    <row r="1068">
      <c r="A1068" t="inlineStr">
        <is>
          <t>LFC8409</t>
        </is>
      </c>
      <c r="B1068" t="inlineStr">
        <is>
          <t>LFC8409</t>
        </is>
      </c>
      <c r="C1068" t="inlineStr">
        <is>
          <t>EJIGBO</t>
        </is>
      </c>
      <c r="D1068" t="inlineStr"/>
      <c r="E1068" t="inlineStr">
        <is>
          <t>Y</t>
        </is>
      </c>
    </row>
    <row r="1069">
      <c r="A1069" t="inlineStr">
        <is>
          <t>LFC8410</t>
        </is>
      </c>
      <c r="B1069" t="inlineStr">
        <is>
          <t>LFC8410</t>
        </is>
      </c>
      <c r="C1069" t="inlineStr">
        <is>
          <t>EJIGBO</t>
        </is>
      </c>
      <c r="D1069" t="inlineStr"/>
      <c r="E1069" t="inlineStr">
        <is>
          <t>Y</t>
        </is>
      </c>
    </row>
    <row r="1070">
      <c r="A1070" t="inlineStr">
        <is>
          <t>LFC8411</t>
        </is>
      </c>
      <c r="B1070" t="inlineStr">
        <is>
          <t>LFC8411</t>
        </is>
      </c>
      <c r="C1070" t="inlineStr">
        <is>
          <t>EJIGBO</t>
        </is>
      </c>
      <c r="D1070" t="inlineStr"/>
      <c r="E1070" t="inlineStr">
        <is>
          <t>Y</t>
        </is>
      </c>
    </row>
    <row r="1071">
      <c r="A1071" t="inlineStr">
        <is>
          <t>LFC8412</t>
        </is>
      </c>
      <c r="B1071" t="inlineStr">
        <is>
          <t>LFC8412</t>
        </is>
      </c>
      <c r="C1071" t="inlineStr">
        <is>
          <t>EJIGBO</t>
        </is>
      </c>
      <c r="D1071" t="inlineStr"/>
      <c r="E1071" t="inlineStr">
        <is>
          <t>Y</t>
        </is>
      </c>
    </row>
    <row r="1072">
      <c r="A1072" t="inlineStr">
        <is>
          <t>LFC8413</t>
        </is>
      </c>
      <c r="B1072" t="inlineStr">
        <is>
          <t>LFC8413</t>
        </is>
      </c>
      <c r="C1072" t="inlineStr">
        <is>
          <t>EJIGBO</t>
        </is>
      </c>
      <c r="D1072" t="inlineStr"/>
      <c r="E1072" t="inlineStr">
        <is>
          <t>Y</t>
        </is>
      </c>
    </row>
    <row r="1073">
      <c r="A1073" t="inlineStr">
        <is>
          <t>LFC8414</t>
        </is>
      </c>
      <c r="B1073" t="inlineStr">
        <is>
          <t>LFC8414</t>
        </is>
      </c>
      <c r="C1073" t="inlineStr">
        <is>
          <t>EJIGBO</t>
        </is>
      </c>
      <c r="D1073" t="inlineStr"/>
      <c r="E1073" t="inlineStr">
        <is>
          <t>Y</t>
        </is>
      </c>
    </row>
    <row r="1074">
      <c r="A1074" t="inlineStr">
        <is>
          <t>LFC8415</t>
        </is>
      </c>
      <c r="B1074" t="inlineStr">
        <is>
          <t>LFC8415</t>
        </is>
      </c>
      <c r="C1074" t="inlineStr">
        <is>
          <t>EJIGBO</t>
        </is>
      </c>
      <c r="D1074" t="inlineStr"/>
      <c r="E1074" t="inlineStr">
        <is>
          <t>Y</t>
        </is>
      </c>
    </row>
    <row r="1075">
      <c r="A1075" t="inlineStr">
        <is>
          <t>LFC8416</t>
        </is>
      </c>
      <c r="B1075" t="inlineStr">
        <is>
          <t>LFC8416</t>
        </is>
      </c>
      <c r="C1075" t="inlineStr">
        <is>
          <t>EJIGBO</t>
        </is>
      </c>
      <c r="D1075" t="inlineStr"/>
      <c r="E1075" t="inlineStr">
        <is>
          <t>Y</t>
        </is>
      </c>
    </row>
    <row r="1076">
      <c r="A1076" t="inlineStr">
        <is>
          <t>LFC8501</t>
        </is>
      </c>
      <c r="B1076" t="inlineStr">
        <is>
          <t>LFC8501</t>
        </is>
      </c>
      <c r="C1076" t="inlineStr">
        <is>
          <t>IJEDODO</t>
        </is>
      </c>
      <c r="D1076" t="inlineStr"/>
      <c r="E1076" t="inlineStr">
        <is>
          <t>Y</t>
        </is>
      </c>
    </row>
    <row r="1077">
      <c r="A1077" t="inlineStr">
        <is>
          <t>LFC8502</t>
        </is>
      </c>
      <c r="B1077" t="inlineStr">
        <is>
          <t>LFC8502</t>
        </is>
      </c>
      <c r="C1077" t="inlineStr">
        <is>
          <t>IJEDODO</t>
        </is>
      </c>
      <c r="D1077" t="inlineStr"/>
      <c r="E1077" t="inlineStr">
        <is>
          <t>Y</t>
        </is>
      </c>
    </row>
    <row r="1078">
      <c r="A1078" t="inlineStr">
        <is>
          <t>LFC8503</t>
        </is>
      </c>
      <c r="B1078" t="inlineStr">
        <is>
          <t>LFC8503</t>
        </is>
      </c>
      <c r="C1078" t="inlineStr">
        <is>
          <t>IJEDODO</t>
        </is>
      </c>
      <c r="D1078" t="inlineStr"/>
      <c r="E1078" t="inlineStr">
        <is>
          <t>Y</t>
        </is>
      </c>
    </row>
    <row r="1079">
      <c r="A1079" t="inlineStr">
        <is>
          <t>LFC8504</t>
        </is>
      </c>
      <c r="B1079" t="inlineStr">
        <is>
          <t>LFC8504</t>
        </is>
      </c>
      <c r="C1079" t="inlineStr">
        <is>
          <t>IJEDODO</t>
        </is>
      </c>
      <c r="D1079" t="inlineStr"/>
      <c r="E1079" t="inlineStr">
        <is>
          <t>Y</t>
        </is>
      </c>
    </row>
    <row r="1080">
      <c r="A1080" t="inlineStr">
        <is>
          <t>LFC8505</t>
        </is>
      </c>
      <c r="B1080" t="inlineStr">
        <is>
          <t>LFC8505</t>
        </is>
      </c>
      <c r="C1080" t="inlineStr">
        <is>
          <t>IJEDODO</t>
        </is>
      </c>
      <c r="D1080" t="inlineStr"/>
      <c r="E1080" t="inlineStr">
        <is>
          <t>Y</t>
        </is>
      </c>
    </row>
    <row r="1081">
      <c r="A1081" t="inlineStr">
        <is>
          <t>LFC8506</t>
        </is>
      </c>
      <c r="B1081" t="inlineStr">
        <is>
          <t>LFC8506</t>
        </is>
      </c>
      <c r="C1081" t="inlineStr">
        <is>
          <t>IJEDODO</t>
        </is>
      </c>
      <c r="D1081" t="inlineStr"/>
      <c r="E1081" t="inlineStr">
        <is>
          <t>Y</t>
        </is>
      </c>
    </row>
    <row r="1082">
      <c r="A1082" t="inlineStr">
        <is>
          <t>LFC8601</t>
        </is>
      </c>
      <c r="B1082" t="inlineStr">
        <is>
          <t>LFC8601</t>
        </is>
      </c>
      <c r="C1082" t="inlineStr">
        <is>
          <t>LSDPC</t>
        </is>
      </c>
      <c r="D1082" t="inlineStr"/>
      <c r="E1082" t="inlineStr">
        <is>
          <t>Y</t>
        </is>
      </c>
    </row>
    <row r="1083">
      <c r="A1083" t="inlineStr">
        <is>
          <t>LFC8602</t>
        </is>
      </c>
      <c r="B1083" t="inlineStr">
        <is>
          <t>LFC8602</t>
        </is>
      </c>
      <c r="C1083" t="inlineStr">
        <is>
          <t>LSDPC</t>
        </is>
      </c>
      <c r="D1083" t="inlineStr"/>
      <c r="E1083" t="inlineStr">
        <is>
          <t>Y</t>
        </is>
      </c>
    </row>
    <row r="1084">
      <c r="A1084" t="inlineStr">
        <is>
          <t>LFC8603</t>
        </is>
      </c>
      <c r="B1084" t="inlineStr">
        <is>
          <t>LFC8603</t>
        </is>
      </c>
      <c r="C1084" t="inlineStr">
        <is>
          <t>LSDPC</t>
        </is>
      </c>
      <c r="D1084" t="inlineStr"/>
      <c r="E1084" t="inlineStr">
        <is>
          <t>Y</t>
        </is>
      </c>
    </row>
    <row r="1085">
      <c r="A1085" t="inlineStr">
        <is>
          <t>LFC8604</t>
        </is>
      </c>
      <c r="B1085" t="inlineStr">
        <is>
          <t>LFC8604</t>
        </is>
      </c>
      <c r="C1085" t="inlineStr">
        <is>
          <t>LSDPC</t>
        </is>
      </c>
      <c r="D1085" t="inlineStr"/>
      <c r="E1085" t="inlineStr">
        <is>
          <t>Y</t>
        </is>
      </c>
    </row>
    <row r="1086">
      <c r="A1086" t="inlineStr">
        <is>
          <t>LFC8605</t>
        </is>
      </c>
      <c r="B1086" t="inlineStr">
        <is>
          <t>LFC8605</t>
        </is>
      </c>
      <c r="C1086" t="inlineStr">
        <is>
          <t>LSDPC</t>
        </is>
      </c>
      <c r="D1086" t="inlineStr"/>
      <c r="E1086" t="inlineStr">
        <is>
          <t>Y</t>
        </is>
      </c>
    </row>
    <row r="1087">
      <c r="A1087" t="inlineStr">
        <is>
          <t>LFC8606</t>
        </is>
      </c>
      <c r="B1087" t="inlineStr">
        <is>
          <t>LFC8606</t>
        </is>
      </c>
      <c r="C1087" t="inlineStr">
        <is>
          <t>LSDPC</t>
        </is>
      </c>
      <c r="D1087" t="inlineStr"/>
      <c r="E1087" t="inlineStr">
        <is>
          <t>Y</t>
        </is>
      </c>
    </row>
    <row r="1088">
      <c r="A1088" t="inlineStr">
        <is>
          <t>LFC8607</t>
        </is>
      </c>
      <c r="B1088" t="inlineStr">
        <is>
          <t>LFC8607</t>
        </is>
      </c>
      <c r="C1088" t="inlineStr">
        <is>
          <t>LSDPC</t>
        </is>
      </c>
      <c r="D1088" t="inlineStr"/>
      <c r="E1088" t="inlineStr">
        <is>
          <t>Y</t>
        </is>
      </c>
    </row>
    <row r="1089">
      <c r="A1089" t="inlineStr">
        <is>
          <t>LFC8608</t>
        </is>
      </c>
      <c r="B1089" t="inlineStr">
        <is>
          <t>LFC8608</t>
        </is>
      </c>
      <c r="C1089" t="inlineStr">
        <is>
          <t>LSDPC</t>
        </is>
      </c>
      <c r="D1089" t="inlineStr"/>
      <c r="E1089" t="inlineStr">
        <is>
          <t>Y</t>
        </is>
      </c>
    </row>
    <row r="1090">
      <c r="A1090" t="inlineStr">
        <is>
          <t>LFC8609</t>
        </is>
      </c>
      <c r="B1090" t="inlineStr">
        <is>
          <t>LFC8609</t>
        </is>
      </c>
      <c r="C1090" t="inlineStr">
        <is>
          <t>LSDPC</t>
        </is>
      </c>
      <c r="D1090" t="inlineStr"/>
      <c r="E1090" t="inlineStr">
        <is>
          <t>Y</t>
        </is>
      </c>
    </row>
    <row r="1091">
      <c r="A1091" t="inlineStr">
        <is>
          <t>LFC8610</t>
        </is>
      </c>
      <c r="B1091" t="inlineStr">
        <is>
          <t>LFC8610</t>
        </is>
      </c>
      <c r="C1091" t="inlineStr">
        <is>
          <t>LSDPC</t>
        </is>
      </c>
      <c r="D1091" t="inlineStr"/>
      <c r="E1091" t="inlineStr">
        <is>
          <t>Y</t>
        </is>
      </c>
    </row>
    <row r="1092">
      <c r="A1092" t="inlineStr">
        <is>
          <t>LFC8611</t>
        </is>
      </c>
      <c r="B1092" t="inlineStr">
        <is>
          <t>LFC8611</t>
        </is>
      </c>
      <c r="C1092" t="inlineStr">
        <is>
          <t>LSDPC</t>
        </is>
      </c>
      <c r="D1092" t="inlineStr"/>
      <c r="E1092" t="inlineStr">
        <is>
          <t>Y</t>
        </is>
      </c>
    </row>
    <row r="1093">
      <c r="A1093" t="inlineStr">
        <is>
          <t>LFC8612</t>
        </is>
      </c>
      <c r="B1093" t="inlineStr">
        <is>
          <t>LFC8612</t>
        </is>
      </c>
      <c r="C1093" t="inlineStr">
        <is>
          <t>LSDPC</t>
        </is>
      </c>
      <c r="D1093" t="inlineStr"/>
      <c r="E1093" t="inlineStr">
        <is>
          <t>Y</t>
        </is>
      </c>
    </row>
    <row r="1094">
      <c r="A1094" t="inlineStr">
        <is>
          <t>LFC8613</t>
        </is>
      </c>
      <c r="B1094" t="inlineStr">
        <is>
          <t>LFC8613</t>
        </is>
      </c>
      <c r="C1094" t="inlineStr">
        <is>
          <t>LSDPC</t>
        </is>
      </c>
      <c r="D1094" t="inlineStr"/>
      <c r="E1094" t="inlineStr">
        <is>
          <t>Y</t>
        </is>
      </c>
    </row>
    <row r="1095">
      <c r="A1095" t="inlineStr">
        <is>
          <t>LFC8614</t>
        </is>
      </c>
      <c r="B1095" t="inlineStr">
        <is>
          <t>LFC8614</t>
        </is>
      </c>
      <c r="C1095" t="inlineStr">
        <is>
          <t>LSDPC</t>
        </is>
      </c>
      <c r="D1095" t="inlineStr"/>
      <c r="E1095" t="inlineStr">
        <is>
          <t>Y</t>
        </is>
      </c>
    </row>
    <row r="1096">
      <c r="A1096" t="inlineStr">
        <is>
          <t>LFC8701</t>
        </is>
      </c>
      <c r="B1096" t="inlineStr">
        <is>
          <t>LFC8701</t>
        </is>
      </c>
      <c r="C1096" t="inlineStr">
        <is>
          <t>ILOGBO OKOKO</t>
        </is>
      </c>
      <c r="D1096" t="inlineStr"/>
      <c r="E1096" t="inlineStr">
        <is>
          <t>Y</t>
        </is>
      </c>
    </row>
    <row r="1097">
      <c r="A1097" t="inlineStr">
        <is>
          <t>LFC8702</t>
        </is>
      </c>
      <c r="B1097" t="inlineStr">
        <is>
          <t>LFC8702</t>
        </is>
      </c>
      <c r="C1097" t="inlineStr">
        <is>
          <t>ILOGBO OKOKO</t>
        </is>
      </c>
      <c r="D1097" t="inlineStr"/>
      <c r="E1097" t="inlineStr">
        <is>
          <t>Y</t>
        </is>
      </c>
    </row>
    <row r="1098">
      <c r="A1098" t="inlineStr">
        <is>
          <t>LFC8703</t>
        </is>
      </c>
      <c r="B1098" t="inlineStr">
        <is>
          <t>LFC8703</t>
        </is>
      </c>
      <c r="C1098" t="inlineStr">
        <is>
          <t>ILOGBO OKOKO</t>
        </is>
      </c>
      <c r="D1098" t="inlineStr"/>
      <c r="E1098" t="inlineStr">
        <is>
          <t>Y</t>
        </is>
      </c>
    </row>
    <row r="1099">
      <c r="A1099" t="inlineStr">
        <is>
          <t>LFC8704</t>
        </is>
      </c>
      <c r="B1099" t="inlineStr">
        <is>
          <t>LFC8704</t>
        </is>
      </c>
      <c r="C1099" t="inlineStr">
        <is>
          <t>ILOGBO OKOKO</t>
        </is>
      </c>
      <c r="D1099" t="inlineStr"/>
      <c r="E1099" t="inlineStr">
        <is>
          <t>Y</t>
        </is>
      </c>
    </row>
    <row r="1100">
      <c r="A1100" t="inlineStr">
        <is>
          <t>LFC8705</t>
        </is>
      </c>
      <c r="B1100" t="inlineStr">
        <is>
          <t>LFC8705</t>
        </is>
      </c>
      <c r="C1100" t="inlineStr">
        <is>
          <t>ILOGBO OKOKO</t>
        </is>
      </c>
      <c r="D1100" t="inlineStr"/>
      <c r="E1100" t="inlineStr">
        <is>
          <t>Y</t>
        </is>
      </c>
    </row>
    <row r="1101">
      <c r="A1101" t="inlineStr">
        <is>
          <t>LFC8706</t>
        </is>
      </c>
      <c r="B1101" t="inlineStr">
        <is>
          <t>LFC8706</t>
        </is>
      </c>
      <c r="C1101" t="inlineStr">
        <is>
          <t>ILOGBO OKOKO</t>
        </is>
      </c>
      <c r="D1101" t="inlineStr"/>
      <c r="E1101" t="inlineStr">
        <is>
          <t>Y</t>
        </is>
      </c>
    </row>
    <row r="1102">
      <c r="A1102" t="inlineStr">
        <is>
          <t>LFC8707</t>
        </is>
      </c>
      <c r="B1102" t="inlineStr">
        <is>
          <t>LFC8707</t>
        </is>
      </c>
      <c r="C1102" t="inlineStr">
        <is>
          <t>ILOGBO OKOKO</t>
        </is>
      </c>
      <c r="D1102" t="inlineStr"/>
      <c r="E1102" t="inlineStr">
        <is>
          <t>Y</t>
        </is>
      </c>
    </row>
    <row r="1103">
      <c r="A1103" t="inlineStr">
        <is>
          <t>LFC8708</t>
        </is>
      </c>
      <c r="B1103" t="inlineStr">
        <is>
          <t>LFC8708</t>
        </is>
      </c>
      <c r="C1103" t="inlineStr">
        <is>
          <t>ILOGBO OKOKO</t>
        </is>
      </c>
      <c r="D1103" t="inlineStr"/>
      <c r="E1103" t="inlineStr">
        <is>
          <t>Y</t>
        </is>
      </c>
    </row>
    <row r="1104">
      <c r="A1104" t="inlineStr">
        <is>
          <t>LFC8709</t>
        </is>
      </c>
      <c r="B1104" t="inlineStr">
        <is>
          <t>LFC8709</t>
        </is>
      </c>
      <c r="C1104" t="inlineStr">
        <is>
          <t>ILOGBO OKOKO</t>
        </is>
      </c>
      <c r="D1104" t="inlineStr"/>
      <c r="E1104" t="inlineStr">
        <is>
          <t>Y</t>
        </is>
      </c>
    </row>
    <row r="1105">
      <c r="A1105" t="inlineStr">
        <is>
          <t>LFC8710</t>
        </is>
      </c>
      <c r="B1105" t="inlineStr">
        <is>
          <t>LFC8710</t>
        </is>
      </c>
      <c r="C1105" t="inlineStr">
        <is>
          <t>ILOGBO OKOKO</t>
        </is>
      </c>
      <c r="D1105" t="inlineStr"/>
      <c r="E1105" t="inlineStr">
        <is>
          <t>Y</t>
        </is>
      </c>
    </row>
    <row r="1106">
      <c r="A1106" t="inlineStr">
        <is>
          <t>LFC8711</t>
        </is>
      </c>
      <c r="B1106" t="inlineStr">
        <is>
          <t>LFC8711</t>
        </is>
      </c>
      <c r="C1106" t="inlineStr">
        <is>
          <t>ILOGBO OKOKO</t>
        </is>
      </c>
      <c r="D1106" t="inlineStr"/>
      <c r="E1106" t="inlineStr">
        <is>
          <t>Y</t>
        </is>
      </c>
    </row>
    <row r="1107">
      <c r="A1107" t="inlineStr">
        <is>
          <t>LFC8712</t>
        </is>
      </c>
      <c r="B1107" t="inlineStr">
        <is>
          <t>LFC8712</t>
        </is>
      </c>
      <c r="C1107" t="inlineStr">
        <is>
          <t>ILOGBO OKOKO</t>
        </is>
      </c>
      <c r="D1107" t="inlineStr"/>
      <c r="E1107" t="inlineStr">
        <is>
          <t>Y</t>
        </is>
      </c>
    </row>
    <row r="1108">
      <c r="A1108" t="inlineStr">
        <is>
          <t>LFC8713</t>
        </is>
      </c>
      <c r="B1108" t="inlineStr">
        <is>
          <t>LFC8713</t>
        </is>
      </c>
      <c r="C1108" t="inlineStr">
        <is>
          <t>ILOGBO OKOKO</t>
        </is>
      </c>
      <c r="D1108" t="inlineStr"/>
      <c r="E1108" t="inlineStr">
        <is>
          <t>Y</t>
        </is>
      </c>
    </row>
    <row r="1109">
      <c r="A1109" t="inlineStr">
        <is>
          <t>LFC8714</t>
        </is>
      </c>
      <c r="B1109" t="inlineStr">
        <is>
          <t>LFC8714</t>
        </is>
      </c>
      <c r="C1109" t="inlineStr">
        <is>
          <t>ILOGBO OKOKO</t>
        </is>
      </c>
      <c r="D1109" t="inlineStr"/>
      <c r="E1109" t="inlineStr">
        <is>
          <t>Y</t>
        </is>
      </c>
    </row>
    <row r="1110">
      <c r="A1110" t="inlineStr">
        <is>
          <t>LFC8801</t>
        </is>
      </c>
      <c r="B1110" t="inlineStr">
        <is>
          <t>LFC8801</t>
        </is>
      </c>
      <c r="C1110" t="inlineStr">
        <is>
          <t>GBAGADA</t>
        </is>
      </c>
      <c r="D1110" t="inlineStr"/>
      <c r="E1110" t="inlineStr">
        <is>
          <t>Y</t>
        </is>
      </c>
    </row>
    <row r="1111">
      <c r="A1111" t="inlineStr">
        <is>
          <t>LFC8802</t>
        </is>
      </c>
      <c r="B1111" t="inlineStr">
        <is>
          <t>LFC8802</t>
        </is>
      </c>
      <c r="C1111" t="inlineStr">
        <is>
          <t>GBAGADA</t>
        </is>
      </c>
      <c r="D1111" t="inlineStr"/>
      <c r="E1111" t="inlineStr">
        <is>
          <t>Y</t>
        </is>
      </c>
    </row>
    <row r="1112">
      <c r="A1112" t="inlineStr">
        <is>
          <t>LFC8803</t>
        </is>
      </c>
      <c r="B1112" t="inlineStr">
        <is>
          <t>LFC8803</t>
        </is>
      </c>
      <c r="C1112" t="inlineStr">
        <is>
          <t>GBAGADA</t>
        </is>
      </c>
      <c r="D1112" t="inlineStr"/>
      <c r="E1112" t="inlineStr">
        <is>
          <t>Y</t>
        </is>
      </c>
    </row>
    <row r="1113">
      <c r="A1113" t="inlineStr">
        <is>
          <t>LFC8804</t>
        </is>
      </c>
      <c r="B1113" t="inlineStr">
        <is>
          <t>LFC8804</t>
        </is>
      </c>
      <c r="C1113" t="inlineStr">
        <is>
          <t>GBAGADA</t>
        </is>
      </c>
      <c r="D1113" t="inlineStr"/>
      <c r="E1113" t="inlineStr">
        <is>
          <t>Y</t>
        </is>
      </c>
    </row>
    <row r="1114">
      <c r="A1114" t="inlineStr">
        <is>
          <t>LFC8805</t>
        </is>
      </c>
      <c r="B1114" t="inlineStr">
        <is>
          <t>LFC8805</t>
        </is>
      </c>
      <c r="C1114" t="inlineStr">
        <is>
          <t>GBAGADA</t>
        </is>
      </c>
      <c r="D1114" t="inlineStr"/>
      <c r="E1114" t="inlineStr">
        <is>
          <t>Y</t>
        </is>
      </c>
    </row>
    <row r="1115">
      <c r="A1115" t="inlineStr">
        <is>
          <t>LFC8806</t>
        </is>
      </c>
      <c r="B1115" t="inlineStr">
        <is>
          <t>LFC8806</t>
        </is>
      </c>
      <c r="C1115" t="inlineStr">
        <is>
          <t>GBAGADA</t>
        </is>
      </c>
      <c r="D1115" t="inlineStr"/>
      <c r="E1115" t="inlineStr">
        <is>
          <t>Y</t>
        </is>
      </c>
    </row>
    <row r="1116">
      <c r="A1116" t="inlineStr">
        <is>
          <t>LFC8807</t>
        </is>
      </c>
      <c r="B1116" t="inlineStr">
        <is>
          <t>LFC8807</t>
        </is>
      </c>
      <c r="C1116" t="inlineStr">
        <is>
          <t>GBAGADA</t>
        </is>
      </c>
      <c r="D1116" t="inlineStr"/>
      <c r="E1116" t="inlineStr">
        <is>
          <t>Y</t>
        </is>
      </c>
    </row>
    <row r="1117">
      <c r="A1117" t="inlineStr">
        <is>
          <t>LFC8901</t>
        </is>
      </c>
      <c r="B1117" t="inlineStr">
        <is>
          <t>LFC8901</t>
        </is>
      </c>
      <c r="C1117" t="inlineStr">
        <is>
          <t>ILUPEJU</t>
        </is>
      </c>
      <c r="D1117" t="inlineStr"/>
      <c r="E1117" t="inlineStr">
        <is>
          <t>Y</t>
        </is>
      </c>
    </row>
    <row r="1118">
      <c r="A1118" t="inlineStr">
        <is>
          <t>LFC8902</t>
        </is>
      </c>
      <c r="B1118" t="inlineStr">
        <is>
          <t>LFC8902</t>
        </is>
      </c>
      <c r="C1118" t="inlineStr">
        <is>
          <t>ILUPEJU</t>
        </is>
      </c>
      <c r="D1118" t="inlineStr"/>
      <c r="E1118" t="inlineStr">
        <is>
          <t>Y</t>
        </is>
      </c>
    </row>
    <row r="1119">
      <c r="A1119" t="inlineStr">
        <is>
          <t>LFC8903</t>
        </is>
      </c>
      <c r="B1119" t="inlineStr">
        <is>
          <t>LFC8903</t>
        </is>
      </c>
      <c r="C1119" t="inlineStr">
        <is>
          <t>ILUPEJU</t>
        </is>
      </c>
      <c r="D1119" t="inlineStr"/>
      <c r="E1119" t="inlineStr">
        <is>
          <t>Y</t>
        </is>
      </c>
    </row>
    <row r="1120">
      <c r="A1120" t="inlineStr">
        <is>
          <t>LFC8904</t>
        </is>
      </c>
      <c r="B1120" t="inlineStr">
        <is>
          <t>LFC8904</t>
        </is>
      </c>
      <c r="C1120" t="inlineStr">
        <is>
          <t>ILUPEJU</t>
        </is>
      </c>
      <c r="D1120" t="inlineStr"/>
      <c r="E1120" t="inlineStr">
        <is>
          <t>Y</t>
        </is>
      </c>
    </row>
    <row r="1121">
      <c r="A1121" t="inlineStr">
        <is>
          <t>LFC8905</t>
        </is>
      </c>
      <c r="B1121" t="inlineStr">
        <is>
          <t>LFC8905</t>
        </is>
      </c>
      <c r="C1121" t="inlineStr">
        <is>
          <t>ILUPEJU</t>
        </is>
      </c>
      <c r="D1121" t="inlineStr"/>
      <c r="E1121" t="inlineStr">
        <is>
          <t>Y</t>
        </is>
      </c>
    </row>
    <row r="1122">
      <c r="A1122" t="inlineStr">
        <is>
          <t>LFC9001</t>
        </is>
      </c>
      <c r="B1122" t="inlineStr">
        <is>
          <t>LFC9001</t>
        </is>
      </c>
      <c r="C1122" t="inlineStr">
        <is>
          <t>SATELLITE TOWN</t>
        </is>
      </c>
      <c r="D1122" t="inlineStr"/>
      <c r="E1122" t="inlineStr">
        <is>
          <t>Y</t>
        </is>
      </c>
    </row>
    <row r="1123">
      <c r="A1123" t="inlineStr">
        <is>
          <t>LFC9002</t>
        </is>
      </c>
      <c r="B1123" t="inlineStr">
        <is>
          <t>LFC9002</t>
        </is>
      </c>
      <c r="C1123" t="inlineStr">
        <is>
          <t>SATELLITE TOWN</t>
        </is>
      </c>
      <c r="D1123" t="inlineStr"/>
      <c r="E1123" t="inlineStr">
        <is>
          <t>Y</t>
        </is>
      </c>
    </row>
    <row r="1124">
      <c r="A1124" t="inlineStr">
        <is>
          <t>LFC9003</t>
        </is>
      </c>
      <c r="B1124" t="inlineStr">
        <is>
          <t>LFC9003</t>
        </is>
      </c>
      <c r="C1124" t="inlineStr">
        <is>
          <t>SATELLITE TOWN</t>
        </is>
      </c>
      <c r="D1124" t="inlineStr"/>
      <c r="E1124" t="inlineStr">
        <is>
          <t>Y</t>
        </is>
      </c>
    </row>
    <row r="1125">
      <c r="A1125" t="inlineStr">
        <is>
          <t>LFC9004</t>
        </is>
      </c>
      <c r="B1125" t="inlineStr">
        <is>
          <t>LFC9004</t>
        </is>
      </c>
      <c r="C1125" t="inlineStr">
        <is>
          <t>SATELLITE TOWN</t>
        </is>
      </c>
      <c r="D1125" t="inlineStr"/>
      <c r="E1125" t="inlineStr">
        <is>
          <t>Y</t>
        </is>
      </c>
    </row>
    <row r="1126">
      <c r="A1126" t="inlineStr">
        <is>
          <t>LFC9007</t>
        </is>
      </c>
      <c r="B1126" t="inlineStr">
        <is>
          <t>LFC9007</t>
        </is>
      </c>
      <c r="C1126" t="inlineStr">
        <is>
          <t>SATELLITE TOWN</t>
        </is>
      </c>
      <c r="D1126" t="inlineStr"/>
      <c r="E1126" t="inlineStr">
        <is>
          <t>Y</t>
        </is>
      </c>
    </row>
    <row r="1127">
      <c r="A1127" t="inlineStr">
        <is>
          <t>LFC9008</t>
        </is>
      </c>
      <c r="B1127" t="inlineStr">
        <is>
          <t>LFC9008</t>
        </is>
      </c>
      <c r="C1127" t="inlineStr">
        <is>
          <t>SATELLITE TOWN</t>
        </is>
      </c>
      <c r="D1127" t="inlineStr"/>
      <c r="E1127" t="inlineStr">
        <is>
          <t>Y</t>
        </is>
      </c>
    </row>
    <row r="1128">
      <c r="A1128" t="inlineStr">
        <is>
          <t>LFC9009</t>
        </is>
      </c>
      <c r="B1128" t="inlineStr">
        <is>
          <t>LFC9009</t>
        </is>
      </c>
      <c r="C1128" t="inlineStr">
        <is>
          <t>SATELLITE TOWN</t>
        </is>
      </c>
      <c r="D1128" t="inlineStr"/>
      <c r="E1128" t="inlineStr">
        <is>
          <t>Y</t>
        </is>
      </c>
    </row>
    <row r="1129">
      <c r="A1129" t="inlineStr">
        <is>
          <t>LFC9010</t>
        </is>
      </c>
      <c r="B1129" t="inlineStr">
        <is>
          <t>LFC9010</t>
        </is>
      </c>
      <c r="C1129" t="inlineStr">
        <is>
          <t>SATELLITE TOWN</t>
        </is>
      </c>
      <c r="D1129" t="inlineStr"/>
      <c r="E1129" t="inlineStr">
        <is>
          <t>Y</t>
        </is>
      </c>
    </row>
    <row r="1130">
      <c r="A1130" t="inlineStr">
        <is>
          <t>LFC9011</t>
        </is>
      </c>
      <c r="B1130" t="inlineStr">
        <is>
          <t>LFC9011</t>
        </is>
      </c>
      <c r="C1130" t="inlineStr">
        <is>
          <t>SATELLITE TOWN</t>
        </is>
      </c>
      <c r="D1130" t="inlineStr"/>
      <c r="E1130" t="inlineStr">
        <is>
          <t>Y</t>
        </is>
      </c>
    </row>
    <row r="1131">
      <c r="A1131" t="inlineStr">
        <is>
          <t>LFC9012</t>
        </is>
      </c>
      <c r="B1131" t="inlineStr">
        <is>
          <t>LFC9012</t>
        </is>
      </c>
      <c r="C1131" t="inlineStr">
        <is>
          <t>SATELLITE TOWN</t>
        </is>
      </c>
      <c r="D1131" t="inlineStr"/>
      <c r="E1131" t="inlineStr">
        <is>
          <t>Y</t>
        </is>
      </c>
    </row>
    <row r="1132">
      <c r="A1132" t="inlineStr">
        <is>
          <t>LFC9013</t>
        </is>
      </c>
      <c r="B1132" t="inlineStr">
        <is>
          <t>LFC9013</t>
        </is>
      </c>
      <c r="C1132" t="inlineStr">
        <is>
          <t>SATELLITE TOWN</t>
        </is>
      </c>
      <c r="D1132" t="inlineStr"/>
      <c r="E1132" t="inlineStr">
        <is>
          <t>Y</t>
        </is>
      </c>
    </row>
    <row r="1133">
      <c r="A1133" t="inlineStr">
        <is>
          <t>LFC9014</t>
        </is>
      </c>
      <c r="B1133" t="inlineStr">
        <is>
          <t>LFC9014</t>
        </is>
      </c>
      <c r="C1133" t="inlineStr">
        <is>
          <t>SATELLITE TOWN</t>
        </is>
      </c>
      <c r="D1133" t="inlineStr"/>
      <c r="E1133" t="inlineStr">
        <is>
          <t>Y</t>
        </is>
      </c>
    </row>
    <row r="1134">
      <c r="A1134" t="inlineStr">
        <is>
          <t>LFC9016</t>
        </is>
      </c>
      <c r="B1134" t="inlineStr">
        <is>
          <t>LFC9016</t>
        </is>
      </c>
      <c r="C1134" t="inlineStr">
        <is>
          <t>SATELLITE TOWN</t>
        </is>
      </c>
      <c r="D1134" t="inlineStr"/>
      <c r="E1134" t="inlineStr">
        <is>
          <t>Y</t>
        </is>
      </c>
    </row>
    <row r="1135">
      <c r="A1135" t="inlineStr">
        <is>
          <t>LFC9017</t>
        </is>
      </c>
      <c r="B1135" t="inlineStr">
        <is>
          <t>LFC9017</t>
        </is>
      </c>
      <c r="C1135" t="inlineStr">
        <is>
          <t>SATELLITE TOWN</t>
        </is>
      </c>
      <c r="D1135" t="inlineStr"/>
      <c r="E1135" t="inlineStr">
        <is>
          <t>Y</t>
        </is>
      </c>
    </row>
    <row r="1136">
      <c r="A1136" t="inlineStr">
        <is>
          <t>LFC9018</t>
        </is>
      </c>
      <c r="B1136" t="inlineStr">
        <is>
          <t>LFC9018</t>
        </is>
      </c>
      <c r="C1136" t="inlineStr">
        <is>
          <t>SATELLITE TOWN</t>
        </is>
      </c>
      <c r="D1136" t="inlineStr"/>
      <c r="E1136" t="inlineStr">
        <is>
          <t>Y</t>
        </is>
      </c>
    </row>
    <row r="1137">
      <c r="A1137" t="inlineStr">
        <is>
          <t>LFC9019</t>
        </is>
      </c>
      <c r="B1137" t="inlineStr">
        <is>
          <t>LFC9019</t>
        </is>
      </c>
      <c r="C1137" t="inlineStr">
        <is>
          <t>SATELLITE TOWN</t>
        </is>
      </c>
      <c r="D1137" t="inlineStr"/>
      <c r="E1137" t="inlineStr">
        <is>
          <t>Y</t>
        </is>
      </c>
    </row>
    <row r="1138">
      <c r="A1138" t="inlineStr">
        <is>
          <t>LFC9020</t>
        </is>
      </c>
      <c r="B1138" t="inlineStr">
        <is>
          <t>LFC9020</t>
        </is>
      </c>
      <c r="C1138" t="inlineStr">
        <is>
          <t>SATELLITE TOWN</t>
        </is>
      </c>
      <c r="D1138" t="inlineStr"/>
      <c r="E1138" t="inlineStr">
        <is>
          <t>Y</t>
        </is>
      </c>
    </row>
    <row r="1139">
      <c r="A1139" t="inlineStr">
        <is>
          <t>LFC9021</t>
        </is>
      </c>
      <c r="B1139" t="inlineStr">
        <is>
          <t>LFC9021</t>
        </is>
      </c>
      <c r="C1139" t="inlineStr">
        <is>
          <t>SATELLITE TOWN</t>
        </is>
      </c>
      <c r="D1139" t="inlineStr"/>
      <c r="E1139" t="inlineStr">
        <is>
          <t>Y</t>
        </is>
      </c>
    </row>
    <row r="1140">
      <c r="A1140" t="inlineStr">
        <is>
          <t>LFC9022</t>
        </is>
      </c>
      <c r="B1140" t="inlineStr">
        <is>
          <t>LFC9022</t>
        </is>
      </c>
      <c r="C1140" t="inlineStr">
        <is>
          <t>SATELLITE TOWN</t>
        </is>
      </c>
      <c r="D1140" t="inlineStr"/>
      <c r="E1140" t="inlineStr">
        <is>
          <t>Y</t>
        </is>
      </c>
    </row>
    <row r="1141">
      <c r="A1141" t="inlineStr">
        <is>
          <t>LFC9101</t>
        </is>
      </c>
      <c r="B1141" t="inlineStr">
        <is>
          <t>LFC9101</t>
        </is>
      </c>
      <c r="C1141" t="inlineStr">
        <is>
          <t>IKOYI</t>
        </is>
      </c>
      <c r="D1141" t="inlineStr"/>
      <c r="E1141" t="inlineStr">
        <is>
          <t>Y</t>
        </is>
      </c>
    </row>
    <row r="1142">
      <c r="A1142" t="inlineStr">
        <is>
          <t>LFC9102</t>
        </is>
      </c>
      <c r="B1142" t="inlineStr">
        <is>
          <t>LFC9102</t>
        </is>
      </c>
      <c r="C1142" t="inlineStr">
        <is>
          <t>IKOYI</t>
        </is>
      </c>
      <c r="D1142" t="inlineStr"/>
      <c r="E1142" t="inlineStr">
        <is>
          <t>Y</t>
        </is>
      </c>
    </row>
    <row r="1143">
      <c r="A1143" t="inlineStr">
        <is>
          <t>LFC9103</t>
        </is>
      </c>
      <c r="B1143" t="inlineStr">
        <is>
          <t>LFC9103</t>
        </is>
      </c>
      <c r="C1143" t="inlineStr">
        <is>
          <t>IKOYI</t>
        </is>
      </c>
      <c r="D1143" t="inlineStr"/>
      <c r="E1143" t="inlineStr">
        <is>
          <t>Y</t>
        </is>
      </c>
    </row>
    <row r="1144">
      <c r="A1144" t="inlineStr">
        <is>
          <t>LFC9104</t>
        </is>
      </c>
      <c r="B1144" t="inlineStr">
        <is>
          <t>LFC9104</t>
        </is>
      </c>
      <c r="C1144" t="inlineStr">
        <is>
          <t>IKOYI</t>
        </is>
      </c>
      <c r="D1144" t="inlineStr"/>
      <c r="E1144" t="inlineStr">
        <is>
          <t>Y</t>
        </is>
      </c>
    </row>
    <row r="1145">
      <c r="A1145" t="inlineStr">
        <is>
          <t>LFC9105</t>
        </is>
      </c>
      <c r="B1145" t="inlineStr">
        <is>
          <t>LFC9105</t>
        </is>
      </c>
      <c r="C1145" t="inlineStr">
        <is>
          <t>IKOYI</t>
        </is>
      </c>
      <c r="D1145" t="inlineStr"/>
      <c r="E1145" t="inlineStr">
        <is>
          <t>Y</t>
        </is>
      </c>
    </row>
    <row r="1146">
      <c r="A1146" t="inlineStr">
        <is>
          <t>LFC9106</t>
        </is>
      </c>
      <c r="B1146" t="inlineStr">
        <is>
          <t>LFC9106</t>
        </is>
      </c>
      <c r="C1146" t="inlineStr">
        <is>
          <t>IKOYI</t>
        </is>
      </c>
      <c r="D1146" t="inlineStr"/>
      <c r="E1146" t="inlineStr">
        <is>
          <t>Y</t>
        </is>
      </c>
    </row>
    <row r="1147">
      <c r="A1147" t="inlineStr">
        <is>
          <t>LFC9107</t>
        </is>
      </c>
      <c r="B1147" t="inlineStr">
        <is>
          <t>LFC9107</t>
        </is>
      </c>
      <c r="C1147" t="inlineStr">
        <is>
          <t>IKOYI</t>
        </is>
      </c>
      <c r="D1147" t="inlineStr"/>
      <c r="E1147" t="inlineStr">
        <is>
          <t>Y</t>
        </is>
      </c>
    </row>
    <row r="1148">
      <c r="A1148" t="inlineStr">
        <is>
          <t>LFC9108</t>
        </is>
      </c>
      <c r="B1148" t="inlineStr">
        <is>
          <t>LFC9108</t>
        </is>
      </c>
      <c r="C1148" t="inlineStr">
        <is>
          <t>IKOYI</t>
        </is>
      </c>
      <c r="D1148" t="inlineStr"/>
      <c r="E1148" t="inlineStr">
        <is>
          <t>Y</t>
        </is>
      </c>
    </row>
    <row r="1149">
      <c r="A1149" t="inlineStr">
        <is>
          <t>LFC9109</t>
        </is>
      </c>
      <c r="B1149" t="inlineStr">
        <is>
          <t>LFC9109</t>
        </is>
      </c>
      <c r="C1149" t="inlineStr">
        <is>
          <t>IKOYI</t>
        </is>
      </c>
      <c r="D1149" t="inlineStr"/>
      <c r="E1149" t="inlineStr">
        <is>
          <t>Y</t>
        </is>
      </c>
    </row>
    <row r="1150">
      <c r="A1150" t="inlineStr">
        <is>
          <t>LFC9110</t>
        </is>
      </c>
      <c r="B1150" t="inlineStr">
        <is>
          <t>LFC9110</t>
        </is>
      </c>
      <c r="C1150" t="inlineStr">
        <is>
          <t>IKOYI</t>
        </is>
      </c>
      <c r="D1150" t="inlineStr"/>
      <c r="E1150" t="inlineStr">
        <is>
          <t>Y</t>
        </is>
      </c>
    </row>
    <row r="1151">
      <c r="A1151" t="inlineStr">
        <is>
          <t>LFC9201</t>
        </is>
      </c>
      <c r="B1151" t="inlineStr">
        <is>
          <t>LFC9201</t>
        </is>
      </c>
      <c r="C1151" t="inlineStr">
        <is>
          <t>ETI-OSA</t>
        </is>
      </c>
      <c r="D1151" t="inlineStr"/>
      <c r="E1151" t="inlineStr">
        <is>
          <t>Y</t>
        </is>
      </c>
    </row>
    <row r="1152">
      <c r="A1152" t="inlineStr">
        <is>
          <t>LFC9202</t>
        </is>
      </c>
      <c r="B1152" t="inlineStr">
        <is>
          <t>LFC9202</t>
        </is>
      </c>
      <c r="C1152" t="inlineStr">
        <is>
          <t>ETI-OSA</t>
        </is>
      </c>
      <c r="D1152" t="inlineStr"/>
      <c r="E1152" t="inlineStr">
        <is>
          <t>Y</t>
        </is>
      </c>
    </row>
    <row r="1153">
      <c r="A1153" t="inlineStr">
        <is>
          <t>LFC9203</t>
        </is>
      </c>
      <c r="B1153" t="inlineStr">
        <is>
          <t>LFC9203</t>
        </is>
      </c>
      <c r="C1153" t="inlineStr">
        <is>
          <t>ETI-OSA</t>
        </is>
      </c>
      <c r="D1153" t="inlineStr"/>
      <c r="E1153" t="inlineStr">
        <is>
          <t>Y</t>
        </is>
      </c>
    </row>
    <row r="1154">
      <c r="A1154" t="inlineStr">
        <is>
          <t>LFC9204</t>
        </is>
      </c>
      <c r="B1154" t="inlineStr">
        <is>
          <t>LFC9204</t>
        </is>
      </c>
      <c r="C1154" t="inlineStr">
        <is>
          <t>ETI-OSA</t>
        </is>
      </c>
      <c r="D1154" t="inlineStr"/>
      <c r="E1154" t="inlineStr">
        <is>
          <t>Y</t>
        </is>
      </c>
    </row>
    <row r="1155">
      <c r="A1155" t="inlineStr">
        <is>
          <t>LFC9205</t>
        </is>
      </c>
      <c r="B1155" t="inlineStr">
        <is>
          <t>LFC9205</t>
        </is>
      </c>
      <c r="C1155" t="inlineStr">
        <is>
          <t>ETI-OSA</t>
        </is>
      </c>
      <c r="D1155" t="inlineStr"/>
      <c r="E1155" t="inlineStr">
        <is>
          <t>Y</t>
        </is>
      </c>
    </row>
    <row r="1156">
      <c r="A1156" t="inlineStr">
        <is>
          <t>LFC9206</t>
        </is>
      </c>
      <c r="B1156" t="inlineStr">
        <is>
          <t>LFC9206</t>
        </is>
      </c>
      <c r="C1156" t="inlineStr">
        <is>
          <t>ETI-OSA</t>
        </is>
      </c>
      <c r="D1156" t="inlineStr"/>
      <c r="E1156" t="inlineStr">
        <is>
          <t>Y</t>
        </is>
      </c>
    </row>
    <row r="1157">
      <c r="A1157" t="inlineStr">
        <is>
          <t>LFC9207</t>
        </is>
      </c>
      <c r="B1157" t="inlineStr">
        <is>
          <t>LFC9207</t>
        </is>
      </c>
      <c r="C1157" t="inlineStr">
        <is>
          <t>ETI-OSA</t>
        </is>
      </c>
      <c r="D1157" t="inlineStr"/>
      <c r="E1157" t="inlineStr">
        <is>
          <t>Y</t>
        </is>
      </c>
    </row>
    <row r="1158">
      <c r="A1158" t="inlineStr">
        <is>
          <t>LFC9208</t>
        </is>
      </c>
      <c r="B1158" t="inlineStr">
        <is>
          <t>LFC9208</t>
        </is>
      </c>
      <c r="C1158" t="inlineStr">
        <is>
          <t>ETI-OSA</t>
        </is>
      </c>
      <c r="D1158" t="inlineStr"/>
      <c r="E1158" t="inlineStr">
        <is>
          <t>Y</t>
        </is>
      </c>
    </row>
    <row r="1159">
      <c r="A1159" t="inlineStr">
        <is>
          <t>LFC9209</t>
        </is>
      </c>
      <c r="B1159" t="inlineStr">
        <is>
          <t>LFC9209</t>
        </is>
      </c>
      <c r="C1159" t="inlineStr">
        <is>
          <t>ETI-OSA</t>
        </is>
      </c>
      <c r="D1159" t="inlineStr"/>
      <c r="E1159" t="inlineStr">
        <is>
          <t>Y</t>
        </is>
      </c>
    </row>
    <row r="1160">
      <c r="A1160" t="inlineStr">
        <is>
          <t>LFC9210</t>
        </is>
      </c>
      <c r="B1160" t="inlineStr">
        <is>
          <t>LFC9210</t>
        </is>
      </c>
      <c r="C1160" t="inlineStr">
        <is>
          <t>ETI-OSA</t>
        </is>
      </c>
      <c r="D1160" t="inlineStr"/>
      <c r="E1160" t="inlineStr">
        <is>
          <t>Y</t>
        </is>
      </c>
    </row>
    <row r="1161">
      <c r="A1161" t="inlineStr">
        <is>
          <t>LFC9211</t>
        </is>
      </c>
      <c r="B1161" t="inlineStr">
        <is>
          <t>LFC9211</t>
        </is>
      </c>
      <c r="C1161" t="inlineStr">
        <is>
          <t>ETI-OSA</t>
        </is>
      </c>
      <c r="D1161" t="inlineStr"/>
      <c r="E1161" t="inlineStr">
        <is>
          <t>Y</t>
        </is>
      </c>
    </row>
    <row r="1162">
      <c r="A1162" t="inlineStr">
        <is>
          <t>LFC9212</t>
        </is>
      </c>
      <c r="B1162" t="inlineStr">
        <is>
          <t>LFC9212</t>
        </is>
      </c>
      <c r="C1162" t="inlineStr">
        <is>
          <t>ETI-OSA</t>
        </is>
      </c>
      <c r="D1162" t="inlineStr"/>
      <c r="E1162" t="inlineStr">
        <is>
          <t>Y</t>
        </is>
      </c>
    </row>
    <row r="1163">
      <c r="A1163" t="inlineStr">
        <is>
          <t>LFC9213</t>
        </is>
      </c>
      <c r="B1163" t="inlineStr">
        <is>
          <t>LFC9213</t>
        </is>
      </c>
      <c r="C1163" t="inlineStr">
        <is>
          <t>ETI-OSA</t>
        </is>
      </c>
      <c r="D1163" t="inlineStr"/>
      <c r="E1163" t="inlineStr">
        <is>
          <t>Y</t>
        </is>
      </c>
    </row>
    <row r="1164">
      <c r="A1164" t="inlineStr">
        <is>
          <t>LFC9214</t>
        </is>
      </c>
      <c r="B1164" t="inlineStr">
        <is>
          <t>LFC9214</t>
        </is>
      </c>
      <c r="C1164" t="inlineStr">
        <is>
          <t>ETI-OSA</t>
        </is>
      </c>
      <c r="D1164" t="inlineStr"/>
      <c r="E1164" t="inlineStr">
        <is>
          <t>Y</t>
        </is>
      </c>
    </row>
    <row r="1165">
      <c r="A1165" t="inlineStr">
        <is>
          <t>LFC9215</t>
        </is>
      </c>
      <c r="B1165" t="inlineStr">
        <is>
          <t>LFC9215</t>
        </is>
      </c>
      <c r="C1165" t="inlineStr">
        <is>
          <t>ETI-OSA</t>
        </is>
      </c>
      <c r="D1165" t="inlineStr"/>
      <c r="E1165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ADB3B7"/>
    <outlinePr summaryBelow="1" summaryRight="1"/>
    <pageSetUpPr/>
  </sheetPr>
  <dimension ref="A1:D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2" customWidth="1" min="4" max="4"/>
  </cols>
  <sheetData>
    <row r="1">
      <c r="A1" s="178" t="inlineStr">
        <is>
          <t>Cell</t>
        </is>
      </c>
      <c r="B1" s="178" t="inlineStr">
        <is>
          <t>Zone_Name</t>
        </is>
      </c>
      <c r="C1" s="178" t="inlineStr">
        <is>
          <t>Area_Name</t>
        </is>
      </c>
      <c r="D1" s="178" t="inlineStr">
        <is>
          <t>Operational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ADB3B7"/>
    <outlinePr summaryBelow="1" summaryRight="1"/>
    <pageSetUpPr/>
  </sheetPr>
  <dimension ref="A1:D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8" customWidth="1" min="4" max="4"/>
  </cols>
  <sheetData>
    <row r="1">
      <c r="A1" s="178" t="inlineStr">
        <is>
          <t>Church_ID</t>
        </is>
      </c>
      <c r="B1" s="178" t="inlineStr">
        <is>
          <t>Church_Name</t>
        </is>
      </c>
      <c r="C1" s="178" t="inlineStr">
        <is>
          <t>Location</t>
        </is>
      </c>
      <c r="D1" s="178" t="inlineStr">
        <is>
          <t>Active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ADB3B7"/>
    <outlinePr summaryBelow="1" summaryRight="1"/>
    <pageSetUpPr/>
  </sheetPr>
  <dimension ref="A1:H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20" customWidth="1" min="6" max="6"/>
    <col width="24" customWidth="1" min="7" max="7"/>
    <col width="14" customWidth="1" min="8" max="8"/>
  </cols>
  <sheetData>
    <row r="1">
      <c r="A1" s="178" t="inlineStr">
        <is>
          <t>Vehicle_ID</t>
        </is>
      </c>
      <c r="B1" s="178" t="inlineStr">
        <is>
          <t>Category</t>
        </is>
      </c>
      <c r="C1" s="178" t="inlineStr">
        <is>
          <t>Capacity</t>
        </is>
      </c>
      <c r="D1" s="178" t="inlineStr">
        <is>
          <t>Owner</t>
        </is>
      </c>
      <c r="E1" s="178" t="inlineStr">
        <is>
          <t>Status</t>
        </is>
      </c>
      <c r="F1" s="178" t="inlineStr">
        <is>
          <t>Area_Name</t>
        </is>
      </c>
      <c r="G1" s="178" t="inlineStr">
        <is>
          <t>Zone_Name</t>
        </is>
      </c>
      <c r="H1" s="178" t="inlineStr">
        <is>
          <t>Hired_By_Type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72"/>
  <sheetViews>
    <sheetView tabSelected="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1" customWidth="1" min="4" max="4"/>
    <col width="8" customWidth="1" min="5" max="5"/>
    <col width="7" customWidth="1" min="6" max="6"/>
    <col width="11" customWidth="1" min="7" max="7"/>
  </cols>
  <sheetData>
    <row r="1">
      <c r="A1" t="inlineStr">
        <is>
          <t>Week_Ending</t>
        </is>
      </c>
      <c r="B1" t="inlineStr">
        <is>
          <t>Week_No</t>
        </is>
      </c>
      <c r="C1" t="inlineStr">
        <is>
          <t>Month</t>
        </is>
      </c>
      <c r="D1" t="inlineStr">
        <is>
          <t>Month_Name</t>
        </is>
      </c>
      <c r="E1" t="inlineStr">
        <is>
          <t>Quarter</t>
        </is>
      </c>
      <c r="F1" t="inlineStr">
        <is>
          <t>Year</t>
        </is>
      </c>
      <c r="G1" t="inlineStr">
        <is>
          <t>Year_Month</t>
        </is>
      </c>
    </row>
    <row r="2">
      <c r="A2" s="170">
        <f>DATE(2024,1,1)+MOD(WeekEndDay-WEEKDAY(DATE(2024,1,1),2),7)</f>
        <v/>
      </c>
      <c r="B2">
        <f>INT((A2-DATE(YEAR(A2),1,1))/7)+1</f>
        <v/>
      </c>
      <c r="C2">
        <f>MONTH(A2)</f>
        <v/>
      </c>
      <c r="D2">
        <f>TEXT(A2,"mmm")</f>
        <v/>
      </c>
      <c r="E2">
        <f>ROUNDUP(C2/3,0)</f>
        <v/>
      </c>
      <c r="F2">
        <f>YEAR(A2)</f>
        <v/>
      </c>
      <c r="G2">
        <f>F2&amp;"-"&amp;TEXT(C2,"00")</f>
        <v/>
      </c>
    </row>
    <row r="3">
      <c r="A3" s="170">
        <f>A2+7</f>
        <v/>
      </c>
      <c r="B3">
        <f>INT((A3-DATE(YEAR(A3),1,1))/7)+1</f>
        <v/>
      </c>
      <c r="C3">
        <f>MONTH(A3)</f>
        <v/>
      </c>
      <c r="D3">
        <f>TEXT(A3,"mmm")</f>
        <v/>
      </c>
      <c r="E3">
        <f>ROUNDUP(C3/3,0)</f>
        <v/>
      </c>
      <c r="F3">
        <f>YEAR(A3)</f>
        <v/>
      </c>
      <c r="G3">
        <f>F3&amp;"-"&amp;TEXT(C3,"00")</f>
        <v/>
      </c>
    </row>
    <row r="4">
      <c r="A4" s="170">
        <f>A3+7</f>
        <v/>
      </c>
      <c r="B4">
        <f>INT((A4-DATE(YEAR(A4),1,1))/7)+1</f>
        <v/>
      </c>
      <c r="C4">
        <f>MONTH(A4)</f>
        <v/>
      </c>
      <c r="D4">
        <f>TEXT(A4,"mmm")</f>
        <v/>
      </c>
      <c r="E4">
        <f>ROUNDUP(C4/3,0)</f>
        <v/>
      </c>
      <c r="F4">
        <f>YEAR(A4)</f>
        <v/>
      </c>
      <c r="G4">
        <f>F4&amp;"-"&amp;TEXT(C4,"00")</f>
        <v/>
      </c>
    </row>
    <row r="5">
      <c r="A5" s="170">
        <f>A4+7</f>
        <v/>
      </c>
      <c r="B5">
        <f>INT((A5-DATE(YEAR(A5),1,1))/7)+1</f>
        <v/>
      </c>
      <c r="C5">
        <f>MONTH(A5)</f>
        <v/>
      </c>
      <c r="D5">
        <f>TEXT(A5,"mmm")</f>
        <v/>
      </c>
      <c r="E5">
        <f>ROUNDUP(C5/3,0)</f>
        <v/>
      </c>
      <c r="F5">
        <f>YEAR(A5)</f>
        <v/>
      </c>
      <c r="G5">
        <f>F5&amp;"-"&amp;TEXT(C5,"00")</f>
        <v/>
      </c>
    </row>
    <row r="6">
      <c r="A6" s="170">
        <f>A5+7</f>
        <v/>
      </c>
      <c r="B6">
        <f>INT((A6-DATE(YEAR(A6),1,1))/7)+1</f>
        <v/>
      </c>
      <c r="C6">
        <f>MONTH(A6)</f>
        <v/>
      </c>
      <c r="D6">
        <f>TEXT(A6,"mmm")</f>
        <v/>
      </c>
      <c r="E6">
        <f>ROUNDUP(C6/3,0)</f>
        <v/>
      </c>
      <c r="F6">
        <f>YEAR(A6)</f>
        <v/>
      </c>
      <c r="G6">
        <f>F6&amp;"-"&amp;TEXT(C6,"00")</f>
        <v/>
      </c>
    </row>
    <row r="7">
      <c r="A7" s="170">
        <f>A6+7</f>
        <v/>
      </c>
      <c r="B7">
        <f>INT((A7-DATE(YEAR(A7),1,1))/7)+1</f>
        <v/>
      </c>
      <c r="C7">
        <f>MONTH(A7)</f>
        <v/>
      </c>
      <c r="D7">
        <f>TEXT(A7,"mmm")</f>
        <v/>
      </c>
      <c r="E7">
        <f>ROUNDUP(C7/3,0)</f>
        <v/>
      </c>
      <c r="F7">
        <f>YEAR(A7)</f>
        <v/>
      </c>
      <c r="G7">
        <f>F7&amp;"-"&amp;TEXT(C7,"00")</f>
        <v/>
      </c>
    </row>
    <row r="8">
      <c r="A8" s="170">
        <f>A7+7</f>
        <v/>
      </c>
      <c r="B8">
        <f>INT((A8-DATE(YEAR(A8),1,1))/7)+1</f>
        <v/>
      </c>
      <c r="C8">
        <f>MONTH(A8)</f>
        <v/>
      </c>
      <c r="D8">
        <f>TEXT(A8,"mmm")</f>
        <v/>
      </c>
      <c r="E8">
        <f>ROUNDUP(C8/3,0)</f>
        <v/>
      </c>
      <c r="F8">
        <f>YEAR(A8)</f>
        <v/>
      </c>
      <c r="G8">
        <f>F8&amp;"-"&amp;TEXT(C8,"00")</f>
        <v/>
      </c>
    </row>
    <row r="9">
      <c r="A9" s="170">
        <f>A8+7</f>
        <v/>
      </c>
      <c r="B9">
        <f>INT((A9-DATE(YEAR(A9),1,1))/7)+1</f>
        <v/>
      </c>
      <c r="C9">
        <f>MONTH(A9)</f>
        <v/>
      </c>
      <c r="D9">
        <f>TEXT(A9,"mmm")</f>
        <v/>
      </c>
      <c r="E9">
        <f>ROUNDUP(C9/3,0)</f>
        <v/>
      </c>
      <c r="F9">
        <f>YEAR(A9)</f>
        <v/>
      </c>
      <c r="G9">
        <f>F9&amp;"-"&amp;TEXT(C9,"00")</f>
        <v/>
      </c>
    </row>
    <row r="10">
      <c r="A10" s="170">
        <f>A9+7</f>
        <v/>
      </c>
      <c r="B10">
        <f>INT((A10-DATE(YEAR(A10),1,1))/7)+1</f>
        <v/>
      </c>
      <c r="C10">
        <f>MONTH(A10)</f>
        <v/>
      </c>
      <c r="D10">
        <f>TEXT(A10,"mmm")</f>
        <v/>
      </c>
      <c r="E10">
        <f>ROUNDUP(C10/3,0)</f>
        <v/>
      </c>
      <c r="F10">
        <f>YEAR(A10)</f>
        <v/>
      </c>
      <c r="G10">
        <f>F10&amp;"-"&amp;TEXT(C10,"00")</f>
        <v/>
      </c>
    </row>
    <row r="11">
      <c r="A11" s="170">
        <f>A10+7</f>
        <v/>
      </c>
      <c r="B11">
        <f>INT((A11-DATE(YEAR(A11),1,1))/7)+1</f>
        <v/>
      </c>
      <c r="C11">
        <f>MONTH(A11)</f>
        <v/>
      </c>
      <c r="D11">
        <f>TEXT(A11,"mmm")</f>
        <v/>
      </c>
      <c r="E11">
        <f>ROUNDUP(C11/3,0)</f>
        <v/>
      </c>
      <c r="F11">
        <f>YEAR(A11)</f>
        <v/>
      </c>
      <c r="G11">
        <f>F11&amp;"-"&amp;TEXT(C11,"00")</f>
        <v/>
      </c>
    </row>
    <row r="12">
      <c r="A12" s="170">
        <f>A11+7</f>
        <v/>
      </c>
      <c r="B12">
        <f>INT((A12-DATE(YEAR(A12),1,1))/7)+1</f>
        <v/>
      </c>
      <c r="C12">
        <f>MONTH(A12)</f>
        <v/>
      </c>
      <c r="D12">
        <f>TEXT(A12,"mmm")</f>
        <v/>
      </c>
      <c r="E12">
        <f>ROUNDUP(C12/3,0)</f>
        <v/>
      </c>
      <c r="F12">
        <f>YEAR(A12)</f>
        <v/>
      </c>
      <c r="G12">
        <f>F12&amp;"-"&amp;TEXT(C12,"00")</f>
        <v/>
      </c>
    </row>
    <row r="13">
      <c r="A13" s="170">
        <f>A12+7</f>
        <v/>
      </c>
      <c r="B13">
        <f>INT((A13-DATE(YEAR(A13),1,1))/7)+1</f>
        <v/>
      </c>
      <c r="C13">
        <f>MONTH(A13)</f>
        <v/>
      </c>
      <c r="D13">
        <f>TEXT(A13,"mmm")</f>
        <v/>
      </c>
      <c r="E13">
        <f>ROUNDUP(C13/3,0)</f>
        <v/>
      </c>
      <c r="F13">
        <f>YEAR(A13)</f>
        <v/>
      </c>
      <c r="G13">
        <f>F13&amp;"-"&amp;TEXT(C13,"00")</f>
        <v/>
      </c>
    </row>
    <row r="14">
      <c r="A14" s="170">
        <f>A13+7</f>
        <v/>
      </c>
      <c r="B14">
        <f>INT((A14-DATE(YEAR(A14),1,1))/7)+1</f>
        <v/>
      </c>
      <c r="C14">
        <f>MONTH(A14)</f>
        <v/>
      </c>
      <c r="D14">
        <f>TEXT(A14,"mmm")</f>
        <v/>
      </c>
      <c r="E14">
        <f>ROUNDUP(C14/3,0)</f>
        <v/>
      </c>
      <c r="F14">
        <f>YEAR(A14)</f>
        <v/>
      </c>
      <c r="G14">
        <f>F14&amp;"-"&amp;TEXT(C14,"00")</f>
        <v/>
      </c>
    </row>
    <row r="15">
      <c r="A15" s="170">
        <f>A14+7</f>
        <v/>
      </c>
      <c r="B15">
        <f>INT((A15-DATE(YEAR(A15),1,1))/7)+1</f>
        <v/>
      </c>
      <c r="C15">
        <f>MONTH(A15)</f>
        <v/>
      </c>
      <c r="D15">
        <f>TEXT(A15,"mmm")</f>
        <v/>
      </c>
      <c r="E15">
        <f>ROUNDUP(C15/3,0)</f>
        <v/>
      </c>
      <c r="F15">
        <f>YEAR(A15)</f>
        <v/>
      </c>
      <c r="G15">
        <f>F15&amp;"-"&amp;TEXT(C15,"00")</f>
        <v/>
      </c>
    </row>
    <row r="16">
      <c r="A16" s="170">
        <f>A15+7</f>
        <v/>
      </c>
      <c r="B16">
        <f>INT((A16-DATE(YEAR(A16),1,1))/7)+1</f>
        <v/>
      </c>
      <c r="C16">
        <f>MONTH(A16)</f>
        <v/>
      </c>
      <c r="D16">
        <f>TEXT(A16,"mmm")</f>
        <v/>
      </c>
      <c r="E16">
        <f>ROUNDUP(C16/3,0)</f>
        <v/>
      </c>
      <c r="F16">
        <f>YEAR(A16)</f>
        <v/>
      </c>
      <c r="G16">
        <f>F16&amp;"-"&amp;TEXT(C16,"00")</f>
        <v/>
      </c>
    </row>
    <row r="17">
      <c r="A17" s="170">
        <f>A16+7</f>
        <v/>
      </c>
      <c r="B17">
        <f>INT((A17-DATE(YEAR(A17),1,1))/7)+1</f>
        <v/>
      </c>
      <c r="C17">
        <f>MONTH(A17)</f>
        <v/>
      </c>
      <c r="D17">
        <f>TEXT(A17,"mmm")</f>
        <v/>
      </c>
      <c r="E17">
        <f>ROUNDUP(C17/3,0)</f>
        <v/>
      </c>
      <c r="F17">
        <f>YEAR(A17)</f>
        <v/>
      </c>
      <c r="G17">
        <f>F17&amp;"-"&amp;TEXT(C17,"00")</f>
        <v/>
      </c>
    </row>
    <row r="18">
      <c r="A18" s="170">
        <f>A17+7</f>
        <v/>
      </c>
      <c r="B18">
        <f>INT((A18-DATE(YEAR(A18),1,1))/7)+1</f>
        <v/>
      </c>
      <c r="C18">
        <f>MONTH(A18)</f>
        <v/>
      </c>
      <c r="D18">
        <f>TEXT(A18,"mmm")</f>
        <v/>
      </c>
      <c r="E18">
        <f>ROUNDUP(C18/3,0)</f>
        <v/>
      </c>
      <c r="F18">
        <f>YEAR(A18)</f>
        <v/>
      </c>
      <c r="G18">
        <f>F18&amp;"-"&amp;TEXT(C18,"00")</f>
        <v/>
      </c>
    </row>
    <row r="19">
      <c r="A19" s="170">
        <f>A18+7</f>
        <v/>
      </c>
      <c r="B19">
        <f>INT((A19-DATE(YEAR(A19),1,1))/7)+1</f>
        <v/>
      </c>
      <c r="C19">
        <f>MONTH(A19)</f>
        <v/>
      </c>
      <c r="D19">
        <f>TEXT(A19,"mmm")</f>
        <v/>
      </c>
      <c r="E19">
        <f>ROUNDUP(C19/3,0)</f>
        <v/>
      </c>
      <c r="F19">
        <f>YEAR(A19)</f>
        <v/>
      </c>
      <c r="G19">
        <f>F19&amp;"-"&amp;TEXT(C19,"00")</f>
        <v/>
      </c>
    </row>
    <row r="20">
      <c r="A20" s="170">
        <f>A19+7</f>
        <v/>
      </c>
      <c r="B20">
        <f>INT((A20-DATE(YEAR(A20),1,1))/7)+1</f>
        <v/>
      </c>
      <c r="C20">
        <f>MONTH(A20)</f>
        <v/>
      </c>
      <c r="D20">
        <f>TEXT(A20,"mmm")</f>
        <v/>
      </c>
      <c r="E20">
        <f>ROUNDUP(C20/3,0)</f>
        <v/>
      </c>
      <c r="F20">
        <f>YEAR(A20)</f>
        <v/>
      </c>
      <c r="G20">
        <f>F20&amp;"-"&amp;TEXT(C20,"00")</f>
        <v/>
      </c>
    </row>
    <row r="21">
      <c r="A21" s="170">
        <f>A20+7</f>
        <v/>
      </c>
      <c r="B21">
        <f>INT((A21-DATE(YEAR(A21),1,1))/7)+1</f>
        <v/>
      </c>
      <c r="C21">
        <f>MONTH(A21)</f>
        <v/>
      </c>
      <c r="D21">
        <f>TEXT(A21,"mmm")</f>
        <v/>
      </c>
      <c r="E21">
        <f>ROUNDUP(C21/3,0)</f>
        <v/>
      </c>
      <c r="F21">
        <f>YEAR(A21)</f>
        <v/>
      </c>
      <c r="G21">
        <f>F21&amp;"-"&amp;TEXT(C21,"00")</f>
        <v/>
      </c>
    </row>
    <row r="22">
      <c r="A22" s="170">
        <f>A21+7</f>
        <v/>
      </c>
      <c r="B22">
        <f>INT((A22-DATE(YEAR(A22),1,1))/7)+1</f>
        <v/>
      </c>
      <c r="C22">
        <f>MONTH(A22)</f>
        <v/>
      </c>
      <c r="D22">
        <f>TEXT(A22,"mmm")</f>
        <v/>
      </c>
      <c r="E22">
        <f>ROUNDUP(C22/3,0)</f>
        <v/>
      </c>
      <c r="F22">
        <f>YEAR(A22)</f>
        <v/>
      </c>
      <c r="G22">
        <f>F22&amp;"-"&amp;TEXT(C22,"00")</f>
        <v/>
      </c>
    </row>
    <row r="23">
      <c r="A23" s="170">
        <f>A22+7</f>
        <v/>
      </c>
      <c r="B23">
        <f>INT((A23-DATE(YEAR(A23),1,1))/7)+1</f>
        <v/>
      </c>
      <c r="C23">
        <f>MONTH(A23)</f>
        <v/>
      </c>
      <c r="D23">
        <f>TEXT(A23,"mmm")</f>
        <v/>
      </c>
      <c r="E23">
        <f>ROUNDUP(C23/3,0)</f>
        <v/>
      </c>
      <c r="F23">
        <f>YEAR(A23)</f>
        <v/>
      </c>
      <c r="G23">
        <f>F23&amp;"-"&amp;TEXT(C23,"00")</f>
        <v/>
      </c>
    </row>
    <row r="24">
      <c r="A24" s="170">
        <f>A23+7</f>
        <v/>
      </c>
      <c r="B24">
        <f>INT((A24-DATE(YEAR(A24),1,1))/7)+1</f>
        <v/>
      </c>
      <c r="C24">
        <f>MONTH(A24)</f>
        <v/>
      </c>
      <c r="D24">
        <f>TEXT(A24,"mmm")</f>
        <v/>
      </c>
      <c r="E24">
        <f>ROUNDUP(C24/3,0)</f>
        <v/>
      </c>
      <c r="F24">
        <f>YEAR(A24)</f>
        <v/>
      </c>
      <c r="G24">
        <f>F24&amp;"-"&amp;TEXT(C24,"00")</f>
        <v/>
      </c>
    </row>
    <row r="25">
      <c r="A25" s="170">
        <f>A24+7</f>
        <v/>
      </c>
      <c r="B25">
        <f>INT((A25-DATE(YEAR(A25),1,1))/7)+1</f>
        <v/>
      </c>
      <c r="C25">
        <f>MONTH(A25)</f>
        <v/>
      </c>
      <c r="D25">
        <f>TEXT(A25,"mmm")</f>
        <v/>
      </c>
      <c r="E25">
        <f>ROUNDUP(C25/3,0)</f>
        <v/>
      </c>
      <c r="F25">
        <f>YEAR(A25)</f>
        <v/>
      </c>
      <c r="G25">
        <f>F25&amp;"-"&amp;TEXT(C25,"00")</f>
        <v/>
      </c>
    </row>
    <row r="26">
      <c r="A26" s="170">
        <f>A25+7</f>
        <v/>
      </c>
      <c r="B26">
        <f>INT((A26-DATE(YEAR(A26),1,1))/7)+1</f>
        <v/>
      </c>
      <c r="C26">
        <f>MONTH(A26)</f>
        <v/>
      </c>
      <c r="D26">
        <f>TEXT(A26,"mmm")</f>
        <v/>
      </c>
      <c r="E26">
        <f>ROUNDUP(C26/3,0)</f>
        <v/>
      </c>
      <c r="F26">
        <f>YEAR(A26)</f>
        <v/>
      </c>
      <c r="G26">
        <f>F26&amp;"-"&amp;TEXT(C26,"00")</f>
        <v/>
      </c>
    </row>
    <row r="27">
      <c r="A27" s="170">
        <f>A26+7</f>
        <v/>
      </c>
      <c r="B27">
        <f>INT((A27-DATE(YEAR(A27),1,1))/7)+1</f>
        <v/>
      </c>
      <c r="C27">
        <f>MONTH(A27)</f>
        <v/>
      </c>
      <c r="D27">
        <f>TEXT(A27,"mmm")</f>
        <v/>
      </c>
      <c r="E27">
        <f>ROUNDUP(C27/3,0)</f>
        <v/>
      </c>
      <c r="F27">
        <f>YEAR(A27)</f>
        <v/>
      </c>
      <c r="G27">
        <f>F27&amp;"-"&amp;TEXT(C27,"00")</f>
        <v/>
      </c>
    </row>
    <row r="28">
      <c r="A28" s="170">
        <f>A27+7</f>
        <v/>
      </c>
      <c r="B28">
        <f>INT((A28-DATE(YEAR(A28),1,1))/7)+1</f>
        <v/>
      </c>
      <c r="C28">
        <f>MONTH(A28)</f>
        <v/>
      </c>
      <c r="D28">
        <f>TEXT(A28,"mmm")</f>
        <v/>
      </c>
      <c r="E28">
        <f>ROUNDUP(C28/3,0)</f>
        <v/>
      </c>
      <c r="F28">
        <f>YEAR(A28)</f>
        <v/>
      </c>
      <c r="G28">
        <f>F28&amp;"-"&amp;TEXT(C28,"00")</f>
        <v/>
      </c>
    </row>
    <row r="29">
      <c r="A29" s="170">
        <f>A28+7</f>
        <v/>
      </c>
      <c r="B29">
        <f>INT((A29-DATE(YEAR(A29),1,1))/7)+1</f>
        <v/>
      </c>
      <c r="C29">
        <f>MONTH(A29)</f>
        <v/>
      </c>
      <c r="D29">
        <f>TEXT(A29,"mmm")</f>
        <v/>
      </c>
      <c r="E29">
        <f>ROUNDUP(C29/3,0)</f>
        <v/>
      </c>
      <c r="F29">
        <f>YEAR(A29)</f>
        <v/>
      </c>
      <c r="G29">
        <f>F29&amp;"-"&amp;TEXT(C29,"00")</f>
        <v/>
      </c>
    </row>
    <row r="30">
      <c r="A30" s="170">
        <f>A29+7</f>
        <v/>
      </c>
      <c r="B30">
        <f>INT((A30-DATE(YEAR(A30),1,1))/7)+1</f>
        <v/>
      </c>
      <c r="C30">
        <f>MONTH(A30)</f>
        <v/>
      </c>
      <c r="D30">
        <f>TEXT(A30,"mmm")</f>
        <v/>
      </c>
      <c r="E30">
        <f>ROUNDUP(C30/3,0)</f>
        <v/>
      </c>
      <c r="F30">
        <f>YEAR(A30)</f>
        <v/>
      </c>
      <c r="G30">
        <f>F30&amp;"-"&amp;TEXT(C30,"00")</f>
        <v/>
      </c>
    </row>
    <row r="31">
      <c r="A31" s="170">
        <f>A30+7</f>
        <v/>
      </c>
      <c r="B31">
        <f>INT((A31-DATE(YEAR(A31),1,1))/7)+1</f>
        <v/>
      </c>
      <c r="C31">
        <f>MONTH(A31)</f>
        <v/>
      </c>
      <c r="D31">
        <f>TEXT(A31,"mmm")</f>
        <v/>
      </c>
      <c r="E31">
        <f>ROUNDUP(C31/3,0)</f>
        <v/>
      </c>
      <c r="F31">
        <f>YEAR(A31)</f>
        <v/>
      </c>
      <c r="G31">
        <f>F31&amp;"-"&amp;TEXT(C31,"00")</f>
        <v/>
      </c>
    </row>
    <row r="32">
      <c r="A32" s="170">
        <f>A31+7</f>
        <v/>
      </c>
      <c r="B32">
        <f>INT((A32-DATE(YEAR(A32),1,1))/7)+1</f>
        <v/>
      </c>
      <c r="C32">
        <f>MONTH(A32)</f>
        <v/>
      </c>
      <c r="D32">
        <f>TEXT(A32,"mmm")</f>
        <v/>
      </c>
      <c r="E32">
        <f>ROUNDUP(C32/3,0)</f>
        <v/>
      </c>
      <c r="F32">
        <f>YEAR(A32)</f>
        <v/>
      </c>
      <c r="G32">
        <f>F32&amp;"-"&amp;TEXT(C32,"00")</f>
        <v/>
      </c>
    </row>
    <row r="33">
      <c r="A33" s="170">
        <f>A32+7</f>
        <v/>
      </c>
      <c r="B33">
        <f>INT((A33-DATE(YEAR(A33),1,1))/7)+1</f>
        <v/>
      </c>
      <c r="C33">
        <f>MONTH(A33)</f>
        <v/>
      </c>
      <c r="D33">
        <f>TEXT(A33,"mmm")</f>
        <v/>
      </c>
      <c r="E33">
        <f>ROUNDUP(C33/3,0)</f>
        <v/>
      </c>
      <c r="F33">
        <f>YEAR(A33)</f>
        <v/>
      </c>
      <c r="G33">
        <f>F33&amp;"-"&amp;TEXT(C33,"00")</f>
        <v/>
      </c>
    </row>
    <row r="34">
      <c r="A34" s="170">
        <f>A33+7</f>
        <v/>
      </c>
      <c r="B34">
        <f>INT((A34-DATE(YEAR(A34),1,1))/7)+1</f>
        <v/>
      </c>
      <c r="C34">
        <f>MONTH(A34)</f>
        <v/>
      </c>
      <c r="D34">
        <f>TEXT(A34,"mmm")</f>
        <v/>
      </c>
      <c r="E34">
        <f>ROUNDUP(C34/3,0)</f>
        <v/>
      </c>
      <c r="F34">
        <f>YEAR(A34)</f>
        <v/>
      </c>
      <c r="G34">
        <f>F34&amp;"-"&amp;TEXT(C34,"00")</f>
        <v/>
      </c>
    </row>
    <row r="35">
      <c r="A35" s="170">
        <f>A34+7</f>
        <v/>
      </c>
      <c r="B35">
        <f>INT((A35-DATE(YEAR(A35),1,1))/7)+1</f>
        <v/>
      </c>
      <c r="C35">
        <f>MONTH(A35)</f>
        <v/>
      </c>
      <c r="D35">
        <f>TEXT(A35,"mmm")</f>
        <v/>
      </c>
      <c r="E35">
        <f>ROUNDUP(C35/3,0)</f>
        <v/>
      </c>
      <c r="F35">
        <f>YEAR(A35)</f>
        <v/>
      </c>
      <c r="G35">
        <f>F35&amp;"-"&amp;TEXT(C35,"00")</f>
        <v/>
      </c>
    </row>
    <row r="36">
      <c r="A36" s="170">
        <f>A35+7</f>
        <v/>
      </c>
      <c r="B36">
        <f>INT((A36-DATE(YEAR(A36),1,1))/7)+1</f>
        <v/>
      </c>
      <c r="C36">
        <f>MONTH(A36)</f>
        <v/>
      </c>
      <c r="D36">
        <f>TEXT(A36,"mmm")</f>
        <v/>
      </c>
      <c r="E36">
        <f>ROUNDUP(C36/3,0)</f>
        <v/>
      </c>
      <c r="F36">
        <f>YEAR(A36)</f>
        <v/>
      </c>
      <c r="G36">
        <f>F36&amp;"-"&amp;TEXT(C36,"00")</f>
        <v/>
      </c>
    </row>
    <row r="37">
      <c r="A37" s="170">
        <f>A36+7</f>
        <v/>
      </c>
      <c r="B37">
        <f>INT((A37-DATE(YEAR(A37),1,1))/7)+1</f>
        <v/>
      </c>
      <c r="C37">
        <f>MONTH(A37)</f>
        <v/>
      </c>
      <c r="D37">
        <f>TEXT(A37,"mmm")</f>
        <v/>
      </c>
      <c r="E37">
        <f>ROUNDUP(C37/3,0)</f>
        <v/>
      </c>
      <c r="F37">
        <f>YEAR(A37)</f>
        <v/>
      </c>
      <c r="G37">
        <f>F37&amp;"-"&amp;TEXT(C37,"00")</f>
        <v/>
      </c>
    </row>
    <row r="38">
      <c r="A38" s="170">
        <f>A37+7</f>
        <v/>
      </c>
      <c r="B38">
        <f>INT((A38-DATE(YEAR(A38),1,1))/7)+1</f>
        <v/>
      </c>
      <c r="C38">
        <f>MONTH(A38)</f>
        <v/>
      </c>
      <c r="D38">
        <f>TEXT(A38,"mmm")</f>
        <v/>
      </c>
      <c r="E38">
        <f>ROUNDUP(C38/3,0)</f>
        <v/>
      </c>
      <c r="F38">
        <f>YEAR(A38)</f>
        <v/>
      </c>
      <c r="G38">
        <f>F38&amp;"-"&amp;TEXT(C38,"00")</f>
        <v/>
      </c>
    </row>
    <row r="39">
      <c r="A39" s="170">
        <f>A38+7</f>
        <v/>
      </c>
      <c r="B39">
        <f>INT((A39-DATE(YEAR(A39),1,1))/7)+1</f>
        <v/>
      </c>
      <c r="C39">
        <f>MONTH(A39)</f>
        <v/>
      </c>
      <c r="D39">
        <f>TEXT(A39,"mmm")</f>
        <v/>
      </c>
      <c r="E39">
        <f>ROUNDUP(C39/3,0)</f>
        <v/>
      </c>
      <c r="F39">
        <f>YEAR(A39)</f>
        <v/>
      </c>
      <c r="G39">
        <f>F39&amp;"-"&amp;TEXT(C39,"00")</f>
        <v/>
      </c>
    </row>
    <row r="40">
      <c r="A40" s="170">
        <f>A39+7</f>
        <v/>
      </c>
      <c r="B40">
        <f>INT((A40-DATE(YEAR(A40),1,1))/7)+1</f>
        <v/>
      </c>
      <c r="C40">
        <f>MONTH(A40)</f>
        <v/>
      </c>
      <c r="D40">
        <f>TEXT(A40,"mmm")</f>
        <v/>
      </c>
      <c r="E40">
        <f>ROUNDUP(C40/3,0)</f>
        <v/>
      </c>
      <c r="F40">
        <f>YEAR(A40)</f>
        <v/>
      </c>
      <c r="G40">
        <f>F40&amp;"-"&amp;TEXT(C40,"00")</f>
        <v/>
      </c>
    </row>
    <row r="41">
      <c r="A41" s="170">
        <f>A40+7</f>
        <v/>
      </c>
      <c r="B41">
        <f>INT((A41-DATE(YEAR(A41),1,1))/7)+1</f>
        <v/>
      </c>
      <c r="C41">
        <f>MONTH(A41)</f>
        <v/>
      </c>
      <c r="D41">
        <f>TEXT(A41,"mmm")</f>
        <v/>
      </c>
      <c r="E41">
        <f>ROUNDUP(C41/3,0)</f>
        <v/>
      </c>
      <c r="F41">
        <f>YEAR(A41)</f>
        <v/>
      </c>
      <c r="G41">
        <f>F41&amp;"-"&amp;TEXT(C41,"00")</f>
        <v/>
      </c>
    </row>
    <row r="42">
      <c r="A42" s="170">
        <f>A41+7</f>
        <v/>
      </c>
      <c r="B42">
        <f>INT((A42-DATE(YEAR(A42),1,1))/7)+1</f>
        <v/>
      </c>
      <c r="C42">
        <f>MONTH(A42)</f>
        <v/>
      </c>
      <c r="D42">
        <f>TEXT(A42,"mmm")</f>
        <v/>
      </c>
      <c r="E42">
        <f>ROUNDUP(C42/3,0)</f>
        <v/>
      </c>
      <c r="F42">
        <f>YEAR(A42)</f>
        <v/>
      </c>
      <c r="G42">
        <f>F42&amp;"-"&amp;TEXT(C42,"00")</f>
        <v/>
      </c>
    </row>
    <row r="43">
      <c r="A43" s="170">
        <f>A42+7</f>
        <v/>
      </c>
      <c r="B43">
        <f>INT((A43-DATE(YEAR(A43),1,1))/7)+1</f>
        <v/>
      </c>
      <c r="C43">
        <f>MONTH(A43)</f>
        <v/>
      </c>
      <c r="D43">
        <f>TEXT(A43,"mmm")</f>
        <v/>
      </c>
      <c r="E43">
        <f>ROUNDUP(C43/3,0)</f>
        <v/>
      </c>
      <c r="F43">
        <f>YEAR(A43)</f>
        <v/>
      </c>
      <c r="G43">
        <f>F43&amp;"-"&amp;TEXT(C43,"00")</f>
        <v/>
      </c>
    </row>
    <row r="44">
      <c r="A44" s="170">
        <f>A43+7</f>
        <v/>
      </c>
      <c r="B44">
        <f>INT((A44-DATE(YEAR(A44),1,1))/7)+1</f>
        <v/>
      </c>
      <c r="C44">
        <f>MONTH(A44)</f>
        <v/>
      </c>
      <c r="D44">
        <f>TEXT(A44,"mmm")</f>
        <v/>
      </c>
      <c r="E44">
        <f>ROUNDUP(C44/3,0)</f>
        <v/>
      </c>
      <c r="F44">
        <f>YEAR(A44)</f>
        <v/>
      </c>
      <c r="G44">
        <f>F44&amp;"-"&amp;TEXT(C44,"00")</f>
        <v/>
      </c>
    </row>
    <row r="45">
      <c r="A45" s="170">
        <f>A44+7</f>
        <v/>
      </c>
      <c r="B45">
        <f>INT((A45-DATE(YEAR(A45),1,1))/7)+1</f>
        <v/>
      </c>
      <c r="C45">
        <f>MONTH(A45)</f>
        <v/>
      </c>
      <c r="D45">
        <f>TEXT(A45,"mmm")</f>
        <v/>
      </c>
      <c r="E45">
        <f>ROUNDUP(C45/3,0)</f>
        <v/>
      </c>
      <c r="F45">
        <f>YEAR(A45)</f>
        <v/>
      </c>
      <c r="G45">
        <f>F45&amp;"-"&amp;TEXT(C45,"00")</f>
        <v/>
      </c>
    </row>
    <row r="46">
      <c r="A46" s="170">
        <f>A45+7</f>
        <v/>
      </c>
      <c r="B46">
        <f>INT((A46-DATE(YEAR(A46),1,1))/7)+1</f>
        <v/>
      </c>
      <c r="C46">
        <f>MONTH(A46)</f>
        <v/>
      </c>
      <c r="D46">
        <f>TEXT(A46,"mmm")</f>
        <v/>
      </c>
      <c r="E46">
        <f>ROUNDUP(C46/3,0)</f>
        <v/>
      </c>
      <c r="F46">
        <f>YEAR(A46)</f>
        <v/>
      </c>
      <c r="G46">
        <f>F46&amp;"-"&amp;TEXT(C46,"00")</f>
        <v/>
      </c>
    </row>
    <row r="47">
      <c r="A47" s="170">
        <f>A46+7</f>
        <v/>
      </c>
      <c r="B47">
        <f>INT((A47-DATE(YEAR(A47),1,1))/7)+1</f>
        <v/>
      </c>
      <c r="C47">
        <f>MONTH(A47)</f>
        <v/>
      </c>
      <c r="D47">
        <f>TEXT(A47,"mmm")</f>
        <v/>
      </c>
      <c r="E47">
        <f>ROUNDUP(C47/3,0)</f>
        <v/>
      </c>
      <c r="F47">
        <f>YEAR(A47)</f>
        <v/>
      </c>
      <c r="G47">
        <f>F47&amp;"-"&amp;TEXT(C47,"00")</f>
        <v/>
      </c>
    </row>
    <row r="48">
      <c r="A48" s="170">
        <f>A47+7</f>
        <v/>
      </c>
      <c r="B48">
        <f>INT((A48-DATE(YEAR(A48),1,1))/7)+1</f>
        <v/>
      </c>
      <c r="C48">
        <f>MONTH(A48)</f>
        <v/>
      </c>
      <c r="D48">
        <f>TEXT(A48,"mmm")</f>
        <v/>
      </c>
      <c r="E48">
        <f>ROUNDUP(C48/3,0)</f>
        <v/>
      </c>
      <c r="F48">
        <f>YEAR(A48)</f>
        <v/>
      </c>
      <c r="G48">
        <f>F48&amp;"-"&amp;TEXT(C48,"00")</f>
        <v/>
      </c>
    </row>
    <row r="49">
      <c r="A49" s="170">
        <f>A48+7</f>
        <v/>
      </c>
      <c r="B49">
        <f>INT((A49-DATE(YEAR(A49),1,1))/7)+1</f>
        <v/>
      </c>
      <c r="C49">
        <f>MONTH(A49)</f>
        <v/>
      </c>
      <c r="D49">
        <f>TEXT(A49,"mmm")</f>
        <v/>
      </c>
      <c r="E49">
        <f>ROUNDUP(C49/3,0)</f>
        <v/>
      </c>
      <c r="F49">
        <f>YEAR(A49)</f>
        <v/>
      </c>
      <c r="G49">
        <f>F49&amp;"-"&amp;TEXT(C49,"00")</f>
        <v/>
      </c>
    </row>
    <row r="50">
      <c r="A50" s="170">
        <f>A49+7</f>
        <v/>
      </c>
      <c r="B50">
        <f>INT((A50-DATE(YEAR(A50),1,1))/7)+1</f>
        <v/>
      </c>
      <c r="C50">
        <f>MONTH(A50)</f>
        <v/>
      </c>
      <c r="D50">
        <f>TEXT(A50,"mmm")</f>
        <v/>
      </c>
      <c r="E50">
        <f>ROUNDUP(C50/3,0)</f>
        <v/>
      </c>
      <c r="F50">
        <f>YEAR(A50)</f>
        <v/>
      </c>
      <c r="G50">
        <f>F50&amp;"-"&amp;TEXT(C50,"00")</f>
        <v/>
      </c>
    </row>
    <row r="51">
      <c r="A51" s="170">
        <f>A50+7</f>
        <v/>
      </c>
      <c r="B51">
        <f>INT((A51-DATE(YEAR(A51),1,1))/7)+1</f>
        <v/>
      </c>
      <c r="C51">
        <f>MONTH(A51)</f>
        <v/>
      </c>
      <c r="D51">
        <f>TEXT(A51,"mmm")</f>
        <v/>
      </c>
      <c r="E51">
        <f>ROUNDUP(C51/3,0)</f>
        <v/>
      </c>
      <c r="F51">
        <f>YEAR(A51)</f>
        <v/>
      </c>
      <c r="G51">
        <f>F51&amp;"-"&amp;TEXT(C51,"00")</f>
        <v/>
      </c>
    </row>
    <row r="52">
      <c r="A52" s="170">
        <f>A51+7</f>
        <v/>
      </c>
      <c r="B52">
        <f>INT((A52-DATE(YEAR(A52),1,1))/7)+1</f>
        <v/>
      </c>
      <c r="C52">
        <f>MONTH(A52)</f>
        <v/>
      </c>
      <c r="D52">
        <f>TEXT(A52,"mmm")</f>
        <v/>
      </c>
      <c r="E52">
        <f>ROUNDUP(C52/3,0)</f>
        <v/>
      </c>
      <c r="F52">
        <f>YEAR(A52)</f>
        <v/>
      </c>
      <c r="G52">
        <f>F52&amp;"-"&amp;TEXT(C52,"00")</f>
        <v/>
      </c>
    </row>
    <row r="53">
      <c r="A53" s="170">
        <f>A52+7</f>
        <v/>
      </c>
      <c r="B53">
        <f>INT((A53-DATE(YEAR(A53),1,1))/7)+1</f>
        <v/>
      </c>
      <c r="C53">
        <f>MONTH(A53)</f>
        <v/>
      </c>
      <c r="D53">
        <f>TEXT(A53,"mmm")</f>
        <v/>
      </c>
      <c r="E53">
        <f>ROUNDUP(C53/3,0)</f>
        <v/>
      </c>
      <c r="F53">
        <f>YEAR(A53)</f>
        <v/>
      </c>
      <c r="G53">
        <f>F53&amp;"-"&amp;TEXT(C53,"00")</f>
        <v/>
      </c>
    </row>
    <row r="54">
      <c r="A54" s="170">
        <f>A53+7</f>
        <v/>
      </c>
      <c r="B54">
        <f>INT((A54-DATE(YEAR(A54),1,1))/7)+1</f>
        <v/>
      </c>
      <c r="C54">
        <f>MONTH(A54)</f>
        <v/>
      </c>
      <c r="D54">
        <f>TEXT(A54,"mmm")</f>
        <v/>
      </c>
      <c r="E54">
        <f>ROUNDUP(C54/3,0)</f>
        <v/>
      </c>
      <c r="F54">
        <f>YEAR(A54)</f>
        <v/>
      </c>
      <c r="G54">
        <f>F54&amp;"-"&amp;TEXT(C54,"00")</f>
        <v/>
      </c>
    </row>
    <row r="55">
      <c r="A55" s="170">
        <f>A54+7</f>
        <v/>
      </c>
      <c r="B55">
        <f>INT((A55-DATE(YEAR(A55),1,1))/7)+1</f>
        <v/>
      </c>
      <c r="C55">
        <f>MONTH(A55)</f>
        <v/>
      </c>
      <c r="D55">
        <f>TEXT(A55,"mmm")</f>
        <v/>
      </c>
      <c r="E55">
        <f>ROUNDUP(C55/3,0)</f>
        <v/>
      </c>
      <c r="F55">
        <f>YEAR(A55)</f>
        <v/>
      </c>
      <c r="G55">
        <f>F55&amp;"-"&amp;TEXT(C55,"00")</f>
        <v/>
      </c>
    </row>
    <row r="56">
      <c r="A56" s="170">
        <f>A55+7</f>
        <v/>
      </c>
      <c r="B56">
        <f>INT((A56-DATE(YEAR(A56),1,1))/7)+1</f>
        <v/>
      </c>
      <c r="C56">
        <f>MONTH(A56)</f>
        <v/>
      </c>
      <c r="D56">
        <f>TEXT(A56,"mmm")</f>
        <v/>
      </c>
      <c r="E56">
        <f>ROUNDUP(C56/3,0)</f>
        <v/>
      </c>
      <c r="F56">
        <f>YEAR(A56)</f>
        <v/>
      </c>
      <c r="G56">
        <f>F56&amp;"-"&amp;TEXT(C56,"00")</f>
        <v/>
      </c>
    </row>
    <row r="57">
      <c r="A57" s="170">
        <f>A56+7</f>
        <v/>
      </c>
      <c r="B57">
        <f>INT((A57-DATE(YEAR(A57),1,1))/7)+1</f>
        <v/>
      </c>
      <c r="C57">
        <f>MONTH(A57)</f>
        <v/>
      </c>
      <c r="D57">
        <f>TEXT(A57,"mmm")</f>
        <v/>
      </c>
      <c r="E57">
        <f>ROUNDUP(C57/3,0)</f>
        <v/>
      </c>
      <c r="F57">
        <f>YEAR(A57)</f>
        <v/>
      </c>
      <c r="G57">
        <f>F57&amp;"-"&amp;TEXT(C57,"00")</f>
        <v/>
      </c>
    </row>
    <row r="58">
      <c r="A58" s="170">
        <f>A57+7</f>
        <v/>
      </c>
      <c r="B58">
        <f>INT((A58-DATE(YEAR(A58),1,1))/7)+1</f>
        <v/>
      </c>
      <c r="C58">
        <f>MONTH(A58)</f>
        <v/>
      </c>
      <c r="D58">
        <f>TEXT(A58,"mmm")</f>
        <v/>
      </c>
      <c r="E58">
        <f>ROUNDUP(C58/3,0)</f>
        <v/>
      </c>
      <c r="F58">
        <f>YEAR(A58)</f>
        <v/>
      </c>
      <c r="G58">
        <f>F58&amp;"-"&amp;TEXT(C58,"00")</f>
        <v/>
      </c>
    </row>
    <row r="59">
      <c r="A59" s="170">
        <f>A58+7</f>
        <v/>
      </c>
      <c r="B59">
        <f>INT((A59-DATE(YEAR(A59),1,1))/7)+1</f>
        <v/>
      </c>
      <c r="C59">
        <f>MONTH(A59)</f>
        <v/>
      </c>
      <c r="D59">
        <f>TEXT(A59,"mmm")</f>
        <v/>
      </c>
      <c r="E59">
        <f>ROUNDUP(C59/3,0)</f>
        <v/>
      </c>
      <c r="F59">
        <f>YEAR(A59)</f>
        <v/>
      </c>
      <c r="G59">
        <f>F59&amp;"-"&amp;TEXT(C59,"00")</f>
        <v/>
      </c>
    </row>
    <row r="60">
      <c r="A60" s="170">
        <f>A59+7</f>
        <v/>
      </c>
      <c r="B60">
        <f>INT((A60-DATE(YEAR(A60),1,1))/7)+1</f>
        <v/>
      </c>
      <c r="C60">
        <f>MONTH(A60)</f>
        <v/>
      </c>
      <c r="D60">
        <f>TEXT(A60,"mmm")</f>
        <v/>
      </c>
      <c r="E60">
        <f>ROUNDUP(C60/3,0)</f>
        <v/>
      </c>
      <c r="F60">
        <f>YEAR(A60)</f>
        <v/>
      </c>
      <c r="G60">
        <f>F60&amp;"-"&amp;TEXT(C60,"00")</f>
        <v/>
      </c>
    </row>
    <row r="61">
      <c r="A61" s="170">
        <f>A60+7</f>
        <v/>
      </c>
      <c r="B61">
        <f>INT((A61-DATE(YEAR(A61),1,1))/7)+1</f>
        <v/>
      </c>
      <c r="C61">
        <f>MONTH(A61)</f>
        <v/>
      </c>
      <c r="D61">
        <f>TEXT(A61,"mmm")</f>
        <v/>
      </c>
      <c r="E61">
        <f>ROUNDUP(C61/3,0)</f>
        <v/>
      </c>
      <c r="F61">
        <f>YEAR(A61)</f>
        <v/>
      </c>
      <c r="G61">
        <f>F61&amp;"-"&amp;TEXT(C61,"00")</f>
        <v/>
      </c>
    </row>
    <row r="62">
      <c r="A62" s="170">
        <f>A61+7</f>
        <v/>
      </c>
      <c r="B62">
        <f>INT((A62-DATE(YEAR(A62),1,1))/7)+1</f>
        <v/>
      </c>
      <c r="C62">
        <f>MONTH(A62)</f>
        <v/>
      </c>
      <c r="D62">
        <f>TEXT(A62,"mmm")</f>
        <v/>
      </c>
      <c r="E62">
        <f>ROUNDUP(C62/3,0)</f>
        <v/>
      </c>
      <c r="F62">
        <f>YEAR(A62)</f>
        <v/>
      </c>
      <c r="G62">
        <f>F62&amp;"-"&amp;TEXT(C62,"00")</f>
        <v/>
      </c>
    </row>
    <row r="63">
      <c r="A63" s="170">
        <f>A62+7</f>
        <v/>
      </c>
      <c r="B63">
        <f>INT((A63-DATE(YEAR(A63),1,1))/7)+1</f>
        <v/>
      </c>
      <c r="C63">
        <f>MONTH(A63)</f>
        <v/>
      </c>
      <c r="D63">
        <f>TEXT(A63,"mmm")</f>
        <v/>
      </c>
      <c r="E63">
        <f>ROUNDUP(C63/3,0)</f>
        <v/>
      </c>
      <c r="F63">
        <f>YEAR(A63)</f>
        <v/>
      </c>
      <c r="G63">
        <f>F63&amp;"-"&amp;TEXT(C63,"00")</f>
        <v/>
      </c>
    </row>
    <row r="64">
      <c r="A64" s="170">
        <f>A63+7</f>
        <v/>
      </c>
      <c r="B64">
        <f>INT((A64-DATE(YEAR(A64),1,1))/7)+1</f>
        <v/>
      </c>
      <c r="C64">
        <f>MONTH(A64)</f>
        <v/>
      </c>
      <c r="D64">
        <f>TEXT(A64,"mmm")</f>
        <v/>
      </c>
      <c r="E64">
        <f>ROUNDUP(C64/3,0)</f>
        <v/>
      </c>
      <c r="F64">
        <f>YEAR(A64)</f>
        <v/>
      </c>
      <c r="G64">
        <f>F64&amp;"-"&amp;TEXT(C64,"00")</f>
        <v/>
      </c>
    </row>
    <row r="65">
      <c r="A65" s="170">
        <f>A64+7</f>
        <v/>
      </c>
      <c r="B65">
        <f>INT((A65-DATE(YEAR(A65),1,1))/7)+1</f>
        <v/>
      </c>
      <c r="C65">
        <f>MONTH(A65)</f>
        <v/>
      </c>
      <c r="D65">
        <f>TEXT(A65,"mmm")</f>
        <v/>
      </c>
      <c r="E65">
        <f>ROUNDUP(C65/3,0)</f>
        <v/>
      </c>
      <c r="F65">
        <f>YEAR(A65)</f>
        <v/>
      </c>
      <c r="G65">
        <f>F65&amp;"-"&amp;TEXT(C65,"00")</f>
        <v/>
      </c>
    </row>
    <row r="66">
      <c r="A66" s="170">
        <f>A65+7</f>
        <v/>
      </c>
      <c r="B66">
        <f>INT((A66-DATE(YEAR(A66),1,1))/7)+1</f>
        <v/>
      </c>
      <c r="C66">
        <f>MONTH(A66)</f>
        <v/>
      </c>
      <c r="D66">
        <f>TEXT(A66,"mmm")</f>
        <v/>
      </c>
      <c r="E66">
        <f>ROUNDUP(C66/3,0)</f>
        <v/>
      </c>
      <c r="F66">
        <f>YEAR(A66)</f>
        <v/>
      </c>
      <c r="G66">
        <f>F66&amp;"-"&amp;TEXT(C66,"00")</f>
        <v/>
      </c>
    </row>
    <row r="67">
      <c r="A67" s="170">
        <f>A66+7</f>
        <v/>
      </c>
      <c r="B67">
        <f>INT((A67-DATE(YEAR(A67),1,1))/7)+1</f>
        <v/>
      </c>
      <c r="C67">
        <f>MONTH(A67)</f>
        <v/>
      </c>
      <c r="D67">
        <f>TEXT(A67,"mmm")</f>
        <v/>
      </c>
      <c r="E67">
        <f>ROUNDUP(C67/3,0)</f>
        <v/>
      </c>
      <c r="F67">
        <f>YEAR(A67)</f>
        <v/>
      </c>
      <c r="G67">
        <f>F67&amp;"-"&amp;TEXT(C67,"00")</f>
        <v/>
      </c>
    </row>
    <row r="68">
      <c r="A68" s="170">
        <f>A67+7</f>
        <v/>
      </c>
      <c r="B68">
        <f>INT((A68-DATE(YEAR(A68),1,1))/7)+1</f>
        <v/>
      </c>
      <c r="C68">
        <f>MONTH(A68)</f>
        <v/>
      </c>
      <c r="D68">
        <f>TEXT(A68,"mmm")</f>
        <v/>
      </c>
      <c r="E68">
        <f>ROUNDUP(C68/3,0)</f>
        <v/>
      </c>
      <c r="F68">
        <f>YEAR(A68)</f>
        <v/>
      </c>
      <c r="G68">
        <f>F68&amp;"-"&amp;TEXT(C68,"00")</f>
        <v/>
      </c>
    </row>
    <row r="69">
      <c r="A69" s="170">
        <f>A68+7</f>
        <v/>
      </c>
      <c r="B69">
        <f>INT((A69-DATE(YEAR(A69),1,1))/7)+1</f>
        <v/>
      </c>
      <c r="C69">
        <f>MONTH(A69)</f>
        <v/>
      </c>
      <c r="D69">
        <f>TEXT(A69,"mmm")</f>
        <v/>
      </c>
      <c r="E69">
        <f>ROUNDUP(C69/3,0)</f>
        <v/>
      </c>
      <c r="F69">
        <f>YEAR(A69)</f>
        <v/>
      </c>
      <c r="G69">
        <f>F69&amp;"-"&amp;TEXT(C69,"00")</f>
        <v/>
      </c>
    </row>
    <row r="70">
      <c r="A70" s="170">
        <f>A69+7</f>
        <v/>
      </c>
      <c r="B70">
        <f>INT((A70-DATE(YEAR(A70),1,1))/7)+1</f>
        <v/>
      </c>
      <c r="C70">
        <f>MONTH(A70)</f>
        <v/>
      </c>
      <c r="D70">
        <f>TEXT(A70,"mmm")</f>
        <v/>
      </c>
      <c r="E70">
        <f>ROUNDUP(C70/3,0)</f>
        <v/>
      </c>
      <c r="F70">
        <f>YEAR(A70)</f>
        <v/>
      </c>
      <c r="G70">
        <f>F70&amp;"-"&amp;TEXT(C70,"00")</f>
        <v/>
      </c>
    </row>
    <row r="71">
      <c r="A71" s="170">
        <f>A70+7</f>
        <v/>
      </c>
      <c r="B71">
        <f>INT((A71-DATE(YEAR(A71),1,1))/7)+1</f>
        <v/>
      </c>
      <c r="C71">
        <f>MONTH(A71)</f>
        <v/>
      </c>
      <c r="D71">
        <f>TEXT(A71,"mmm")</f>
        <v/>
      </c>
      <c r="E71">
        <f>ROUNDUP(C71/3,0)</f>
        <v/>
      </c>
      <c r="F71">
        <f>YEAR(A71)</f>
        <v/>
      </c>
      <c r="G71">
        <f>F71&amp;"-"&amp;TEXT(C71,"00")</f>
        <v/>
      </c>
    </row>
    <row r="72">
      <c r="A72" s="170">
        <f>A71+7</f>
        <v/>
      </c>
      <c r="B72">
        <f>INT((A72-DATE(YEAR(A72),1,1))/7)+1</f>
        <v/>
      </c>
      <c r="C72">
        <f>MONTH(A72)</f>
        <v/>
      </c>
      <c r="D72">
        <f>TEXT(A72,"mmm")</f>
        <v/>
      </c>
      <c r="E72">
        <f>ROUNDUP(C72/3,0)</f>
        <v/>
      </c>
      <c r="F72">
        <f>YEAR(A72)</f>
        <v/>
      </c>
      <c r="G72">
        <f>F72&amp;"-"&amp;TEXT(C72,"00")</f>
        <v/>
      </c>
    </row>
    <row r="73">
      <c r="A73" s="170">
        <f>A72+7</f>
        <v/>
      </c>
      <c r="B73">
        <f>INT((A73-DATE(YEAR(A73),1,1))/7)+1</f>
        <v/>
      </c>
      <c r="C73">
        <f>MONTH(A73)</f>
        <v/>
      </c>
      <c r="D73">
        <f>TEXT(A73,"mmm")</f>
        <v/>
      </c>
      <c r="E73">
        <f>ROUNDUP(C73/3,0)</f>
        <v/>
      </c>
      <c r="F73">
        <f>YEAR(A73)</f>
        <v/>
      </c>
      <c r="G73">
        <f>F73&amp;"-"&amp;TEXT(C73,"00")</f>
        <v/>
      </c>
    </row>
    <row r="74">
      <c r="A74" s="170">
        <f>A73+7</f>
        <v/>
      </c>
      <c r="B74">
        <f>INT((A74-DATE(YEAR(A74),1,1))/7)+1</f>
        <v/>
      </c>
      <c r="C74">
        <f>MONTH(A74)</f>
        <v/>
      </c>
      <c r="D74">
        <f>TEXT(A74,"mmm")</f>
        <v/>
      </c>
      <c r="E74">
        <f>ROUNDUP(C74/3,0)</f>
        <v/>
      </c>
      <c r="F74">
        <f>YEAR(A74)</f>
        <v/>
      </c>
      <c r="G74">
        <f>F74&amp;"-"&amp;TEXT(C74,"00")</f>
        <v/>
      </c>
    </row>
    <row r="75">
      <c r="A75" s="170">
        <f>A74+7</f>
        <v/>
      </c>
      <c r="B75">
        <f>INT((A75-DATE(YEAR(A75),1,1))/7)+1</f>
        <v/>
      </c>
      <c r="C75">
        <f>MONTH(A75)</f>
        <v/>
      </c>
      <c r="D75">
        <f>TEXT(A75,"mmm")</f>
        <v/>
      </c>
      <c r="E75">
        <f>ROUNDUP(C75/3,0)</f>
        <v/>
      </c>
      <c r="F75">
        <f>YEAR(A75)</f>
        <v/>
      </c>
      <c r="G75">
        <f>F75&amp;"-"&amp;TEXT(C75,"00")</f>
        <v/>
      </c>
    </row>
    <row r="76">
      <c r="A76" s="170">
        <f>A75+7</f>
        <v/>
      </c>
      <c r="B76">
        <f>INT((A76-DATE(YEAR(A76),1,1))/7)+1</f>
        <v/>
      </c>
      <c r="C76">
        <f>MONTH(A76)</f>
        <v/>
      </c>
      <c r="D76">
        <f>TEXT(A76,"mmm")</f>
        <v/>
      </c>
      <c r="E76">
        <f>ROUNDUP(C76/3,0)</f>
        <v/>
      </c>
      <c r="F76">
        <f>YEAR(A76)</f>
        <v/>
      </c>
      <c r="G76">
        <f>F76&amp;"-"&amp;TEXT(C76,"00")</f>
        <v/>
      </c>
    </row>
    <row r="77">
      <c r="A77" s="170">
        <f>A76+7</f>
        <v/>
      </c>
      <c r="B77">
        <f>INT((A77-DATE(YEAR(A77),1,1))/7)+1</f>
        <v/>
      </c>
      <c r="C77">
        <f>MONTH(A77)</f>
        <v/>
      </c>
      <c r="D77">
        <f>TEXT(A77,"mmm")</f>
        <v/>
      </c>
      <c r="E77">
        <f>ROUNDUP(C77/3,0)</f>
        <v/>
      </c>
      <c r="F77">
        <f>YEAR(A77)</f>
        <v/>
      </c>
      <c r="G77">
        <f>F77&amp;"-"&amp;TEXT(C77,"00")</f>
        <v/>
      </c>
    </row>
    <row r="78">
      <c r="A78" s="170">
        <f>A77+7</f>
        <v/>
      </c>
      <c r="B78">
        <f>INT((A78-DATE(YEAR(A78),1,1))/7)+1</f>
        <v/>
      </c>
      <c r="C78">
        <f>MONTH(A78)</f>
        <v/>
      </c>
      <c r="D78">
        <f>TEXT(A78,"mmm")</f>
        <v/>
      </c>
      <c r="E78">
        <f>ROUNDUP(C78/3,0)</f>
        <v/>
      </c>
      <c r="F78">
        <f>YEAR(A78)</f>
        <v/>
      </c>
      <c r="G78">
        <f>F78&amp;"-"&amp;TEXT(C78,"00")</f>
        <v/>
      </c>
    </row>
    <row r="79">
      <c r="A79" s="170">
        <f>A78+7</f>
        <v/>
      </c>
      <c r="B79">
        <f>INT((A79-DATE(YEAR(A79),1,1))/7)+1</f>
        <v/>
      </c>
      <c r="C79">
        <f>MONTH(A79)</f>
        <v/>
      </c>
      <c r="D79">
        <f>TEXT(A79,"mmm")</f>
        <v/>
      </c>
      <c r="E79">
        <f>ROUNDUP(C79/3,0)</f>
        <v/>
      </c>
      <c r="F79">
        <f>YEAR(A79)</f>
        <v/>
      </c>
      <c r="G79">
        <f>F79&amp;"-"&amp;TEXT(C79,"00")</f>
        <v/>
      </c>
    </row>
    <row r="80">
      <c r="A80" s="170">
        <f>A79+7</f>
        <v/>
      </c>
      <c r="B80">
        <f>INT((A80-DATE(YEAR(A80),1,1))/7)+1</f>
        <v/>
      </c>
      <c r="C80">
        <f>MONTH(A80)</f>
        <v/>
      </c>
      <c r="D80">
        <f>TEXT(A80,"mmm")</f>
        <v/>
      </c>
      <c r="E80">
        <f>ROUNDUP(C80/3,0)</f>
        <v/>
      </c>
      <c r="F80">
        <f>YEAR(A80)</f>
        <v/>
      </c>
      <c r="G80">
        <f>F80&amp;"-"&amp;TEXT(C80,"00")</f>
        <v/>
      </c>
    </row>
    <row r="81">
      <c r="A81" s="170">
        <f>A80+7</f>
        <v/>
      </c>
      <c r="B81">
        <f>INT((A81-DATE(YEAR(A81),1,1))/7)+1</f>
        <v/>
      </c>
      <c r="C81">
        <f>MONTH(A81)</f>
        <v/>
      </c>
      <c r="D81">
        <f>TEXT(A81,"mmm")</f>
        <v/>
      </c>
      <c r="E81">
        <f>ROUNDUP(C81/3,0)</f>
        <v/>
      </c>
      <c r="F81">
        <f>YEAR(A81)</f>
        <v/>
      </c>
      <c r="G81">
        <f>F81&amp;"-"&amp;TEXT(C81,"00")</f>
        <v/>
      </c>
    </row>
    <row r="82">
      <c r="A82" s="170">
        <f>A81+7</f>
        <v/>
      </c>
      <c r="B82">
        <f>INT((A82-DATE(YEAR(A82),1,1))/7)+1</f>
        <v/>
      </c>
      <c r="C82">
        <f>MONTH(A82)</f>
        <v/>
      </c>
      <c r="D82">
        <f>TEXT(A82,"mmm")</f>
        <v/>
      </c>
      <c r="E82">
        <f>ROUNDUP(C82/3,0)</f>
        <v/>
      </c>
      <c r="F82">
        <f>YEAR(A82)</f>
        <v/>
      </c>
      <c r="G82">
        <f>F82&amp;"-"&amp;TEXT(C82,"00")</f>
        <v/>
      </c>
    </row>
    <row r="83">
      <c r="A83" s="170">
        <f>A82+7</f>
        <v/>
      </c>
      <c r="B83">
        <f>INT((A83-DATE(YEAR(A83),1,1))/7)+1</f>
        <v/>
      </c>
      <c r="C83">
        <f>MONTH(A83)</f>
        <v/>
      </c>
      <c r="D83">
        <f>TEXT(A83,"mmm")</f>
        <v/>
      </c>
      <c r="E83">
        <f>ROUNDUP(C83/3,0)</f>
        <v/>
      </c>
      <c r="F83">
        <f>YEAR(A83)</f>
        <v/>
      </c>
      <c r="G83">
        <f>F83&amp;"-"&amp;TEXT(C83,"00")</f>
        <v/>
      </c>
    </row>
    <row r="84">
      <c r="A84" s="170">
        <f>A83+7</f>
        <v/>
      </c>
      <c r="B84">
        <f>INT((A84-DATE(YEAR(A84),1,1))/7)+1</f>
        <v/>
      </c>
      <c r="C84">
        <f>MONTH(A84)</f>
        <v/>
      </c>
      <c r="D84">
        <f>TEXT(A84,"mmm")</f>
        <v/>
      </c>
      <c r="E84">
        <f>ROUNDUP(C84/3,0)</f>
        <v/>
      </c>
      <c r="F84">
        <f>YEAR(A84)</f>
        <v/>
      </c>
      <c r="G84">
        <f>F84&amp;"-"&amp;TEXT(C84,"00")</f>
        <v/>
      </c>
    </row>
    <row r="85">
      <c r="A85" s="170">
        <f>A84+7</f>
        <v/>
      </c>
      <c r="B85">
        <f>INT((A85-DATE(YEAR(A85),1,1))/7)+1</f>
        <v/>
      </c>
      <c r="C85">
        <f>MONTH(A85)</f>
        <v/>
      </c>
      <c r="D85">
        <f>TEXT(A85,"mmm")</f>
        <v/>
      </c>
      <c r="E85">
        <f>ROUNDUP(C85/3,0)</f>
        <v/>
      </c>
      <c r="F85">
        <f>YEAR(A85)</f>
        <v/>
      </c>
      <c r="G85">
        <f>F85&amp;"-"&amp;TEXT(C85,"00")</f>
        <v/>
      </c>
    </row>
    <row r="86">
      <c r="A86" s="170">
        <f>A85+7</f>
        <v/>
      </c>
      <c r="B86">
        <f>INT((A86-DATE(YEAR(A86),1,1))/7)+1</f>
        <v/>
      </c>
      <c r="C86">
        <f>MONTH(A86)</f>
        <v/>
      </c>
      <c r="D86">
        <f>TEXT(A86,"mmm")</f>
        <v/>
      </c>
      <c r="E86">
        <f>ROUNDUP(C86/3,0)</f>
        <v/>
      </c>
      <c r="F86">
        <f>YEAR(A86)</f>
        <v/>
      </c>
      <c r="G86">
        <f>F86&amp;"-"&amp;TEXT(C86,"00")</f>
        <v/>
      </c>
    </row>
    <row r="87">
      <c r="A87" s="170">
        <f>A86+7</f>
        <v/>
      </c>
      <c r="B87">
        <f>INT((A87-DATE(YEAR(A87),1,1))/7)+1</f>
        <v/>
      </c>
      <c r="C87">
        <f>MONTH(A87)</f>
        <v/>
      </c>
      <c r="D87">
        <f>TEXT(A87,"mmm")</f>
        <v/>
      </c>
      <c r="E87">
        <f>ROUNDUP(C87/3,0)</f>
        <v/>
      </c>
      <c r="F87">
        <f>YEAR(A87)</f>
        <v/>
      </c>
      <c r="G87">
        <f>F87&amp;"-"&amp;TEXT(C87,"00")</f>
        <v/>
      </c>
    </row>
    <row r="88">
      <c r="A88" s="170">
        <f>A87+7</f>
        <v/>
      </c>
      <c r="B88">
        <f>INT((A88-DATE(YEAR(A88),1,1))/7)+1</f>
        <v/>
      </c>
      <c r="C88">
        <f>MONTH(A88)</f>
        <v/>
      </c>
      <c r="D88">
        <f>TEXT(A88,"mmm")</f>
        <v/>
      </c>
      <c r="E88">
        <f>ROUNDUP(C88/3,0)</f>
        <v/>
      </c>
      <c r="F88">
        <f>YEAR(A88)</f>
        <v/>
      </c>
      <c r="G88">
        <f>F88&amp;"-"&amp;TEXT(C88,"00")</f>
        <v/>
      </c>
    </row>
    <row r="89">
      <c r="A89" s="170">
        <f>A88+7</f>
        <v/>
      </c>
      <c r="B89">
        <f>INT((A89-DATE(YEAR(A89),1,1))/7)+1</f>
        <v/>
      </c>
      <c r="C89">
        <f>MONTH(A89)</f>
        <v/>
      </c>
      <c r="D89">
        <f>TEXT(A89,"mmm")</f>
        <v/>
      </c>
      <c r="E89">
        <f>ROUNDUP(C89/3,0)</f>
        <v/>
      </c>
      <c r="F89">
        <f>YEAR(A89)</f>
        <v/>
      </c>
      <c r="G89">
        <f>F89&amp;"-"&amp;TEXT(C89,"00")</f>
        <v/>
      </c>
    </row>
    <row r="90">
      <c r="A90" s="170">
        <f>A89+7</f>
        <v/>
      </c>
      <c r="B90">
        <f>INT((A90-DATE(YEAR(A90),1,1))/7)+1</f>
        <v/>
      </c>
      <c r="C90">
        <f>MONTH(A90)</f>
        <v/>
      </c>
      <c r="D90">
        <f>TEXT(A90,"mmm")</f>
        <v/>
      </c>
      <c r="E90">
        <f>ROUNDUP(C90/3,0)</f>
        <v/>
      </c>
      <c r="F90">
        <f>YEAR(A90)</f>
        <v/>
      </c>
      <c r="G90">
        <f>F90&amp;"-"&amp;TEXT(C90,"00")</f>
        <v/>
      </c>
    </row>
    <row r="91">
      <c r="A91" s="170">
        <f>A90+7</f>
        <v/>
      </c>
      <c r="B91">
        <f>INT((A91-DATE(YEAR(A91),1,1))/7)+1</f>
        <v/>
      </c>
      <c r="C91">
        <f>MONTH(A91)</f>
        <v/>
      </c>
      <c r="D91">
        <f>TEXT(A91,"mmm")</f>
        <v/>
      </c>
      <c r="E91">
        <f>ROUNDUP(C91/3,0)</f>
        <v/>
      </c>
      <c r="F91">
        <f>YEAR(A91)</f>
        <v/>
      </c>
      <c r="G91">
        <f>F91&amp;"-"&amp;TEXT(C91,"00")</f>
        <v/>
      </c>
    </row>
    <row r="92">
      <c r="A92" s="170">
        <f>A91+7</f>
        <v/>
      </c>
      <c r="B92">
        <f>INT((A92-DATE(YEAR(A92),1,1))/7)+1</f>
        <v/>
      </c>
      <c r="C92">
        <f>MONTH(A92)</f>
        <v/>
      </c>
      <c r="D92">
        <f>TEXT(A92,"mmm")</f>
        <v/>
      </c>
      <c r="E92">
        <f>ROUNDUP(C92/3,0)</f>
        <v/>
      </c>
      <c r="F92">
        <f>YEAR(A92)</f>
        <v/>
      </c>
      <c r="G92">
        <f>F92&amp;"-"&amp;TEXT(C92,"00")</f>
        <v/>
      </c>
    </row>
    <row r="93">
      <c r="A93" s="170">
        <f>A92+7</f>
        <v/>
      </c>
      <c r="B93">
        <f>INT((A93-DATE(YEAR(A93),1,1))/7)+1</f>
        <v/>
      </c>
      <c r="C93">
        <f>MONTH(A93)</f>
        <v/>
      </c>
      <c r="D93">
        <f>TEXT(A93,"mmm")</f>
        <v/>
      </c>
      <c r="E93">
        <f>ROUNDUP(C93/3,0)</f>
        <v/>
      </c>
      <c r="F93">
        <f>YEAR(A93)</f>
        <v/>
      </c>
      <c r="G93">
        <f>F93&amp;"-"&amp;TEXT(C93,"00")</f>
        <v/>
      </c>
    </row>
    <row r="94">
      <c r="A94" s="170">
        <f>A93+7</f>
        <v/>
      </c>
      <c r="B94">
        <f>INT((A94-DATE(YEAR(A94),1,1))/7)+1</f>
        <v/>
      </c>
      <c r="C94">
        <f>MONTH(A94)</f>
        <v/>
      </c>
      <c r="D94">
        <f>TEXT(A94,"mmm")</f>
        <v/>
      </c>
      <c r="E94">
        <f>ROUNDUP(C94/3,0)</f>
        <v/>
      </c>
      <c r="F94">
        <f>YEAR(A94)</f>
        <v/>
      </c>
      <c r="G94">
        <f>F94&amp;"-"&amp;TEXT(C94,"00")</f>
        <v/>
      </c>
    </row>
    <row r="95">
      <c r="A95" s="170">
        <f>A94+7</f>
        <v/>
      </c>
      <c r="B95">
        <f>INT((A95-DATE(YEAR(A95),1,1))/7)+1</f>
        <v/>
      </c>
      <c r="C95">
        <f>MONTH(A95)</f>
        <v/>
      </c>
      <c r="D95">
        <f>TEXT(A95,"mmm")</f>
        <v/>
      </c>
      <c r="E95">
        <f>ROUNDUP(C95/3,0)</f>
        <v/>
      </c>
      <c r="F95">
        <f>YEAR(A95)</f>
        <v/>
      </c>
      <c r="G95">
        <f>F95&amp;"-"&amp;TEXT(C95,"00")</f>
        <v/>
      </c>
    </row>
    <row r="96">
      <c r="A96" s="170">
        <f>A95+7</f>
        <v/>
      </c>
      <c r="B96">
        <f>INT((A96-DATE(YEAR(A96),1,1))/7)+1</f>
        <v/>
      </c>
      <c r="C96">
        <f>MONTH(A96)</f>
        <v/>
      </c>
      <c r="D96">
        <f>TEXT(A96,"mmm")</f>
        <v/>
      </c>
      <c r="E96">
        <f>ROUNDUP(C96/3,0)</f>
        <v/>
      </c>
      <c r="F96">
        <f>YEAR(A96)</f>
        <v/>
      </c>
      <c r="G96">
        <f>F96&amp;"-"&amp;TEXT(C96,"00")</f>
        <v/>
      </c>
    </row>
    <row r="97">
      <c r="A97" s="170">
        <f>A96+7</f>
        <v/>
      </c>
      <c r="B97">
        <f>INT((A97-DATE(YEAR(A97),1,1))/7)+1</f>
        <v/>
      </c>
      <c r="C97">
        <f>MONTH(A97)</f>
        <v/>
      </c>
      <c r="D97">
        <f>TEXT(A97,"mmm")</f>
        <v/>
      </c>
      <c r="E97">
        <f>ROUNDUP(C97/3,0)</f>
        <v/>
      </c>
      <c r="F97">
        <f>YEAR(A97)</f>
        <v/>
      </c>
      <c r="G97">
        <f>F97&amp;"-"&amp;TEXT(C97,"00")</f>
        <v/>
      </c>
    </row>
    <row r="98">
      <c r="A98" s="170">
        <f>A97+7</f>
        <v/>
      </c>
      <c r="B98">
        <f>INT((A98-DATE(YEAR(A98),1,1))/7)+1</f>
        <v/>
      </c>
      <c r="C98">
        <f>MONTH(A98)</f>
        <v/>
      </c>
      <c r="D98">
        <f>TEXT(A98,"mmm")</f>
        <v/>
      </c>
      <c r="E98">
        <f>ROUNDUP(C98/3,0)</f>
        <v/>
      </c>
      <c r="F98">
        <f>YEAR(A98)</f>
        <v/>
      </c>
      <c r="G98">
        <f>F98&amp;"-"&amp;TEXT(C98,"00")</f>
        <v/>
      </c>
    </row>
    <row r="99">
      <c r="A99" s="170">
        <f>A98+7</f>
        <v/>
      </c>
      <c r="B99">
        <f>INT((A99-DATE(YEAR(A99),1,1))/7)+1</f>
        <v/>
      </c>
      <c r="C99">
        <f>MONTH(A99)</f>
        <v/>
      </c>
      <c r="D99">
        <f>TEXT(A99,"mmm")</f>
        <v/>
      </c>
      <c r="E99">
        <f>ROUNDUP(C99/3,0)</f>
        <v/>
      </c>
      <c r="F99">
        <f>YEAR(A99)</f>
        <v/>
      </c>
      <c r="G99">
        <f>F99&amp;"-"&amp;TEXT(C99,"00")</f>
        <v/>
      </c>
    </row>
    <row r="100">
      <c r="A100" s="170">
        <f>A99+7</f>
        <v/>
      </c>
      <c r="B100">
        <f>INT((A100-DATE(YEAR(A100),1,1))/7)+1</f>
        <v/>
      </c>
      <c r="C100">
        <f>MONTH(A100)</f>
        <v/>
      </c>
      <c r="D100">
        <f>TEXT(A100,"mmm")</f>
        <v/>
      </c>
      <c r="E100">
        <f>ROUNDUP(C100/3,0)</f>
        <v/>
      </c>
      <c r="F100">
        <f>YEAR(A100)</f>
        <v/>
      </c>
      <c r="G100">
        <f>F100&amp;"-"&amp;TEXT(C100,"00")</f>
        <v/>
      </c>
    </row>
    <row r="101">
      <c r="A101" s="170">
        <f>A100+7</f>
        <v/>
      </c>
      <c r="B101">
        <f>INT((A101-DATE(YEAR(A101),1,1))/7)+1</f>
        <v/>
      </c>
      <c r="C101">
        <f>MONTH(A101)</f>
        <v/>
      </c>
      <c r="D101">
        <f>TEXT(A101,"mmm")</f>
        <v/>
      </c>
      <c r="E101">
        <f>ROUNDUP(C101/3,0)</f>
        <v/>
      </c>
      <c r="F101">
        <f>YEAR(A101)</f>
        <v/>
      </c>
      <c r="G101">
        <f>F101&amp;"-"&amp;TEXT(C101,"00")</f>
        <v/>
      </c>
    </row>
    <row r="102">
      <c r="A102" s="170">
        <f>A101+7</f>
        <v/>
      </c>
      <c r="B102">
        <f>INT((A102-DATE(YEAR(A102),1,1))/7)+1</f>
        <v/>
      </c>
      <c r="C102">
        <f>MONTH(A102)</f>
        <v/>
      </c>
      <c r="D102">
        <f>TEXT(A102,"mmm")</f>
        <v/>
      </c>
      <c r="E102">
        <f>ROUNDUP(C102/3,0)</f>
        <v/>
      </c>
      <c r="F102">
        <f>YEAR(A102)</f>
        <v/>
      </c>
      <c r="G102">
        <f>F102&amp;"-"&amp;TEXT(C102,"00")</f>
        <v/>
      </c>
    </row>
    <row r="103">
      <c r="A103" s="170">
        <f>A102+7</f>
        <v/>
      </c>
      <c r="B103">
        <f>INT((A103-DATE(YEAR(A103),1,1))/7)+1</f>
        <v/>
      </c>
      <c r="C103">
        <f>MONTH(A103)</f>
        <v/>
      </c>
      <c r="D103">
        <f>TEXT(A103,"mmm")</f>
        <v/>
      </c>
      <c r="E103">
        <f>ROUNDUP(C103/3,0)</f>
        <v/>
      </c>
      <c r="F103">
        <f>YEAR(A103)</f>
        <v/>
      </c>
      <c r="G103">
        <f>F103&amp;"-"&amp;TEXT(C103,"00")</f>
        <v/>
      </c>
    </row>
    <row r="104">
      <c r="A104" s="170">
        <f>A103+7</f>
        <v/>
      </c>
      <c r="B104">
        <f>INT((A104-DATE(YEAR(A104),1,1))/7)+1</f>
        <v/>
      </c>
      <c r="C104">
        <f>MONTH(A104)</f>
        <v/>
      </c>
      <c r="D104">
        <f>TEXT(A104,"mmm")</f>
        <v/>
      </c>
      <c r="E104">
        <f>ROUNDUP(C104/3,0)</f>
        <v/>
      </c>
      <c r="F104">
        <f>YEAR(A104)</f>
        <v/>
      </c>
      <c r="G104">
        <f>F104&amp;"-"&amp;TEXT(C104,"00")</f>
        <v/>
      </c>
    </row>
    <row r="105">
      <c r="A105" s="170">
        <f>A104+7</f>
        <v/>
      </c>
      <c r="B105">
        <f>INT((A105-DATE(YEAR(A105),1,1))/7)+1</f>
        <v/>
      </c>
      <c r="C105">
        <f>MONTH(A105)</f>
        <v/>
      </c>
      <c r="D105">
        <f>TEXT(A105,"mmm")</f>
        <v/>
      </c>
      <c r="E105">
        <f>ROUNDUP(C105/3,0)</f>
        <v/>
      </c>
      <c r="F105">
        <f>YEAR(A105)</f>
        <v/>
      </c>
      <c r="G105">
        <f>F105&amp;"-"&amp;TEXT(C105,"00")</f>
        <v/>
      </c>
    </row>
    <row r="106">
      <c r="A106" s="170">
        <f>A105+7</f>
        <v/>
      </c>
      <c r="B106">
        <f>INT((A106-DATE(YEAR(A106),1,1))/7)+1</f>
        <v/>
      </c>
      <c r="C106">
        <f>MONTH(A106)</f>
        <v/>
      </c>
      <c r="D106">
        <f>TEXT(A106,"mmm")</f>
        <v/>
      </c>
      <c r="E106">
        <f>ROUNDUP(C106/3,0)</f>
        <v/>
      </c>
      <c r="F106">
        <f>YEAR(A106)</f>
        <v/>
      </c>
      <c r="G106">
        <f>F106&amp;"-"&amp;TEXT(C106,"00")</f>
        <v/>
      </c>
    </row>
    <row r="107">
      <c r="A107" s="170">
        <f>A106+7</f>
        <v/>
      </c>
      <c r="B107">
        <f>INT((A107-DATE(YEAR(A107),1,1))/7)+1</f>
        <v/>
      </c>
      <c r="C107">
        <f>MONTH(A107)</f>
        <v/>
      </c>
      <c r="D107">
        <f>TEXT(A107,"mmm")</f>
        <v/>
      </c>
      <c r="E107">
        <f>ROUNDUP(C107/3,0)</f>
        <v/>
      </c>
      <c r="F107">
        <f>YEAR(A107)</f>
        <v/>
      </c>
      <c r="G107">
        <f>F107&amp;"-"&amp;TEXT(C107,"00")</f>
        <v/>
      </c>
    </row>
    <row r="108">
      <c r="A108" s="170">
        <f>A107+7</f>
        <v/>
      </c>
      <c r="B108">
        <f>INT((A108-DATE(YEAR(A108),1,1))/7)+1</f>
        <v/>
      </c>
      <c r="C108">
        <f>MONTH(A108)</f>
        <v/>
      </c>
      <c r="D108">
        <f>TEXT(A108,"mmm")</f>
        <v/>
      </c>
      <c r="E108">
        <f>ROUNDUP(C108/3,0)</f>
        <v/>
      </c>
      <c r="F108">
        <f>YEAR(A108)</f>
        <v/>
      </c>
      <c r="G108">
        <f>F108&amp;"-"&amp;TEXT(C108,"00")</f>
        <v/>
      </c>
    </row>
    <row r="109">
      <c r="A109" s="170">
        <f>A108+7</f>
        <v/>
      </c>
      <c r="B109">
        <f>INT((A109-DATE(YEAR(A109),1,1))/7)+1</f>
        <v/>
      </c>
      <c r="C109">
        <f>MONTH(A109)</f>
        <v/>
      </c>
      <c r="D109">
        <f>TEXT(A109,"mmm")</f>
        <v/>
      </c>
      <c r="E109">
        <f>ROUNDUP(C109/3,0)</f>
        <v/>
      </c>
      <c r="F109">
        <f>YEAR(A109)</f>
        <v/>
      </c>
      <c r="G109">
        <f>F109&amp;"-"&amp;TEXT(C109,"00")</f>
        <v/>
      </c>
    </row>
    <row r="110">
      <c r="A110" s="170">
        <f>A109+7</f>
        <v/>
      </c>
      <c r="B110">
        <f>INT((A110-DATE(YEAR(A110),1,1))/7)+1</f>
        <v/>
      </c>
      <c r="C110">
        <f>MONTH(A110)</f>
        <v/>
      </c>
      <c r="D110">
        <f>TEXT(A110,"mmm")</f>
        <v/>
      </c>
      <c r="E110">
        <f>ROUNDUP(C110/3,0)</f>
        <v/>
      </c>
      <c r="F110">
        <f>YEAR(A110)</f>
        <v/>
      </c>
      <c r="G110">
        <f>F110&amp;"-"&amp;TEXT(C110,"00")</f>
        <v/>
      </c>
    </row>
    <row r="111">
      <c r="A111" s="170">
        <f>A110+7</f>
        <v/>
      </c>
      <c r="B111">
        <f>INT((A111-DATE(YEAR(A111),1,1))/7)+1</f>
        <v/>
      </c>
      <c r="C111">
        <f>MONTH(A111)</f>
        <v/>
      </c>
      <c r="D111">
        <f>TEXT(A111,"mmm")</f>
        <v/>
      </c>
      <c r="E111">
        <f>ROUNDUP(C111/3,0)</f>
        <v/>
      </c>
      <c r="F111">
        <f>YEAR(A111)</f>
        <v/>
      </c>
      <c r="G111">
        <f>F111&amp;"-"&amp;TEXT(C111,"00")</f>
        <v/>
      </c>
    </row>
    <row r="112">
      <c r="A112" s="170">
        <f>A111+7</f>
        <v/>
      </c>
      <c r="B112">
        <f>INT((A112-DATE(YEAR(A112),1,1))/7)+1</f>
        <v/>
      </c>
      <c r="C112">
        <f>MONTH(A112)</f>
        <v/>
      </c>
      <c r="D112">
        <f>TEXT(A112,"mmm")</f>
        <v/>
      </c>
      <c r="E112">
        <f>ROUNDUP(C112/3,0)</f>
        <v/>
      </c>
      <c r="F112">
        <f>YEAR(A112)</f>
        <v/>
      </c>
      <c r="G112">
        <f>F112&amp;"-"&amp;TEXT(C112,"00")</f>
        <v/>
      </c>
    </row>
    <row r="113">
      <c r="A113" s="170">
        <f>A112+7</f>
        <v/>
      </c>
      <c r="B113">
        <f>INT((A113-DATE(YEAR(A113),1,1))/7)+1</f>
        <v/>
      </c>
      <c r="C113">
        <f>MONTH(A113)</f>
        <v/>
      </c>
      <c r="D113">
        <f>TEXT(A113,"mmm")</f>
        <v/>
      </c>
      <c r="E113">
        <f>ROUNDUP(C113/3,0)</f>
        <v/>
      </c>
      <c r="F113">
        <f>YEAR(A113)</f>
        <v/>
      </c>
      <c r="G113">
        <f>F113&amp;"-"&amp;TEXT(C113,"00")</f>
        <v/>
      </c>
    </row>
    <row r="114">
      <c r="A114" s="170">
        <f>A113+7</f>
        <v/>
      </c>
      <c r="B114">
        <f>INT((A114-DATE(YEAR(A114),1,1))/7)+1</f>
        <v/>
      </c>
      <c r="C114">
        <f>MONTH(A114)</f>
        <v/>
      </c>
      <c r="D114">
        <f>TEXT(A114,"mmm")</f>
        <v/>
      </c>
      <c r="E114">
        <f>ROUNDUP(C114/3,0)</f>
        <v/>
      </c>
      <c r="F114">
        <f>YEAR(A114)</f>
        <v/>
      </c>
      <c r="G114">
        <f>F114&amp;"-"&amp;TEXT(C114,"00")</f>
        <v/>
      </c>
    </row>
    <row r="115">
      <c r="A115" s="170">
        <f>A114+7</f>
        <v/>
      </c>
      <c r="B115">
        <f>INT((A115-DATE(YEAR(A115),1,1))/7)+1</f>
        <v/>
      </c>
      <c r="C115">
        <f>MONTH(A115)</f>
        <v/>
      </c>
      <c r="D115">
        <f>TEXT(A115,"mmm")</f>
        <v/>
      </c>
      <c r="E115">
        <f>ROUNDUP(C115/3,0)</f>
        <v/>
      </c>
      <c r="F115">
        <f>YEAR(A115)</f>
        <v/>
      </c>
      <c r="G115">
        <f>F115&amp;"-"&amp;TEXT(C115,"00")</f>
        <v/>
      </c>
    </row>
    <row r="116">
      <c r="A116" s="170">
        <f>A115+7</f>
        <v/>
      </c>
      <c r="B116">
        <f>INT((A116-DATE(YEAR(A116),1,1))/7)+1</f>
        <v/>
      </c>
      <c r="C116">
        <f>MONTH(A116)</f>
        <v/>
      </c>
      <c r="D116">
        <f>TEXT(A116,"mmm")</f>
        <v/>
      </c>
      <c r="E116">
        <f>ROUNDUP(C116/3,0)</f>
        <v/>
      </c>
      <c r="F116">
        <f>YEAR(A116)</f>
        <v/>
      </c>
      <c r="G116">
        <f>F116&amp;"-"&amp;TEXT(C116,"00")</f>
        <v/>
      </c>
    </row>
    <row r="117">
      <c r="A117" s="170">
        <f>A116+7</f>
        <v/>
      </c>
      <c r="B117">
        <f>INT((A117-DATE(YEAR(A117),1,1))/7)+1</f>
        <v/>
      </c>
      <c r="C117">
        <f>MONTH(A117)</f>
        <v/>
      </c>
      <c r="D117">
        <f>TEXT(A117,"mmm")</f>
        <v/>
      </c>
      <c r="E117">
        <f>ROUNDUP(C117/3,0)</f>
        <v/>
      </c>
      <c r="F117">
        <f>YEAR(A117)</f>
        <v/>
      </c>
      <c r="G117">
        <f>F117&amp;"-"&amp;TEXT(C117,"00")</f>
        <v/>
      </c>
    </row>
    <row r="118">
      <c r="A118" s="170">
        <f>A117+7</f>
        <v/>
      </c>
      <c r="B118">
        <f>INT((A118-DATE(YEAR(A118),1,1))/7)+1</f>
        <v/>
      </c>
      <c r="C118">
        <f>MONTH(A118)</f>
        <v/>
      </c>
      <c r="D118">
        <f>TEXT(A118,"mmm")</f>
        <v/>
      </c>
      <c r="E118">
        <f>ROUNDUP(C118/3,0)</f>
        <v/>
      </c>
      <c r="F118">
        <f>YEAR(A118)</f>
        <v/>
      </c>
      <c r="G118">
        <f>F118&amp;"-"&amp;TEXT(C118,"00")</f>
        <v/>
      </c>
    </row>
    <row r="119">
      <c r="A119" s="170">
        <f>A118+7</f>
        <v/>
      </c>
      <c r="B119">
        <f>INT((A119-DATE(YEAR(A119),1,1))/7)+1</f>
        <v/>
      </c>
      <c r="C119">
        <f>MONTH(A119)</f>
        <v/>
      </c>
      <c r="D119">
        <f>TEXT(A119,"mmm")</f>
        <v/>
      </c>
      <c r="E119">
        <f>ROUNDUP(C119/3,0)</f>
        <v/>
      </c>
      <c r="F119">
        <f>YEAR(A119)</f>
        <v/>
      </c>
      <c r="G119">
        <f>F119&amp;"-"&amp;TEXT(C119,"00")</f>
        <v/>
      </c>
    </row>
    <row r="120">
      <c r="A120" s="170">
        <f>A119+7</f>
        <v/>
      </c>
      <c r="B120">
        <f>INT((A120-DATE(YEAR(A120),1,1))/7)+1</f>
        <v/>
      </c>
      <c r="C120">
        <f>MONTH(A120)</f>
        <v/>
      </c>
      <c r="D120">
        <f>TEXT(A120,"mmm")</f>
        <v/>
      </c>
      <c r="E120">
        <f>ROUNDUP(C120/3,0)</f>
        <v/>
      </c>
      <c r="F120">
        <f>YEAR(A120)</f>
        <v/>
      </c>
      <c r="G120">
        <f>F120&amp;"-"&amp;TEXT(C120,"00")</f>
        <v/>
      </c>
    </row>
    <row r="121">
      <c r="A121" s="170">
        <f>A120+7</f>
        <v/>
      </c>
      <c r="B121">
        <f>INT((A121-DATE(YEAR(A121),1,1))/7)+1</f>
        <v/>
      </c>
      <c r="C121">
        <f>MONTH(A121)</f>
        <v/>
      </c>
      <c r="D121">
        <f>TEXT(A121,"mmm")</f>
        <v/>
      </c>
      <c r="E121">
        <f>ROUNDUP(C121/3,0)</f>
        <v/>
      </c>
      <c r="F121">
        <f>YEAR(A121)</f>
        <v/>
      </c>
      <c r="G121">
        <f>F121&amp;"-"&amp;TEXT(C121,"00")</f>
        <v/>
      </c>
    </row>
    <row r="122">
      <c r="A122" s="170">
        <f>A121+7</f>
        <v/>
      </c>
      <c r="B122">
        <f>INT((A122-DATE(YEAR(A122),1,1))/7)+1</f>
        <v/>
      </c>
      <c r="C122">
        <f>MONTH(A122)</f>
        <v/>
      </c>
      <c r="D122">
        <f>TEXT(A122,"mmm")</f>
        <v/>
      </c>
      <c r="E122">
        <f>ROUNDUP(C122/3,0)</f>
        <v/>
      </c>
      <c r="F122">
        <f>YEAR(A122)</f>
        <v/>
      </c>
      <c r="G122">
        <f>F122&amp;"-"&amp;TEXT(C122,"00")</f>
        <v/>
      </c>
    </row>
    <row r="123">
      <c r="A123" s="170">
        <f>A122+7</f>
        <v/>
      </c>
      <c r="B123">
        <f>INT((A123-DATE(YEAR(A123),1,1))/7)+1</f>
        <v/>
      </c>
      <c r="C123">
        <f>MONTH(A123)</f>
        <v/>
      </c>
      <c r="D123">
        <f>TEXT(A123,"mmm")</f>
        <v/>
      </c>
      <c r="E123">
        <f>ROUNDUP(C123/3,0)</f>
        <v/>
      </c>
      <c r="F123">
        <f>YEAR(A123)</f>
        <v/>
      </c>
      <c r="G123">
        <f>F123&amp;"-"&amp;TEXT(C123,"00")</f>
        <v/>
      </c>
    </row>
    <row r="124">
      <c r="A124" s="170">
        <f>A123+7</f>
        <v/>
      </c>
      <c r="B124">
        <f>INT((A124-DATE(YEAR(A124),1,1))/7)+1</f>
        <v/>
      </c>
      <c r="C124">
        <f>MONTH(A124)</f>
        <v/>
      </c>
      <c r="D124">
        <f>TEXT(A124,"mmm")</f>
        <v/>
      </c>
      <c r="E124">
        <f>ROUNDUP(C124/3,0)</f>
        <v/>
      </c>
      <c r="F124">
        <f>YEAR(A124)</f>
        <v/>
      </c>
      <c r="G124">
        <f>F124&amp;"-"&amp;TEXT(C124,"00")</f>
        <v/>
      </c>
    </row>
    <row r="125">
      <c r="A125" s="170">
        <f>A124+7</f>
        <v/>
      </c>
      <c r="B125">
        <f>INT((A125-DATE(YEAR(A125),1,1))/7)+1</f>
        <v/>
      </c>
      <c r="C125">
        <f>MONTH(A125)</f>
        <v/>
      </c>
      <c r="D125">
        <f>TEXT(A125,"mmm")</f>
        <v/>
      </c>
      <c r="E125">
        <f>ROUNDUP(C125/3,0)</f>
        <v/>
      </c>
      <c r="F125">
        <f>YEAR(A125)</f>
        <v/>
      </c>
      <c r="G125">
        <f>F125&amp;"-"&amp;TEXT(C125,"00")</f>
        <v/>
      </c>
    </row>
    <row r="126">
      <c r="A126" s="170">
        <f>A125+7</f>
        <v/>
      </c>
      <c r="B126">
        <f>INT((A126-DATE(YEAR(A126),1,1))/7)+1</f>
        <v/>
      </c>
      <c r="C126">
        <f>MONTH(A126)</f>
        <v/>
      </c>
      <c r="D126">
        <f>TEXT(A126,"mmm")</f>
        <v/>
      </c>
      <c r="E126">
        <f>ROUNDUP(C126/3,0)</f>
        <v/>
      </c>
      <c r="F126">
        <f>YEAR(A126)</f>
        <v/>
      </c>
      <c r="G126">
        <f>F126&amp;"-"&amp;TEXT(C126,"00")</f>
        <v/>
      </c>
    </row>
    <row r="127">
      <c r="A127" s="170">
        <f>A126+7</f>
        <v/>
      </c>
      <c r="B127">
        <f>INT((A127-DATE(YEAR(A127),1,1))/7)+1</f>
        <v/>
      </c>
      <c r="C127">
        <f>MONTH(A127)</f>
        <v/>
      </c>
      <c r="D127">
        <f>TEXT(A127,"mmm")</f>
        <v/>
      </c>
      <c r="E127">
        <f>ROUNDUP(C127/3,0)</f>
        <v/>
      </c>
      <c r="F127">
        <f>YEAR(A127)</f>
        <v/>
      </c>
      <c r="G127">
        <f>F127&amp;"-"&amp;TEXT(C127,"00")</f>
        <v/>
      </c>
    </row>
    <row r="128">
      <c r="A128" s="170">
        <f>A127+7</f>
        <v/>
      </c>
      <c r="B128">
        <f>INT((A128-DATE(YEAR(A128),1,1))/7)+1</f>
        <v/>
      </c>
      <c r="C128">
        <f>MONTH(A128)</f>
        <v/>
      </c>
      <c r="D128">
        <f>TEXT(A128,"mmm")</f>
        <v/>
      </c>
      <c r="E128">
        <f>ROUNDUP(C128/3,0)</f>
        <v/>
      </c>
      <c r="F128">
        <f>YEAR(A128)</f>
        <v/>
      </c>
      <c r="G128">
        <f>F128&amp;"-"&amp;TEXT(C128,"00")</f>
        <v/>
      </c>
    </row>
    <row r="129">
      <c r="A129" s="170">
        <f>A128+7</f>
        <v/>
      </c>
      <c r="B129">
        <f>INT((A129-DATE(YEAR(A129),1,1))/7)+1</f>
        <v/>
      </c>
      <c r="C129">
        <f>MONTH(A129)</f>
        <v/>
      </c>
      <c r="D129">
        <f>TEXT(A129,"mmm")</f>
        <v/>
      </c>
      <c r="E129">
        <f>ROUNDUP(C129/3,0)</f>
        <v/>
      </c>
      <c r="F129">
        <f>YEAR(A129)</f>
        <v/>
      </c>
      <c r="G129">
        <f>F129&amp;"-"&amp;TEXT(C129,"00")</f>
        <v/>
      </c>
    </row>
    <row r="130">
      <c r="A130" s="170">
        <f>A129+7</f>
        <v/>
      </c>
      <c r="B130">
        <f>INT((A130-DATE(YEAR(A130),1,1))/7)+1</f>
        <v/>
      </c>
      <c r="C130">
        <f>MONTH(A130)</f>
        <v/>
      </c>
      <c r="D130">
        <f>TEXT(A130,"mmm")</f>
        <v/>
      </c>
      <c r="E130">
        <f>ROUNDUP(C130/3,0)</f>
        <v/>
      </c>
      <c r="F130">
        <f>YEAR(A130)</f>
        <v/>
      </c>
      <c r="G130">
        <f>F130&amp;"-"&amp;TEXT(C130,"00")</f>
        <v/>
      </c>
    </row>
    <row r="131">
      <c r="A131" s="170">
        <f>A130+7</f>
        <v/>
      </c>
      <c r="B131">
        <f>INT((A131-DATE(YEAR(A131),1,1))/7)+1</f>
        <v/>
      </c>
      <c r="C131">
        <f>MONTH(A131)</f>
        <v/>
      </c>
      <c r="D131">
        <f>TEXT(A131,"mmm")</f>
        <v/>
      </c>
      <c r="E131">
        <f>ROUNDUP(C131/3,0)</f>
        <v/>
      </c>
      <c r="F131">
        <f>YEAR(A131)</f>
        <v/>
      </c>
      <c r="G131">
        <f>F131&amp;"-"&amp;TEXT(C131,"00")</f>
        <v/>
      </c>
    </row>
    <row r="132">
      <c r="A132" s="170">
        <f>A131+7</f>
        <v/>
      </c>
      <c r="B132">
        <f>INT((A132-DATE(YEAR(A132),1,1))/7)+1</f>
        <v/>
      </c>
      <c r="C132">
        <f>MONTH(A132)</f>
        <v/>
      </c>
      <c r="D132">
        <f>TEXT(A132,"mmm")</f>
        <v/>
      </c>
      <c r="E132">
        <f>ROUNDUP(C132/3,0)</f>
        <v/>
      </c>
      <c r="F132">
        <f>YEAR(A132)</f>
        <v/>
      </c>
      <c r="G132">
        <f>F132&amp;"-"&amp;TEXT(C132,"00")</f>
        <v/>
      </c>
    </row>
    <row r="133">
      <c r="A133" s="170">
        <f>A132+7</f>
        <v/>
      </c>
      <c r="B133">
        <f>INT((A133-DATE(YEAR(A133),1,1))/7)+1</f>
        <v/>
      </c>
      <c r="C133">
        <f>MONTH(A133)</f>
        <v/>
      </c>
      <c r="D133">
        <f>TEXT(A133,"mmm")</f>
        <v/>
      </c>
      <c r="E133">
        <f>ROUNDUP(C133/3,0)</f>
        <v/>
      </c>
      <c r="F133">
        <f>YEAR(A133)</f>
        <v/>
      </c>
      <c r="G133">
        <f>F133&amp;"-"&amp;TEXT(C133,"00")</f>
        <v/>
      </c>
    </row>
    <row r="134">
      <c r="A134" s="170">
        <f>A133+7</f>
        <v/>
      </c>
      <c r="B134">
        <f>INT((A134-DATE(YEAR(A134),1,1))/7)+1</f>
        <v/>
      </c>
      <c r="C134">
        <f>MONTH(A134)</f>
        <v/>
      </c>
      <c r="D134">
        <f>TEXT(A134,"mmm")</f>
        <v/>
      </c>
      <c r="E134">
        <f>ROUNDUP(C134/3,0)</f>
        <v/>
      </c>
      <c r="F134">
        <f>YEAR(A134)</f>
        <v/>
      </c>
      <c r="G134">
        <f>F134&amp;"-"&amp;TEXT(C134,"00")</f>
        <v/>
      </c>
    </row>
    <row r="135">
      <c r="A135" s="170">
        <f>A134+7</f>
        <v/>
      </c>
      <c r="B135">
        <f>INT((A135-DATE(YEAR(A135),1,1))/7)+1</f>
        <v/>
      </c>
      <c r="C135">
        <f>MONTH(A135)</f>
        <v/>
      </c>
      <c r="D135">
        <f>TEXT(A135,"mmm")</f>
        <v/>
      </c>
      <c r="E135">
        <f>ROUNDUP(C135/3,0)</f>
        <v/>
      </c>
      <c r="F135">
        <f>YEAR(A135)</f>
        <v/>
      </c>
      <c r="G135">
        <f>F135&amp;"-"&amp;TEXT(C135,"00")</f>
        <v/>
      </c>
    </row>
    <row r="136">
      <c r="A136" s="170">
        <f>A135+7</f>
        <v/>
      </c>
      <c r="B136">
        <f>INT((A136-DATE(YEAR(A136),1,1))/7)+1</f>
        <v/>
      </c>
      <c r="C136">
        <f>MONTH(A136)</f>
        <v/>
      </c>
      <c r="D136">
        <f>TEXT(A136,"mmm")</f>
        <v/>
      </c>
      <c r="E136">
        <f>ROUNDUP(C136/3,0)</f>
        <v/>
      </c>
      <c r="F136">
        <f>YEAR(A136)</f>
        <v/>
      </c>
      <c r="G136">
        <f>F136&amp;"-"&amp;TEXT(C136,"00")</f>
        <v/>
      </c>
    </row>
    <row r="137">
      <c r="A137" s="170">
        <f>A136+7</f>
        <v/>
      </c>
      <c r="B137">
        <f>INT((A137-DATE(YEAR(A137),1,1))/7)+1</f>
        <v/>
      </c>
      <c r="C137">
        <f>MONTH(A137)</f>
        <v/>
      </c>
      <c r="D137">
        <f>TEXT(A137,"mmm")</f>
        <v/>
      </c>
      <c r="E137">
        <f>ROUNDUP(C137/3,0)</f>
        <v/>
      </c>
      <c r="F137">
        <f>YEAR(A137)</f>
        <v/>
      </c>
      <c r="G137">
        <f>F137&amp;"-"&amp;TEXT(C137,"00")</f>
        <v/>
      </c>
    </row>
    <row r="138">
      <c r="A138" s="170">
        <f>A137+7</f>
        <v/>
      </c>
      <c r="B138">
        <f>INT((A138-DATE(YEAR(A138),1,1))/7)+1</f>
        <v/>
      </c>
      <c r="C138">
        <f>MONTH(A138)</f>
        <v/>
      </c>
      <c r="D138">
        <f>TEXT(A138,"mmm")</f>
        <v/>
      </c>
      <c r="E138">
        <f>ROUNDUP(C138/3,0)</f>
        <v/>
      </c>
      <c r="F138">
        <f>YEAR(A138)</f>
        <v/>
      </c>
      <c r="G138">
        <f>F138&amp;"-"&amp;TEXT(C138,"00")</f>
        <v/>
      </c>
    </row>
    <row r="139">
      <c r="A139" s="170">
        <f>A138+7</f>
        <v/>
      </c>
      <c r="B139">
        <f>INT((A139-DATE(YEAR(A139),1,1))/7)+1</f>
        <v/>
      </c>
      <c r="C139">
        <f>MONTH(A139)</f>
        <v/>
      </c>
      <c r="D139">
        <f>TEXT(A139,"mmm")</f>
        <v/>
      </c>
      <c r="E139">
        <f>ROUNDUP(C139/3,0)</f>
        <v/>
      </c>
      <c r="F139">
        <f>YEAR(A139)</f>
        <v/>
      </c>
      <c r="G139">
        <f>F139&amp;"-"&amp;TEXT(C139,"00")</f>
        <v/>
      </c>
    </row>
    <row r="140">
      <c r="A140" s="170">
        <f>A139+7</f>
        <v/>
      </c>
      <c r="B140">
        <f>INT((A140-DATE(YEAR(A140),1,1))/7)+1</f>
        <v/>
      </c>
      <c r="C140">
        <f>MONTH(A140)</f>
        <v/>
      </c>
      <c r="D140">
        <f>TEXT(A140,"mmm")</f>
        <v/>
      </c>
      <c r="E140">
        <f>ROUNDUP(C140/3,0)</f>
        <v/>
      </c>
      <c r="F140">
        <f>YEAR(A140)</f>
        <v/>
      </c>
      <c r="G140">
        <f>F140&amp;"-"&amp;TEXT(C140,"00")</f>
        <v/>
      </c>
    </row>
    <row r="141">
      <c r="A141" s="170">
        <f>A140+7</f>
        <v/>
      </c>
      <c r="B141">
        <f>INT((A141-DATE(YEAR(A141),1,1))/7)+1</f>
        <v/>
      </c>
      <c r="C141">
        <f>MONTH(A141)</f>
        <v/>
      </c>
      <c r="D141">
        <f>TEXT(A141,"mmm")</f>
        <v/>
      </c>
      <c r="E141">
        <f>ROUNDUP(C141/3,0)</f>
        <v/>
      </c>
      <c r="F141">
        <f>YEAR(A141)</f>
        <v/>
      </c>
      <c r="G141">
        <f>F141&amp;"-"&amp;TEXT(C141,"00")</f>
        <v/>
      </c>
    </row>
    <row r="142">
      <c r="A142" s="170">
        <f>A141+7</f>
        <v/>
      </c>
      <c r="B142">
        <f>INT((A142-DATE(YEAR(A142),1,1))/7)+1</f>
        <v/>
      </c>
      <c r="C142">
        <f>MONTH(A142)</f>
        <v/>
      </c>
      <c r="D142">
        <f>TEXT(A142,"mmm")</f>
        <v/>
      </c>
      <c r="E142">
        <f>ROUNDUP(C142/3,0)</f>
        <v/>
      </c>
      <c r="F142">
        <f>YEAR(A142)</f>
        <v/>
      </c>
      <c r="G142">
        <f>F142&amp;"-"&amp;TEXT(C142,"00")</f>
        <v/>
      </c>
    </row>
    <row r="143">
      <c r="A143" s="170">
        <f>A142+7</f>
        <v/>
      </c>
      <c r="B143">
        <f>INT((A143-DATE(YEAR(A143),1,1))/7)+1</f>
        <v/>
      </c>
      <c r="C143">
        <f>MONTH(A143)</f>
        <v/>
      </c>
      <c r="D143">
        <f>TEXT(A143,"mmm")</f>
        <v/>
      </c>
      <c r="E143">
        <f>ROUNDUP(C143/3,0)</f>
        <v/>
      </c>
      <c r="F143">
        <f>YEAR(A143)</f>
        <v/>
      </c>
      <c r="G143">
        <f>F143&amp;"-"&amp;TEXT(C143,"00")</f>
        <v/>
      </c>
    </row>
    <row r="144">
      <c r="A144" s="170">
        <f>A143+7</f>
        <v/>
      </c>
      <c r="B144">
        <f>INT((A144-DATE(YEAR(A144),1,1))/7)+1</f>
        <v/>
      </c>
      <c r="C144">
        <f>MONTH(A144)</f>
        <v/>
      </c>
      <c r="D144">
        <f>TEXT(A144,"mmm")</f>
        <v/>
      </c>
      <c r="E144">
        <f>ROUNDUP(C144/3,0)</f>
        <v/>
      </c>
      <c r="F144">
        <f>YEAR(A144)</f>
        <v/>
      </c>
      <c r="G144">
        <f>F144&amp;"-"&amp;TEXT(C144,"00")</f>
        <v/>
      </c>
    </row>
    <row r="145">
      <c r="A145" s="170">
        <f>A144+7</f>
        <v/>
      </c>
      <c r="B145">
        <f>INT((A145-DATE(YEAR(A145),1,1))/7)+1</f>
        <v/>
      </c>
      <c r="C145">
        <f>MONTH(A145)</f>
        <v/>
      </c>
      <c r="D145">
        <f>TEXT(A145,"mmm")</f>
        <v/>
      </c>
      <c r="E145">
        <f>ROUNDUP(C145/3,0)</f>
        <v/>
      </c>
      <c r="F145">
        <f>YEAR(A145)</f>
        <v/>
      </c>
      <c r="G145">
        <f>F145&amp;"-"&amp;TEXT(C145,"00")</f>
        <v/>
      </c>
    </row>
    <row r="146">
      <c r="A146" s="170">
        <f>A145+7</f>
        <v/>
      </c>
      <c r="B146">
        <f>INT((A146-DATE(YEAR(A146),1,1))/7)+1</f>
        <v/>
      </c>
      <c r="C146">
        <f>MONTH(A146)</f>
        <v/>
      </c>
      <c r="D146">
        <f>TEXT(A146,"mmm")</f>
        <v/>
      </c>
      <c r="E146">
        <f>ROUNDUP(C146/3,0)</f>
        <v/>
      </c>
      <c r="F146">
        <f>YEAR(A146)</f>
        <v/>
      </c>
      <c r="G146">
        <f>F146&amp;"-"&amp;TEXT(C146,"00")</f>
        <v/>
      </c>
    </row>
    <row r="147">
      <c r="A147" s="170">
        <f>A146+7</f>
        <v/>
      </c>
      <c r="B147">
        <f>INT((A147-DATE(YEAR(A147),1,1))/7)+1</f>
        <v/>
      </c>
      <c r="C147">
        <f>MONTH(A147)</f>
        <v/>
      </c>
      <c r="D147">
        <f>TEXT(A147,"mmm")</f>
        <v/>
      </c>
      <c r="E147">
        <f>ROUNDUP(C147/3,0)</f>
        <v/>
      </c>
      <c r="F147">
        <f>YEAR(A147)</f>
        <v/>
      </c>
      <c r="G147">
        <f>F147&amp;"-"&amp;TEXT(C147,"00")</f>
        <v/>
      </c>
    </row>
    <row r="148">
      <c r="A148" s="170">
        <f>A147+7</f>
        <v/>
      </c>
      <c r="B148">
        <f>INT((A148-DATE(YEAR(A148),1,1))/7)+1</f>
        <v/>
      </c>
      <c r="C148">
        <f>MONTH(A148)</f>
        <v/>
      </c>
      <c r="D148">
        <f>TEXT(A148,"mmm")</f>
        <v/>
      </c>
      <c r="E148">
        <f>ROUNDUP(C148/3,0)</f>
        <v/>
      </c>
      <c r="F148">
        <f>YEAR(A148)</f>
        <v/>
      </c>
      <c r="G148">
        <f>F148&amp;"-"&amp;TEXT(C148,"00")</f>
        <v/>
      </c>
    </row>
    <row r="149">
      <c r="A149" s="170">
        <f>A148+7</f>
        <v/>
      </c>
      <c r="B149">
        <f>INT((A149-DATE(YEAR(A149),1,1))/7)+1</f>
        <v/>
      </c>
      <c r="C149">
        <f>MONTH(A149)</f>
        <v/>
      </c>
      <c r="D149">
        <f>TEXT(A149,"mmm")</f>
        <v/>
      </c>
      <c r="E149">
        <f>ROUNDUP(C149/3,0)</f>
        <v/>
      </c>
      <c r="F149">
        <f>YEAR(A149)</f>
        <v/>
      </c>
      <c r="G149">
        <f>F149&amp;"-"&amp;TEXT(C149,"00")</f>
        <v/>
      </c>
    </row>
    <row r="150">
      <c r="A150" s="170">
        <f>A149+7</f>
        <v/>
      </c>
      <c r="B150">
        <f>INT((A150-DATE(YEAR(A150),1,1))/7)+1</f>
        <v/>
      </c>
      <c r="C150">
        <f>MONTH(A150)</f>
        <v/>
      </c>
      <c r="D150">
        <f>TEXT(A150,"mmm")</f>
        <v/>
      </c>
      <c r="E150">
        <f>ROUNDUP(C150/3,0)</f>
        <v/>
      </c>
      <c r="F150">
        <f>YEAR(A150)</f>
        <v/>
      </c>
      <c r="G150">
        <f>F150&amp;"-"&amp;TEXT(C150,"00")</f>
        <v/>
      </c>
    </row>
    <row r="151">
      <c r="A151" s="170">
        <f>A150+7</f>
        <v/>
      </c>
      <c r="B151">
        <f>INT((A151-DATE(YEAR(A151),1,1))/7)+1</f>
        <v/>
      </c>
      <c r="C151">
        <f>MONTH(A151)</f>
        <v/>
      </c>
      <c r="D151">
        <f>TEXT(A151,"mmm")</f>
        <v/>
      </c>
      <c r="E151">
        <f>ROUNDUP(C151/3,0)</f>
        <v/>
      </c>
      <c r="F151">
        <f>YEAR(A151)</f>
        <v/>
      </c>
      <c r="G151">
        <f>F151&amp;"-"&amp;TEXT(C151,"00")</f>
        <v/>
      </c>
    </row>
    <row r="152">
      <c r="A152" s="170">
        <f>A151+7</f>
        <v/>
      </c>
      <c r="B152">
        <f>INT((A152-DATE(YEAR(A152),1,1))/7)+1</f>
        <v/>
      </c>
      <c r="C152">
        <f>MONTH(A152)</f>
        <v/>
      </c>
      <c r="D152">
        <f>TEXT(A152,"mmm")</f>
        <v/>
      </c>
      <c r="E152">
        <f>ROUNDUP(C152/3,0)</f>
        <v/>
      </c>
      <c r="F152">
        <f>YEAR(A152)</f>
        <v/>
      </c>
      <c r="G152">
        <f>F152&amp;"-"&amp;TEXT(C152,"00")</f>
        <v/>
      </c>
    </row>
    <row r="153">
      <c r="A153" s="170">
        <f>A152+7</f>
        <v/>
      </c>
      <c r="B153">
        <f>INT((A153-DATE(YEAR(A153),1,1))/7)+1</f>
        <v/>
      </c>
      <c r="C153">
        <f>MONTH(A153)</f>
        <v/>
      </c>
      <c r="D153">
        <f>TEXT(A153,"mmm")</f>
        <v/>
      </c>
      <c r="E153">
        <f>ROUNDUP(C153/3,0)</f>
        <v/>
      </c>
      <c r="F153">
        <f>YEAR(A153)</f>
        <v/>
      </c>
      <c r="G153">
        <f>F153&amp;"-"&amp;TEXT(C153,"00")</f>
        <v/>
      </c>
    </row>
    <row r="154">
      <c r="A154" s="170">
        <f>A153+7</f>
        <v/>
      </c>
      <c r="B154">
        <f>INT((A154-DATE(YEAR(A154),1,1))/7)+1</f>
        <v/>
      </c>
      <c r="C154">
        <f>MONTH(A154)</f>
        <v/>
      </c>
      <c r="D154">
        <f>TEXT(A154,"mmm")</f>
        <v/>
      </c>
      <c r="E154">
        <f>ROUNDUP(C154/3,0)</f>
        <v/>
      </c>
      <c r="F154">
        <f>YEAR(A154)</f>
        <v/>
      </c>
      <c r="G154">
        <f>F154&amp;"-"&amp;TEXT(C154,"00")</f>
        <v/>
      </c>
    </row>
    <row r="155">
      <c r="A155" s="170">
        <f>A154+7</f>
        <v/>
      </c>
      <c r="B155">
        <f>INT((A155-DATE(YEAR(A155),1,1))/7)+1</f>
        <v/>
      </c>
      <c r="C155">
        <f>MONTH(A155)</f>
        <v/>
      </c>
      <c r="D155">
        <f>TEXT(A155,"mmm")</f>
        <v/>
      </c>
      <c r="E155">
        <f>ROUNDUP(C155/3,0)</f>
        <v/>
      </c>
      <c r="F155">
        <f>YEAR(A155)</f>
        <v/>
      </c>
      <c r="G155">
        <f>F155&amp;"-"&amp;TEXT(C155,"00")</f>
        <v/>
      </c>
    </row>
    <row r="156">
      <c r="A156" s="170">
        <f>A155+7</f>
        <v/>
      </c>
      <c r="B156">
        <f>INT((A156-DATE(YEAR(A156),1,1))/7)+1</f>
        <v/>
      </c>
      <c r="C156">
        <f>MONTH(A156)</f>
        <v/>
      </c>
      <c r="D156">
        <f>TEXT(A156,"mmm")</f>
        <v/>
      </c>
      <c r="E156">
        <f>ROUNDUP(C156/3,0)</f>
        <v/>
      </c>
      <c r="F156">
        <f>YEAR(A156)</f>
        <v/>
      </c>
      <c r="G156">
        <f>F156&amp;"-"&amp;TEXT(C156,"00")</f>
        <v/>
      </c>
    </row>
    <row r="157">
      <c r="A157" s="170">
        <f>A156+7</f>
        <v/>
      </c>
      <c r="B157">
        <f>INT((A157-DATE(YEAR(A157),1,1))/7)+1</f>
        <v/>
      </c>
      <c r="C157">
        <f>MONTH(A157)</f>
        <v/>
      </c>
      <c r="D157">
        <f>TEXT(A157,"mmm")</f>
        <v/>
      </c>
      <c r="E157">
        <f>ROUNDUP(C157/3,0)</f>
        <v/>
      </c>
      <c r="F157">
        <f>YEAR(A157)</f>
        <v/>
      </c>
      <c r="G157">
        <f>F157&amp;"-"&amp;TEXT(C157,"00")</f>
        <v/>
      </c>
    </row>
    <row r="158">
      <c r="A158" s="170">
        <f>A157+7</f>
        <v/>
      </c>
      <c r="B158">
        <f>INT((A158-DATE(YEAR(A158),1,1))/7)+1</f>
        <v/>
      </c>
      <c r="C158">
        <f>MONTH(A158)</f>
        <v/>
      </c>
      <c r="D158">
        <f>TEXT(A158,"mmm")</f>
        <v/>
      </c>
      <c r="E158">
        <f>ROUNDUP(C158/3,0)</f>
        <v/>
      </c>
      <c r="F158">
        <f>YEAR(A158)</f>
        <v/>
      </c>
      <c r="G158">
        <f>F158&amp;"-"&amp;TEXT(C158,"00")</f>
        <v/>
      </c>
    </row>
    <row r="159">
      <c r="A159" s="170">
        <f>A158+7</f>
        <v/>
      </c>
      <c r="B159">
        <f>INT((A159-DATE(YEAR(A159),1,1))/7)+1</f>
        <v/>
      </c>
      <c r="C159">
        <f>MONTH(A159)</f>
        <v/>
      </c>
      <c r="D159">
        <f>TEXT(A159,"mmm")</f>
        <v/>
      </c>
      <c r="E159">
        <f>ROUNDUP(C159/3,0)</f>
        <v/>
      </c>
      <c r="F159">
        <f>YEAR(A159)</f>
        <v/>
      </c>
      <c r="G159">
        <f>F159&amp;"-"&amp;TEXT(C159,"00")</f>
        <v/>
      </c>
    </row>
    <row r="160">
      <c r="A160" s="170">
        <f>A159+7</f>
        <v/>
      </c>
      <c r="B160">
        <f>INT((A160-DATE(YEAR(A160),1,1))/7)+1</f>
        <v/>
      </c>
      <c r="C160">
        <f>MONTH(A160)</f>
        <v/>
      </c>
      <c r="D160">
        <f>TEXT(A160,"mmm")</f>
        <v/>
      </c>
      <c r="E160">
        <f>ROUNDUP(C160/3,0)</f>
        <v/>
      </c>
      <c r="F160">
        <f>YEAR(A160)</f>
        <v/>
      </c>
      <c r="G160">
        <f>F160&amp;"-"&amp;TEXT(C160,"00")</f>
        <v/>
      </c>
    </row>
    <row r="161">
      <c r="A161" s="170">
        <f>A160+7</f>
        <v/>
      </c>
      <c r="B161">
        <f>INT((A161-DATE(YEAR(A161),1,1))/7)+1</f>
        <v/>
      </c>
      <c r="C161">
        <f>MONTH(A161)</f>
        <v/>
      </c>
      <c r="D161">
        <f>TEXT(A161,"mmm")</f>
        <v/>
      </c>
      <c r="E161">
        <f>ROUNDUP(C161/3,0)</f>
        <v/>
      </c>
      <c r="F161">
        <f>YEAR(A161)</f>
        <v/>
      </c>
      <c r="G161">
        <f>F161&amp;"-"&amp;TEXT(C161,"00")</f>
        <v/>
      </c>
    </row>
    <row r="162">
      <c r="A162" s="170">
        <f>A161+7</f>
        <v/>
      </c>
      <c r="B162">
        <f>INT((A162-DATE(YEAR(A162),1,1))/7)+1</f>
        <v/>
      </c>
      <c r="C162">
        <f>MONTH(A162)</f>
        <v/>
      </c>
      <c r="D162">
        <f>TEXT(A162,"mmm")</f>
        <v/>
      </c>
      <c r="E162">
        <f>ROUNDUP(C162/3,0)</f>
        <v/>
      </c>
      <c r="F162">
        <f>YEAR(A162)</f>
        <v/>
      </c>
      <c r="G162">
        <f>F162&amp;"-"&amp;TEXT(C162,"00")</f>
        <v/>
      </c>
    </row>
    <row r="163">
      <c r="A163" s="170">
        <f>A162+7</f>
        <v/>
      </c>
      <c r="B163">
        <f>INT((A163-DATE(YEAR(A163),1,1))/7)+1</f>
        <v/>
      </c>
      <c r="C163">
        <f>MONTH(A163)</f>
        <v/>
      </c>
      <c r="D163">
        <f>TEXT(A163,"mmm")</f>
        <v/>
      </c>
      <c r="E163">
        <f>ROUNDUP(C163/3,0)</f>
        <v/>
      </c>
      <c r="F163">
        <f>YEAR(A163)</f>
        <v/>
      </c>
      <c r="G163">
        <f>F163&amp;"-"&amp;TEXT(C163,"00")</f>
        <v/>
      </c>
    </row>
    <row r="164">
      <c r="A164" s="170">
        <f>A163+7</f>
        <v/>
      </c>
      <c r="B164">
        <f>INT((A164-DATE(YEAR(A164),1,1))/7)+1</f>
        <v/>
      </c>
      <c r="C164">
        <f>MONTH(A164)</f>
        <v/>
      </c>
      <c r="D164">
        <f>TEXT(A164,"mmm")</f>
        <v/>
      </c>
      <c r="E164">
        <f>ROUNDUP(C164/3,0)</f>
        <v/>
      </c>
      <c r="F164">
        <f>YEAR(A164)</f>
        <v/>
      </c>
      <c r="G164">
        <f>F164&amp;"-"&amp;TEXT(C164,"00")</f>
        <v/>
      </c>
    </row>
    <row r="165">
      <c r="A165" s="170">
        <f>A164+7</f>
        <v/>
      </c>
      <c r="B165">
        <f>INT((A165-DATE(YEAR(A165),1,1))/7)+1</f>
        <v/>
      </c>
      <c r="C165">
        <f>MONTH(A165)</f>
        <v/>
      </c>
      <c r="D165">
        <f>TEXT(A165,"mmm")</f>
        <v/>
      </c>
      <c r="E165">
        <f>ROUNDUP(C165/3,0)</f>
        <v/>
      </c>
      <c r="F165">
        <f>YEAR(A165)</f>
        <v/>
      </c>
      <c r="G165">
        <f>F165&amp;"-"&amp;TEXT(C165,"00")</f>
        <v/>
      </c>
    </row>
    <row r="166">
      <c r="A166" s="170">
        <f>A165+7</f>
        <v/>
      </c>
      <c r="B166">
        <f>INT((A166-DATE(YEAR(A166),1,1))/7)+1</f>
        <v/>
      </c>
      <c r="C166">
        <f>MONTH(A166)</f>
        <v/>
      </c>
      <c r="D166">
        <f>TEXT(A166,"mmm")</f>
        <v/>
      </c>
      <c r="E166">
        <f>ROUNDUP(C166/3,0)</f>
        <v/>
      </c>
      <c r="F166">
        <f>YEAR(A166)</f>
        <v/>
      </c>
      <c r="G166">
        <f>F166&amp;"-"&amp;TEXT(C166,"00")</f>
        <v/>
      </c>
    </row>
    <row r="167">
      <c r="A167" s="170">
        <f>A166+7</f>
        <v/>
      </c>
      <c r="B167">
        <f>INT((A167-DATE(YEAR(A167),1,1))/7)+1</f>
        <v/>
      </c>
      <c r="C167">
        <f>MONTH(A167)</f>
        <v/>
      </c>
      <c r="D167">
        <f>TEXT(A167,"mmm")</f>
        <v/>
      </c>
      <c r="E167">
        <f>ROUNDUP(C167/3,0)</f>
        <v/>
      </c>
      <c r="F167">
        <f>YEAR(A167)</f>
        <v/>
      </c>
      <c r="G167">
        <f>F167&amp;"-"&amp;TEXT(C167,"00")</f>
        <v/>
      </c>
    </row>
    <row r="168">
      <c r="A168" s="170">
        <f>A167+7</f>
        <v/>
      </c>
      <c r="B168">
        <f>INT((A168-DATE(YEAR(A168),1,1))/7)+1</f>
        <v/>
      </c>
      <c r="C168">
        <f>MONTH(A168)</f>
        <v/>
      </c>
      <c r="D168">
        <f>TEXT(A168,"mmm")</f>
        <v/>
      </c>
      <c r="E168">
        <f>ROUNDUP(C168/3,0)</f>
        <v/>
      </c>
      <c r="F168">
        <f>YEAR(A168)</f>
        <v/>
      </c>
      <c r="G168">
        <f>F168&amp;"-"&amp;TEXT(C168,"00")</f>
        <v/>
      </c>
    </row>
    <row r="169">
      <c r="A169" s="170">
        <f>A168+7</f>
        <v/>
      </c>
      <c r="B169">
        <f>INT((A169-DATE(YEAR(A169),1,1))/7)+1</f>
        <v/>
      </c>
      <c r="C169">
        <f>MONTH(A169)</f>
        <v/>
      </c>
      <c r="D169">
        <f>TEXT(A169,"mmm")</f>
        <v/>
      </c>
      <c r="E169">
        <f>ROUNDUP(C169/3,0)</f>
        <v/>
      </c>
      <c r="F169">
        <f>YEAR(A169)</f>
        <v/>
      </c>
      <c r="G169">
        <f>F169&amp;"-"&amp;TEXT(C169,"00")</f>
        <v/>
      </c>
    </row>
    <row r="170">
      <c r="A170" s="170">
        <f>A169+7</f>
        <v/>
      </c>
      <c r="B170">
        <f>INT((A170-DATE(YEAR(A170),1,1))/7)+1</f>
        <v/>
      </c>
      <c r="C170">
        <f>MONTH(A170)</f>
        <v/>
      </c>
      <c r="D170">
        <f>TEXT(A170,"mmm")</f>
        <v/>
      </c>
      <c r="E170">
        <f>ROUNDUP(C170/3,0)</f>
        <v/>
      </c>
      <c r="F170">
        <f>YEAR(A170)</f>
        <v/>
      </c>
      <c r="G170">
        <f>F170&amp;"-"&amp;TEXT(C170,"00")</f>
        <v/>
      </c>
    </row>
    <row r="171">
      <c r="A171" s="170">
        <f>A170+7</f>
        <v/>
      </c>
      <c r="B171">
        <f>INT((A171-DATE(YEAR(A171),1,1))/7)+1</f>
        <v/>
      </c>
      <c r="C171">
        <f>MONTH(A171)</f>
        <v/>
      </c>
      <c r="D171">
        <f>TEXT(A171,"mmm")</f>
        <v/>
      </c>
      <c r="E171">
        <f>ROUNDUP(C171/3,0)</f>
        <v/>
      </c>
      <c r="F171">
        <f>YEAR(A171)</f>
        <v/>
      </c>
      <c r="G171">
        <f>F171&amp;"-"&amp;TEXT(C171,"00")</f>
        <v/>
      </c>
    </row>
    <row r="172">
      <c r="A172" s="170">
        <f>A171+7</f>
        <v/>
      </c>
      <c r="B172">
        <f>INT((A172-DATE(YEAR(A172),1,1))/7)+1</f>
        <v/>
      </c>
      <c r="C172">
        <f>MONTH(A172)</f>
        <v/>
      </c>
      <c r="D172">
        <f>TEXT(A172,"mmm")</f>
        <v/>
      </c>
      <c r="E172">
        <f>ROUNDUP(C172/3,0)</f>
        <v/>
      </c>
      <c r="F172">
        <f>YEAR(A172)</f>
        <v/>
      </c>
      <c r="G172">
        <f>F172&amp;"-"&amp;TEXT(C172,"00")</f>
        <v/>
      </c>
    </row>
    <row r="173">
      <c r="A173" s="170">
        <f>A172+7</f>
        <v/>
      </c>
      <c r="B173">
        <f>INT((A173-DATE(YEAR(A173),1,1))/7)+1</f>
        <v/>
      </c>
      <c r="C173">
        <f>MONTH(A173)</f>
        <v/>
      </c>
      <c r="D173">
        <f>TEXT(A173,"mmm")</f>
        <v/>
      </c>
      <c r="E173">
        <f>ROUNDUP(C173/3,0)</f>
        <v/>
      </c>
      <c r="F173">
        <f>YEAR(A173)</f>
        <v/>
      </c>
      <c r="G173">
        <f>F173&amp;"-"&amp;TEXT(C173,"00")</f>
        <v/>
      </c>
    </row>
    <row r="174">
      <c r="A174" s="170">
        <f>A173+7</f>
        <v/>
      </c>
      <c r="B174">
        <f>INT((A174-DATE(YEAR(A174),1,1))/7)+1</f>
        <v/>
      </c>
      <c r="C174">
        <f>MONTH(A174)</f>
        <v/>
      </c>
      <c r="D174">
        <f>TEXT(A174,"mmm")</f>
        <v/>
      </c>
      <c r="E174">
        <f>ROUNDUP(C174/3,0)</f>
        <v/>
      </c>
      <c r="F174">
        <f>YEAR(A174)</f>
        <v/>
      </c>
      <c r="G174">
        <f>F174&amp;"-"&amp;TEXT(C174,"00")</f>
        <v/>
      </c>
    </row>
    <row r="175">
      <c r="A175" s="170">
        <f>A174+7</f>
        <v/>
      </c>
      <c r="B175">
        <f>INT((A175-DATE(YEAR(A175),1,1))/7)+1</f>
        <v/>
      </c>
      <c r="C175">
        <f>MONTH(A175)</f>
        <v/>
      </c>
      <c r="D175">
        <f>TEXT(A175,"mmm")</f>
        <v/>
      </c>
      <c r="E175">
        <f>ROUNDUP(C175/3,0)</f>
        <v/>
      </c>
      <c r="F175">
        <f>YEAR(A175)</f>
        <v/>
      </c>
      <c r="G175">
        <f>F175&amp;"-"&amp;TEXT(C175,"00")</f>
        <v/>
      </c>
    </row>
    <row r="176">
      <c r="A176" s="170">
        <f>A175+7</f>
        <v/>
      </c>
      <c r="B176">
        <f>INT((A176-DATE(YEAR(A176),1,1))/7)+1</f>
        <v/>
      </c>
      <c r="C176">
        <f>MONTH(A176)</f>
        <v/>
      </c>
      <c r="D176">
        <f>TEXT(A176,"mmm")</f>
        <v/>
      </c>
      <c r="E176">
        <f>ROUNDUP(C176/3,0)</f>
        <v/>
      </c>
      <c r="F176">
        <f>YEAR(A176)</f>
        <v/>
      </c>
      <c r="G176">
        <f>F176&amp;"-"&amp;TEXT(C176,"00")</f>
        <v/>
      </c>
    </row>
    <row r="177">
      <c r="A177" s="170">
        <f>A176+7</f>
        <v/>
      </c>
      <c r="B177">
        <f>INT((A177-DATE(YEAR(A177),1,1))/7)+1</f>
        <v/>
      </c>
      <c r="C177">
        <f>MONTH(A177)</f>
        <v/>
      </c>
      <c r="D177">
        <f>TEXT(A177,"mmm")</f>
        <v/>
      </c>
      <c r="E177">
        <f>ROUNDUP(C177/3,0)</f>
        <v/>
      </c>
      <c r="F177">
        <f>YEAR(A177)</f>
        <v/>
      </c>
      <c r="G177">
        <f>F177&amp;"-"&amp;TEXT(C177,"00")</f>
        <v/>
      </c>
    </row>
    <row r="178">
      <c r="A178" s="170">
        <f>A177+7</f>
        <v/>
      </c>
      <c r="B178">
        <f>INT((A178-DATE(YEAR(A178),1,1))/7)+1</f>
        <v/>
      </c>
      <c r="C178">
        <f>MONTH(A178)</f>
        <v/>
      </c>
      <c r="D178">
        <f>TEXT(A178,"mmm")</f>
        <v/>
      </c>
      <c r="E178">
        <f>ROUNDUP(C178/3,0)</f>
        <v/>
      </c>
      <c r="F178">
        <f>YEAR(A178)</f>
        <v/>
      </c>
      <c r="G178">
        <f>F178&amp;"-"&amp;TEXT(C178,"00")</f>
        <v/>
      </c>
    </row>
    <row r="179">
      <c r="A179" s="170">
        <f>A178+7</f>
        <v/>
      </c>
      <c r="B179">
        <f>INT((A179-DATE(YEAR(A179),1,1))/7)+1</f>
        <v/>
      </c>
      <c r="C179">
        <f>MONTH(A179)</f>
        <v/>
      </c>
      <c r="D179">
        <f>TEXT(A179,"mmm")</f>
        <v/>
      </c>
      <c r="E179">
        <f>ROUNDUP(C179/3,0)</f>
        <v/>
      </c>
      <c r="F179">
        <f>YEAR(A179)</f>
        <v/>
      </c>
      <c r="G179">
        <f>F179&amp;"-"&amp;TEXT(C179,"00")</f>
        <v/>
      </c>
    </row>
    <row r="180">
      <c r="A180" s="170">
        <f>A179+7</f>
        <v/>
      </c>
      <c r="B180">
        <f>INT((A180-DATE(YEAR(A180),1,1))/7)+1</f>
        <v/>
      </c>
      <c r="C180">
        <f>MONTH(A180)</f>
        <v/>
      </c>
      <c r="D180">
        <f>TEXT(A180,"mmm")</f>
        <v/>
      </c>
      <c r="E180">
        <f>ROUNDUP(C180/3,0)</f>
        <v/>
      </c>
      <c r="F180">
        <f>YEAR(A180)</f>
        <v/>
      </c>
      <c r="G180">
        <f>F180&amp;"-"&amp;TEXT(C180,"00")</f>
        <v/>
      </c>
    </row>
    <row r="181">
      <c r="A181" s="170">
        <f>A180+7</f>
        <v/>
      </c>
      <c r="B181">
        <f>INT((A181-DATE(YEAR(A181),1,1))/7)+1</f>
        <v/>
      </c>
      <c r="C181">
        <f>MONTH(A181)</f>
        <v/>
      </c>
      <c r="D181">
        <f>TEXT(A181,"mmm")</f>
        <v/>
      </c>
      <c r="E181">
        <f>ROUNDUP(C181/3,0)</f>
        <v/>
      </c>
      <c r="F181">
        <f>YEAR(A181)</f>
        <v/>
      </c>
      <c r="G181">
        <f>F181&amp;"-"&amp;TEXT(C181,"00")</f>
        <v/>
      </c>
    </row>
    <row r="182">
      <c r="A182" s="170">
        <f>A181+7</f>
        <v/>
      </c>
      <c r="B182">
        <f>INT((A182-DATE(YEAR(A182),1,1))/7)+1</f>
        <v/>
      </c>
      <c r="C182">
        <f>MONTH(A182)</f>
        <v/>
      </c>
      <c r="D182">
        <f>TEXT(A182,"mmm")</f>
        <v/>
      </c>
      <c r="E182">
        <f>ROUNDUP(C182/3,0)</f>
        <v/>
      </c>
      <c r="F182">
        <f>YEAR(A182)</f>
        <v/>
      </c>
      <c r="G182">
        <f>F182&amp;"-"&amp;TEXT(C182,"00")</f>
        <v/>
      </c>
    </row>
    <row r="183">
      <c r="A183" s="170">
        <f>A182+7</f>
        <v/>
      </c>
      <c r="B183">
        <f>INT((A183-DATE(YEAR(A183),1,1))/7)+1</f>
        <v/>
      </c>
      <c r="C183">
        <f>MONTH(A183)</f>
        <v/>
      </c>
      <c r="D183">
        <f>TEXT(A183,"mmm")</f>
        <v/>
      </c>
      <c r="E183">
        <f>ROUNDUP(C183/3,0)</f>
        <v/>
      </c>
      <c r="F183">
        <f>YEAR(A183)</f>
        <v/>
      </c>
      <c r="G183">
        <f>F183&amp;"-"&amp;TEXT(C183,"00")</f>
        <v/>
      </c>
    </row>
    <row r="184">
      <c r="A184" s="170">
        <f>A183+7</f>
        <v/>
      </c>
      <c r="B184">
        <f>INT((A184-DATE(YEAR(A184),1,1))/7)+1</f>
        <v/>
      </c>
      <c r="C184">
        <f>MONTH(A184)</f>
        <v/>
      </c>
      <c r="D184">
        <f>TEXT(A184,"mmm")</f>
        <v/>
      </c>
      <c r="E184">
        <f>ROUNDUP(C184/3,0)</f>
        <v/>
      </c>
      <c r="F184">
        <f>YEAR(A184)</f>
        <v/>
      </c>
      <c r="G184">
        <f>F184&amp;"-"&amp;TEXT(C184,"00")</f>
        <v/>
      </c>
    </row>
    <row r="185">
      <c r="A185" s="170">
        <f>A184+7</f>
        <v/>
      </c>
      <c r="B185">
        <f>INT((A185-DATE(YEAR(A185),1,1))/7)+1</f>
        <v/>
      </c>
      <c r="C185">
        <f>MONTH(A185)</f>
        <v/>
      </c>
      <c r="D185">
        <f>TEXT(A185,"mmm")</f>
        <v/>
      </c>
      <c r="E185">
        <f>ROUNDUP(C185/3,0)</f>
        <v/>
      </c>
      <c r="F185">
        <f>YEAR(A185)</f>
        <v/>
      </c>
      <c r="G185">
        <f>F185&amp;"-"&amp;TEXT(C185,"00")</f>
        <v/>
      </c>
    </row>
    <row r="186">
      <c r="A186" s="170">
        <f>A185+7</f>
        <v/>
      </c>
      <c r="B186">
        <f>INT((A186-DATE(YEAR(A186),1,1))/7)+1</f>
        <v/>
      </c>
      <c r="C186">
        <f>MONTH(A186)</f>
        <v/>
      </c>
      <c r="D186">
        <f>TEXT(A186,"mmm")</f>
        <v/>
      </c>
      <c r="E186">
        <f>ROUNDUP(C186/3,0)</f>
        <v/>
      </c>
      <c r="F186">
        <f>YEAR(A186)</f>
        <v/>
      </c>
      <c r="G186">
        <f>F186&amp;"-"&amp;TEXT(C186,"00")</f>
        <v/>
      </c>
    </row>
    <row r="187">
      <c r="A187" s="170">
        <f>A186+7</f>
        <v/>
      </c>
      <c r="B187">
        <f>INT((A187-DATE(YEAR(A187),1,1))/7)+1</f>
        <v/>
      </c>
      <c r="C187">
        <f>MONTH(A187)</f>
        <v/>
      </c>
      <c r="D187">
        <f>TEXT(A187,"mmm")</f>
        <v/>
      </c>
      <c r="E187">
        <f>ROUNDUP(C187/3,0)</f>
        <v/>
      </c>
      <c r="F187">
        <f>YEAR(A187)</f>
        <v/>
      </c>
      <c r="G187">
        <f>F187&amp;"-"&amp;TEXT(C187,"00")</f>
        <v/>
      </c>
    </row>
    <row r="188">
      <c r="A188" s="170">
        <f>A187+7</f>
        <v/>
      </c>
      <c r="B188">
        <f>INT((A188-DATE(YEAR(A188),1,1))/7)+1</f>
        <v/>
      </c>
      <c r="C188">
        <f>MONTH(A188)</f>
        <v/>
      </c>
      <c r="D188">
        <f>TEXT(A188,"mmm")</f>
        <v/>
      </c>
      <c r="E188">
        <f>ROUNDUP(C188/3,0)</f>
        <v/>
      </c>
      <c r="F188">
        <f>YEAR(A188)</f>
        <v/>
      </c>
      <c r="G188">
        <f>F188&amp;"-"&amp;TEXT(C188,"00")</f>
        <v/>
      </c>
    </row>
    <row r="189">
      <c r="A189" s="170">
        <f>A188+7</f>
        <v/>
      </c>
      <c r="B189">
        <f>INT((A189-DATE(YEAR(A189),1,1))/7)+1</f>
        <v/>
      </c>
      <c r="C189">
        <f>MONTH(A189)</f>
        <v/>
      </c>
      <c r="D189">
        <f>TEXT(A189,"mmm")</f>
        <v/>
      </c>
      <c r="E189">
        <f>ROUNDUP(C189/3,0)</f>
        <v/>
      </c>
      <c r="F189">
        <f>YEAR(A189)</f>
        <v/>
      </c>
      <c r="G189">
        <f>F189&amp;"-"&amp;TEXT(C189,"00")</f>
        <v/>
      </c>
    </row>
    <row r="190">
      <c r="A190" s="170">
        <f>A189+7</f>
        <v/>
      </c>
      <c r="B190">
        <f>INT((A190-DATE(YEAR(A190),1,1))/7)+1</f>
        <v/>
      </c>
      <c r="C190">
        <f>MONTH(A190)</f>
        <v/>
      </c>
      <c r="D190">
        <f>TEXT(A190,"mmm")</f>
        <v/>
      </c>
      <c r="E190">
        <f>ROUNDUP(C190/3,0)</f>
        <v/>
      </c>
      <c r="F190">
        <f>YEAR(A190)</f>
        <v/>
      </c>
      <c r="G190">
        <f>F190&amp;"-"&amp;TEXT(C190,"00")</f>
        <v/>
      </c>
    </row>
    <row r="191">
      <c r="A191" s="170">
        <f>A190+7</f>
        <v/>
      </c>
      <c r="B191">
        <f>INT((A191-DATE(YEAR(A191),1,1))/7)+1</f>
        <v/>
      </c>
      <c r="C191">
        <f>MONTH(A191)</f>
        <v/>
      </c>
      <c r="D191">
        <f>TEXT(A191,"mmm")</f>
        <v/>
      </c>
      <c r="E191">
        <f>ROUNDUP(C191/3,0)</f>
        <v/>
      </c>
      <c r="F191">
        <f>YEAR(A191)</f>
        <v/>
      </c>
      <c r="G191">
        <f>F191&amp;"-"&amp;TEXT(C191,"00")</f>
        <v/>
      </c>
    </row>
    <row r="192">
      <c r="A192" s="170">
        <f>A191+7</f>
        <v/>
      </c>
      <c r="B192">
        <f>INT((A192-DATE(YEAR(A192),1,1))/7)+1</f>
        <v/>
      </c>
      <c r="C192">
        <f>MONTH(A192)</f>
        <v/>
      </c>
      <c r="D192">
        <f>TEXT(A192,"mmm")</f>
        <v/>
      </c>
      <c r="E192">
        <f>ROUNDUP(C192/3,0)</f>
        <v/>
      </c>
      <c r="F192">
        <f>YEAR(A192)</f>
        <v/>
      </c>
      <c r="G192">
        <f>F192&amp;"-"&amp;TEXT(C192,"00")</f>
        <v/>
      </c>
    </row>
    <row r="193">
      <c r="A193" s="170">
        <f>A192+7</f>
        <v/>
      </c>
      <c r="B193">
        <f>INT((A193-DATE(YEAR(A193),1,1))/7)+1</f>
        <v/>
      </c>
      <c r="C193">
        <f>MONTH(A193)</f>
        <v/>
      </c>
      <c r="D193">
        <f>TEXT(A193,"mmm")</f>
        <v/>
      </c>
      <c r="E193">
        <f>ROUNDUP(C193/3,0)</f>
        <v/>
      </c>
      <c r="F193">
        <f>YEAR(A193)</f>
        <v/>
      </c>
      <c r="G193">
        <f>F193&amp;"-"&amp;TEXT(C193,"00")</f>
        <v/>
      </c>
    </row>
    <row r="194">
      <c r="A194" s="170">
        <f>A193+7</f>
        <v/>
      </c>
      <c r="B194">
        <f>INT((A194-DATE(YEAR(A194),1,1))/7)+1</f>
        <v/>
      </c>
      <c r="C194">
        <f>MONTH(A194)</f>
        <v/>
      </c>
      <c r="D194">
        <f>TEXT(A194,"mmm")</f>
        <v/>
      </c>
      <c r="E194">
        <f>ROUNDUP(C194/3,0)</f>
        <v/>
      </c>
      <c r="F194">
        <f>YEAR(A194)</f>
        <v/>
      </c>
      <c r="G194">
        <f>F194&amp;"-"&amp;TEXT(C194,"00")</f>
        <v/>
      </c>
    </row>
    <row r="195">
      <c r="A195" s="170">
        <f>A194+7</f>
        <v/>
      </c>
      <c r="B195">
        <f>INT((A195-DATE(YEAR(A195),1,1))/7)+1</f>
        <v/>
      </c>
      <c r="C195">
        <f>MONTH(A195)</f>
        <v/>
      </c>
      <c r="D195">
        <f>TEXT(A195,"mmm")</f>
        <v/>
      </c>
      <c r="E195">
        <f>ROUNDUP(C195/3,0)</f>
        <v/>
      </c>
      <c r="F195">
        <f>YEAR(A195)</f>
        <v/>
      </c>
      <c r="G195">
        <f>F195&amp;"-"&amp;TEXT(C195,"00")</f>
        <v/>
      </c>
    </row>
    <row r="196">
      <c r="A196" s="170">
        <f>A195+7</f>
        <v/>
      </c>
      <c r="B196">
        <f>INT((A196-DATE(YEAR(A196),1,1))/7)+1</f>
        <v/>
      </c>
      <c r="C196">
        <f>MONTH(A196)</f>
        <v/>
      </c>
      <c r="D196">
        <f>TEXT(A196,"mmm")</f>
        <v/>
      </c>
      <c r="E196">
        <f>ROUNDUP(C196/3,0)</f>
        <v/>
      </c>
      <c r="F196">
        <f>YEAR(A196)</f>
        <v/>
      </c>
      <c r="G196">
        <f>F196&amp;"-"&amp;TEXT(C196,"00")</f>
        <v/>
      </c>
    </row>
    <row r="197">
      <c r="A197" s="170">
        <f>A196+7</f>
        <v/>
      </c>
      <c r="B197">
        <f>INT((A197-DATE(YEAR(A197),1,1))/7)+1</f>
        <v/>
      </c>
      <c r="C197">
        <f>MONTH(A197)</f>
        <v/>
      </c>
      <c r="D197">
        <f>TEXT(A197,"mmm")</f>
        <v/>
      </c>
      <c r="E197">
        <f>ROUNDUP(C197/3,0)</f>
        <v/>
      </c>
      <c r="F197">
        <f>YEAR(A197)</f>
        <v/>
      </c>
      <c r="G197">
        <f>F197&amp;"-"&amp;TEXT(C197,"00")</f>
        <v/>
      </c>
    </row>
    <row r="198">
      <c r="A198" s="170">
        <f>A197+7</f>
        <v/>
      </c>
      <c r="B198">
        <f>INT((A198-DATE(YEAR(A198),1,1))/7)+1</f>
        <v/>
      </c>
      <c r="C198">
        <f>MONTH(A198)</f>
        <v/>
      </c>
      <c r="D198">
        <f>TEXT(A198,"mmm")</f>
        <v/>
      </c>
      <c r="E198">
        <f>ROUNDUP(C198/3,0)</f>
        <v/>
      </c>
      <c r="F198">
        <f>YEAR(A198)</f>
        <v/>
      </c>
      <c r="G198">
        <f>F198&amp;"-"&amp;TEXT(C198,"00")</f>
        <v/>
      </c>
    </row>
    <row r="199">
      <c r="A199" s="170">
        <f>A198+7</f>
        <v/>
      </c>
      <c r="B199">
        <f>INT((A199-DATE(YEAR(A199),1,1))/7)+1</f>
        <v/>
      </c>
      <c r="C199">
        <f>MONTH(A199)</f>
        <v/>
      </c>
      <c r="D199">
        <f>TEXT(A199,"mmm")</f>
        <v/>
      </c>
      <c r="E199">
        <f>ROUNDUP(C199/3,0)</f>
        <v/>
      </c>
      <c r="F199">
        <f>YEAR(A199)</f>
        <v/>
      </c>
      <c r="G199">
        <f>F199&amp;"-"&amp;TEXT(C199,"00")</f>
        <v/>
      </c>
    </row>
    <row r="200">
      <c r="A200" s="170">
        <f>A199+7</f>
        <v/>
      </c>
      <c r="B200">
        <f>INT((A200-DATE(YEAR(A200),1,1))/7)+1</f>
        <v/>
      </c>
      <c r="C200">
        <f>MONTH(A200)</f>
        <v/>
      </c>
      <c r="D200">
        <f>TEXT(A200,"mmm")</f>
        <v/>
      </c>
      <c r="E200">
        <f>ROUNDUP(C200/3,0)</f>
        <v/>
      </c>
      <c r="F200">
        <f>YEAR(A200)</f>
        <v/>
      </c>
      <c r="G200">
        <f>F200&amp;"-"&amp;TEXT(C200,"00")</f>
        <v/>
      </c>
    </row>
    <row r="201">
      <c r="A201" s="170">
        <f>A200+7</f>
        <v/>
      </c>
      <c r="B201">
        <f>INT((A201-DATE(YEAR(A201),1,1))/7)+1</f>
        <v/>
      </c>
      <c r="C201">
        <f>MONTH(A201)</f>
        <v/>
      </c>
      <c r="D201">
        <f>TEXT(A201,"mmm")</f>
        <v/>
      </c>
      <c r="E201">
        <f>ROUNDUP(C201/3,0)</f>
        <v/>
      </c>
      <c r="F201">
        <f>YEAR(A201)</f>
        <v/>
      </c>
      <c r="G201">
        <f>F201&amp;"-"&amp;TEXT(C201,"00")</f>
        <v/>
      </c>
    </row>
    <row r="202">
      <c r="A202" s="170">
        <f>A201+7</f>
        <v/>
      </c>
      <c r="B202">
        <f>INT((A202-DATE(YEAR(A202),1,1))/7)+1</f>
        <v/>
      </c>
      <c r="C202">
        <f>MONTH(A202)</f>
        <v/>
      </c>
      <c r="D202">
        <f>TEXT(A202,"mmm")</f>
        <v/>
      </c>
      <c r="E202">
        <f>ROUNDUP(C202/3,0)</f>
        <v/>
      </c>
      <c r="F202">
        <f>YEAR(A202)</f>
        <v/>
      </c>
      <c r="G202">
        <f>F202&amp;"-"&amp;TEXT(C202,"00")</f>
        <v/>
      </c>
    </row>
    <row r="203">
      <c r="A203" s="170">
        <f>A202+7</f>
        <v/>
      </c>
      <c r="B203">
        <f>INT((A203-DATE(YEAR(A203),1,1))/7)+1</f>
        <v/>
      </c>
      <c r="C203">
        <f>MONTH(A203)</f>
        <v/>
      </c>
      <c r="D203">
        <f>TEXT(A203,"mmm")</f>
        <v/>
      </c>
      <c r="E203">
        <f>ROUNDUP(C203/3,0)</f>
        <v/>
      </c>
      <c r="F203">
        <f>YEAR(A203)</f>
        <v/>
      </c>
      <c r="G203">
        <f>F203&amp;"-"&amp;TEXT(C203,"00")</f>
        <v/>
      </c>
    </row>
    <row r="204">
      <c r="A204" s="170">
        <f>A203+7</f>
        <v/>
      </c>
      <c r="B204">
        <f>INT((A204-DATE(YEAR(A204),1,1))/7)+1</f>
        <v/>
      </c>
      <c r="C204">
        <f>MONTH(A204)</f>
        <v/>
      </c>
      <c r="D204">
        <f>TEXT(A204,"mmm")</f>
        <v/>
      </c>
      <c r="E204">
        <f>ROUNDUP(C204/3,0)</f>
        <v/>
      </c>
      <c r="F204">
        <f>YEAR(A204)</f>
        <v/>
      </c>
      <c r="G204">
        <f>F204&amp;"-"&amp;TEXT(C204,"00")</f>
        <v/>
      </c>
    </row>
    <row r="205">
      <c r="A205" s="170">
        <f>A204+7</f>
        <v/>
      </c>
      <c r="B205">
        <f>INT((A205-DATE(YEAR(A205),1,1))/7)+1</f>
        <v/>
      </c>
      <c r="C205">
        <f>MONTH(A205)</f>
        <v/>
      </c>
      <c r="D205">
        <f>TEXT(A205,"mmm")</f>
        <v/>
      </c>
      <c r="E205">
        <f>ROUNDUP(C205/3,0)</f>
        <v/>
      </c>
      <c r="F205">
        <f>YEAR(A205)</f>
        <v/>
      </c>
      <c r="G205">
        <f>F205&amp;"-"&amp;TEXT(C205,"00")</f>
        <v/>
      </c>
    </row>
    <row r="206">
      <c r="A206" s="170">
        <f>A205+7</f>
        <v/>
      </c>
      <c r="B206">
        <f>INT((A206-DATE(YEAR(A206),1,1))/7)+1</f>
        <v/>
      </c>
      <c r="C206">
        <f>MONTH(A206)</f>
        <v/>
      </c>
      <c r="D206">
        <f>TEXT(A206,"mmm")</f>
        <v/>
      </c>
      <c r="E206">
        <f>ROUNDUP(C206/3,0)</f>
        <v/>
      </c>
      <c r="F206">
        <f>YEAR(A206)</f>
        <v/>
      </c>
      <c r="G206">
        <f>F206&amp;"-"&amp;TEXT(C206,"00")</f>
        <v/>
      </c>
    </row>
    <row r="207">
      <c r="A207" s="170">
        <f>A206+7</f>
        <v/>
      </c>
      <c r="B207">
        <f>INT((A207-DATE(YEAR(A207),1,1))/7)+1</f>
        <v/>
      </c>
      <c r="C207">
        <f>MONTH(A207)</f>
        <v/>
      </c>
      <c r="D207">
        <f>TEXT(A207,"mmm")</f>
        <v/>
      </c>
      <c r="E207">
        <f>ROUNDUP(C207/3,0)</f>
        <v/>
      </c>
      <c r="F207">
        <f>YEAR(A207)</f>
        <v/>
      </c>
      <c r="G207">
        <f>F207&amp;"-"&amp;TEXT(C207,"00")</f>
        <v/>
      </c>
    </row>
    <row r="208">
      <c r="A208" s="170">
        <f>A207+7</f>
        <v/>
      </c>
      <c r="B208">
        <f>INT((A208-DATE(YEAR(A208),1,1))/7)+1</f>
        <v/>
      </c>
      <c r="C208">
        <f>MONTH(A208)</f>
        <v/>
      </c>
      <c r="D208">
        <f>TEXT(A208,"mmm")</f>
        <v/>
      </c>
      <c r="E208">
        <f>ROUNDUP(C208/3,0)</f>
        <v/>
      </c>
      <c r="F208">
        <f>YEAR(A208)</f>
        <v/>
      </c>
      <c r="G208">
        <f>F208&amp;"-"&amp;TEXT(C208,"00")</f>
        <v/>
      </c>
    </row>
    <row r="209">
      <c r="A209" s="170">
        <f>A208+7</f>
        <v/>
      </c>
      <c r="B209">
        <f>INT((A209-DATE(YEAR(A209),1,1))/7)+1</f>
        <v/>
      </c>
      <c r="C209">
        <f>MONTH(A209)</f>
        <v/>
      </c>
      <c r="D209">
        <f>TEXT(A209,"mmm")</f>
        <v/>
      </c>
      <c r="E209">
        <f>ROUNDUP(C209/3,0)</f>
        <v/>
      </c>
      <c r="F209">
        <f>YEAR(A209)</f>
        <v/>
      </c>
      <c r="G209">
        <f>F209&amp;"-"&amp;TEXT(C209,"00")</f>
        <v/>
      </c>
    </row>
    <row r="210">
      <c r="A210" s="170">
        <f>A209+7</f>
        <v/>
      </c>
      <c r="B210">
        <f>INT((A210-DATE(YEAR(A210),1,1))/7)+1</f>
        <v/>
      </c>
      <c r="C210">
        <f>MONTH(A210)</f>
        <v/>
      </c>
      <c r="D210">
        <f>TEXT(A210,"mmm")</f>
        <v/>
      </c>
      <c r="E210">
        <f>ROUNDUP(C210/3,0)</f>
        <v/>
      </c>
      <c r="F210">
        <f>YEAR(A210)</f>
        <v/>
      </c>
      <c r="G210">
        <f>F210&amp;"-"&amp;TEXT(C210,"00")</f>
        <v/>
      </c>
    </row>
    <row r="211">
      <c r="A211" s="170">
        <f>A210+7</f>
        <v/>
      </c>
      <c r="B211">
        <f>INT((A211-DATE(YEAR(A211),1,1))/7)+1</f>
        <v/>
      </c>
      <c r="C211">
        <f>MONTH(A211)</f>
        <v/>
      </c>
      <c r="D211">
        <f>TEXT(A211,"mmm")</f>
        <v/>
      </c>
      <c r="E211">
        <f>ROUNDUP(C211/3,0)</f>
        <v/>
      </c>
      <c r="F211">
        <f>YEAR(A211)</f>
        <v/>
      </c>
      <c r="G211">
        <f>F211&amp;"-"&amp;TEXT(C211,"00")</f>
        <v/>
      </c>
    </row>
    <row r="212">
      <c r="A212" s="170">
        <f>A211+7</f>
        <v/>
      </c>
      <c r="B212">
        <f>INT((A212-DATE(YEAR(A212),1,1))/7)+1</f>
        <v/>
      </c>
      <c r="C212">
        <f>MONTH(A212)</f>
        <v/>
      </c>
      <c r="D212">
        <f>TEXT(A212,"mmm")</f>
        <v/>
      </c>
      <c r="E212">
        <f>ROUNDUP(C212/3,0)</f>
        <v/>
      </c>
      <c r="F212">
        <f>YEAR(A212)</f>
        <v/>
      </c>
      <c r="G212">
        <f>F212&amp;"-"&amp;TEXT(C212,"00")</f>
        <v/>
      </c>
    </row>
    <row r="213">
      <c r="A213" s="170">
        <f>A212+7</f>
        <v/>
      </c>
      <c r="B213">
        <f>INT((A213-DATE(YEAR(A213),1,1))/7)+1</f>
        <v/>
      </c>
      <c r="C213">
        <f>MONTH(A213)</f>
        <v/>
      </c>
      <c r="D213">
        <f>TEXT(A213,"mmm")</f>
        <v/>
      </c>
      <c r="E213">
        <f>ROUNDUP(C213/3,0)</f>
        <v/>
      </c>
      <c r="F213">
        <f>YEAR(A213)</f>
        <v/>
      </c>
      <c r="G213">
        <f>F213&amp;"-"&amp;TEXT(C213,"00")</f>
        <v/>
      </c>
    </row>
    <row r="214">
      <c r="A214" s="170">
        <f>A213+7</f>
        <v/>
      </c>
      <c r="B214">
        <f>INT((A214-DATE(YEAR(A214),1,1))/7)+1</f>
        <v/>
      </c>
      <c r="C214">
        <f>MONTH(A214)</f>
        <v/>
      </c>
      <c r="D214">
        <f>TEXT(A214,"mmm")</f>
        <v/>
      </c>
      <c r="E214">
        <f>ROUNDUP(C214/3,0)</f>
        <v/>
      </c>
      <c r="F214">
        <f>YEAR(A214)</f>
        <v/>
      </c>
      <c r="G214">
        <f>F214&amp;"-"&amp;TEXT(C214,"00")</f>
        <v/>
      </c>
    </row>
    <row r="215">
      <c r="A215" s="170">
        <f>A214+7</f>
        <v/>
      </c>
      <c r="B215">
        <f>INT((A215-DATE(YEAR(A215),1,1))/7)+1</f>
        <v/>
      </c>
      <c r="C215">
        <f>MONTH(A215)</f>
        <v/>
      </c>
      <c r="D215">
        <f>TEXT(A215,"mmm")</f>
        <v/>
      </c>
      <c r="E215">
        <f>ROUNDUP(C215/3,0)</f>
        <v/>
      </c>
      <c r="F215">
        <f>YEAR(A215)</f>
        <v/>
      </c>
      <c r="G215">
        <f>F215&amp;"-"&amp;TEXT(C215,"00")</f>
        <v/>
      </c>
    </row>
    <row r="216">
      <c r="A216" s="170">
        <f>A215+7</f>
        <v/>
      </c>
      <c r="B216">
        <f>INT((A216-DATE(YEAR(A216),1,1))/7)+1</f>
        <v/>
      </c>
      <c r="C216">
        <f>MONTH(A216)</f>
        <v/>
      </c>
      <c r="D216">
        <f>TEXT(A216,"mmm")</f>
        <v/>
      </c>
      <c r="E216">
        <f>ROUNDUP(C216/3,0)</f>
        <v/>
      </c>
      <c r="F216">
        <f>YEAR(A216)</f>
        <v/>
      </c>
      <c r="G216">
        <f>F216&amp;"-"&amp;TEXT(C216,"00")</f>
        <v/>
      </c>
    </row>
    <row r="217">
      <c r="A217" s="170">
        <f>A216+7</f>
        <v/>
      </c>
      <c r="B217">
        <f>INT((A217-DATE(YEAR(A217),1,1))/7)+1</f>
        <v/>
      </c>
      <c r="C217">
        <f>MONTH(A217)</f>
        <v/>
      </c>
      <c r="D217">
        <f>TEXT(A217,"mmm")</f>
        <v/>
      </c>
      <c r="E217">
        <f>ROUNDUP(C217/3,0)</f>
        <v/>
      </c>
      <c r="F217">
        <f>YEAR(A217)</f>
        <v/>
      </c>
      <c r="G217">
        <f>F217&amp;"-"&amp;TEXT(C217,"00")</f>
        <v/>
      </c>
    </row>
    <row r="218">
      <c r="A218" s="170">
        <f>A217+7</f>
        <v/>
      </c>
      <c r="B218">
        <f>INT((A218-DATE(YEAR(A218),1,1))/7)+1</f>
        <v/>
      </c>
      <c r="C218">
        <f>MONTH(A218)</f>
        <v/>
      </c>
      <c r="D218">
        <f>TEXT(A218,"mmm")</f>
        <v/>
      </c>
      <c r="E218">
        <f>ROUNDUP(C218/3,0)</f>
        <v/>
      </c>
      <c r="F218">
        <f>YEAR(A218)</f>
        <v/>
      </c>
      <c r="G218">
        <f>F218&amp;"-"&amp;TEXT(C218,"00")</f>
        <v/>
      </c>
    </row>
    <row r="219">
      <c r="A219" s="170">
        <f>A218+7</f>
        <v/>
      </c>
      <c r="B219">
        <f>INT((A219-DATE(YEAR(A219),1,1))/7)+1</f>
        <v/>
      </c>
      <c r="C219">
        <f>MONTH(A219)</f>
        <v/>
      </c>
      <c r="D219">
        <f>TEXT(A219,"mmm")</f>
        <v/>
      </c>
      <c r="E219">
        <f>ROUNDUP(C219/3,0)</f>
        <v/>
      </c>
      <c r="F219">
        <f>YEAR(A219)</f>
        <v/>
      </c>
      <c r="G219">
        <f>F219&amp;"-"&amp;TEXT(C219,"00")</f>
        <v/>
      </c>
    </row>
    <row r="220">
      <c r="A220" s="170">
        <f>A219+7</f>
        <v/>
      </c>
      <c r="B220">
        <f>INT((A220-DATE(YEAR(A220),1,1))/7)+1</f>
        <v/>
      </c>
      <c r="C220">
        <f>MONTH(A220)</f>
        <v/>
      </c>
      <c r="D220">
        <f>TEXT(A220,"mmm")</f>
        <v/>
      </c>
      <c r="E220">
        <f>ROUNDUP(C220/3,0)</f>
        <v/>
      </c>
      <c r="F220">
        <f>YEAR(A220)</f>
        <v/>
      </c>
      <c r="G220">
        <f>F220&amp;"-"&amp;TEXT(C220,"00")</f>
        <v/>
      </c>
    </row>
    <row r="221">
      <c r="A221" s="170">
        <f>A220+7</f>
        <v/>
      </c>
      <c r="B221">
        <f>INT((A221-DATE(YEAR(A221),1,1))/7)+1</f>
        <v/>
      </c>
      <c r="C221">
        <f>MONTH(A221)</f>
        <v/>
      </c>
      <c r="D221">
        <f>TEXT(A221,"mmm")</f>
        <v/>
      </c>
      <c r="E221">
        <f>ROUNDUP(C221/3,0)</f>
        <v/>
      </c>
      <c r="F221">
        <f>YEAR(A221)</f>
        <v/>
      </c>
      <c r="G221">
        <f>F221&amp;"-"&amp;TEXT(C221,"00")</f>
        <v/>
      </c>
    </row>
    <row r="222">
      <c r="A222" s="170">
        <f>A221+7</f>
        <v/>
      </c>
      <c r="B222">
        <f>INT((A222-DATE(YEAR(A222),1,1))/7)+1</f>
        <v/>
      </c>
      <c r="C222">
        <f>MONTH(A222)</f>
        <v/>
      </c>
      <c r="D222">
        <f>TEXT(A222,"mmm")</f>
        <v/>
      </c>
      <c r="E222">
        <f>ROUNDUP(C222/3,0)</f>
        <v/>
      </c>
      <c r="F222">
        <f>YEAR(A222)</f>
        <v/>
      </c>
      <c r="G222">
        <f>F222&amp;"-"&amp;TEXT(C222,"00")</f>
        <v/>
      </c>
    </row>
    <row r="223">
      <c r="A223" s="170">
        <f>A222+7</f>
        <v/>
      </c>
      <c r="B223">
        <f>INT((A223-DATE(YEAR(A223),1,1))/7)+1</f>
        <v/>
      </c>
      <c r="C223">
        <f>MONTH(A223)</f>
        <v/>
      </c>
      <c r="D223">
        <f>TEXT(A223,"mmm")</f>
        <v/>
      </c>
      <c r="E223">
        <f>ROUNDUP(C223/3,0)</f>
        <v/>
      </c>
      <c r="F223">
        <f>YEAR(A223)</f>
        <v/>
      </c>
      <c r="G223">
        <f>F223&amp;"-"&amp;TEXT(C223,"00")</f>
        <v/>
      </c>
    </row>
    <row r="224">
      <c r="A224" s="170">
        <f>A223+7</f>
        <v/>
      </c>
      <c r="B224">
        <f>INT((A224-DATE(YEAR(A224),1,1))/7)+1</f>
        <v/>
      </c>
      <c r="C224">
        <f>MONTH(A224)</f>
        <v/>
      </c>
      <c r="D224">
        <f>TEXT(A224,"mmm")</f>
        <v/>
      </c>
      <c r="E224">
        <f>ROUNDUP(C224/3,0)</f>
        <v/>
      </c>
      <c r="F224">
        <f>YEAR(A224)</f>
        <v/>
      </c>
      <c r="G224">
        <f>F224&amp;"-"&amp;TEXT(C224,"00")</f>
        <v/>
      </c>
    </row>
    <row r="225">
      <c r="A225" s="170">
        <f>A224+7</f>
        <v/>
      </c>
      <c r="B225">
        <f>INT((A225-DATE(YEAR(A225),1,1))/7)+1</f>
        <v/>
      </c>
      <c r="C225">
        <f>MONTH(A225)</f>
        <v/>
      </c>
      <c r="D225">
        <f>TEXT(A225,"mmm")</f>
        <v/>
      </c>
      <c r="E225">
        <f>ROUNDUP(C225/3,0)</f>
        <v/>
      </c>
      <c r="F225">
        <f>YEAR(A225)</f>
        <v/>
      </c>
      <c r="G225">
        <f>F225&amp;"-"&amp;TEXT(C225,"00")</f>
        <v/>
      </c>
    </row>
    <row r="226">
      <c r="A226" s="170">
        <f>A225+7</f>
        <v/>
      </c>
      <c r="B226">
        <f>INT((A226-DATE(YEAR(A226),1,1))/7)+1</f>
        <v/>
      </c>
      <c r="C226">
        <f>MONTH(A226)</f>
        <v/>
      </c>
      <c r="D226">
        <f>TEXT(A226,"mmm")</f>
        <v/>
      </c>
      <c r="E226">
        <f>ROUNDUP(C226/3,0)</f>
        <v/>
      </c>
      <c r="F226">
        <f>YEAR(A226)</f>
        <v/>
      </c>
      <c r="G226">
        <f>F226&amp;"-"&amp;TEXT(C226,"00")</f>
        <v/>
      </c>
    </row>
    <row r="227">
      <c r="A227" s="170">
        <f>A226+7</f>
        <v/>
      </c>
      <c r="B227">
        <f>INT((A227-DATE(YEAR(A227),1,1))/7)+1</f>
        <v/>
      </c>
      <c r="C227">
        <f>MONTH(A227)</f>
        <v/>
      </c>
      <c r="D227">
        <f>TEXT(A227,"mmm")</f>
        <v/>
      </c>
      <c r="E227">
        <f>ROUNDUP(C227/3,0)</f>
        <v/>
      </c>
      <c r="F227">
        <f>YEAR(A227)</f>
        <v/>
      </c>
      <c r="G227">
        <f>F227&amp;"-"&amp;TEXT(C227,"00")</f>
        <v/>
      </c>
    </row>
    <row r="228">
      <c r="A228" s="170">
        <f>A227+7</f>
        <v/>
      </c>
      <c r="B228">
        <f>INT((A228-DATE(YEAR(A228),1,1))/7)+1</f>
        <v/>
      </c>
      <c r="C228">
        <f>MONTH(A228)</f>
        <v/>
      </c>
      <c r="D228">
        <f>TEXT(A228,"mmm")</f>
        <v/>
      </c>
      <c r="E228">
        <f>ROUNDUP(C228/3,0)</f>
        <v/>
      </c>
      <c r="F228">
        <f>YEAR(A228)</f>
        <v/>
      </c>
      <c r="G228">
        <f>F228&amp;"-"&amp;TEXT(C228,"00")</f>
        <v/>
      </c>
    </row>
    <row r="229">
      <c r="A229" s="170">
        <f>A228+7</f>
        <v/>
      </c>
      <c r="B229">
        <f>INT((A229-DATE(YEAR(A229),1,1))/7)+1</f>
        <v/>
      </c>
      <c r="C229">
        <f>MONTH(A229)</f>
        <v/>
      </c>
      <c r="D229">
        <f>TEXT(A229,"mmm")</f>
        <v/>
      </c>
      <c r="E229">
        <f>ROUNDUP(C229/3,0)</f>
        <v/>
      </c>
      <c r="F229">
        <f>YEAR(A229)</f>
        <v/>
      </c>
      <c r="G229">
        <f>F229&amp;"-"&amp;TEXT(C229,"00")</f>
        <v/>
      </c>
    </row>
    <row r="230">
      <c r="A230" s="170">
        <f>A229+7</f>
        <v/>
      </c>
      <c r="B230">
        <f>INT((A230-DATE(YEAR(A230),1,1))/7)+1</f>
        <v/>
      </c>
      <c r="C230">
        <f>MONTH(A230)</f>
        <v/>
      </c>
      <c r="D230">
        <f>TEXT(A230,"mmm")</f>
        <v/>
      </c>
      <c r="E230">
        <f>ROUNDUP(C230/3,0)</f>
        <v/>
      </c>
      <c r="F230">
        <f>YEAR(A230)</f>
        <v/>
      </c>
      <c r="G230">
        <f>F230&amp;"-"&amp;TEXT(C230,"00")</f>
        <v/>
      </c>
    </row>
    <row r="231">
      <c r="A231" s="170">
        <f>A230+7</f>
        <v/>
      </c>
      <c r="B231">
        <f>INT((A231-DATE(YEAR(A231),1,1))/7)+1</f>
        <v/>
      </c>
      <c r="C231">
        <f>MONTH(A231)</f>
        <v/>
      </c>
      <c r="D231">
        <f>TEXT(A231,"mmm")</f>
        <v/>
      </c>
      <c r="E231">
        <f>ROUNDUP(C231/3,0)</f>
        <v/>
      </c>
      <c r="F231">
        <f>YEAR(A231)</f>
        <v/>
      </c>
      <c r="G231">
        <f>F231&amp;"-"&amp;TEXT(C231,"00")</f>
        <v/>
      </c>
    </row>
    <row r="232">
      <c r="A232" s="170">
        <f>A231+7</f>
        <v/>
      </c>
      <c r="B232">
        <f>INT((A232-DATE(YEAR(A232),1,1))/7)+1</f>
        <v/>
      </c>
      <c r="C232">
        <f>MONTH(A232)</f>
        <v/>
      </c>
      <c r="D232">
        <f>TEXT(A232,"mmm")</f>
        <v/>
      </c>
      <c r="E232">
        <f>ROUNDUP(C232/3,0)</f>
        <v/>
      </c>
      <c r="F232">
        <f>YEAR(A232)</f>
        <v/>
      </c>
      <c r="G232">
        <f>F232&amp;"-"&amp;TEXT(C232,"00")</f>
        <v/>
      </c>
    </row>
    <row r="233">
      <c r="A233" s="170">
        <f>A232+7</f>
        <v/>
      </c>
      <c r="B233">
        <f>INT((A233-DATE(YEAR(A233),1,1))/7)+1</f>
        <v/>
      </c>
      <c r="C233">
        <f>MONTH(A233)</f>
        <v/>
      </c>
      <c r="D233">
        <f>TEXT(A233,"mmm")</f>
        <v/>
      </c>
      <c r="E233">
        <f>ROUNDUP(C233/3,0)</f>
        <v/>
      </c>
      <c r="F233">
        <f>YEAR(A233)</f>
        <v/>
      </c>
      <c r="G233">
        <f>F233&amp;"-"&amp;TEXT(C233,"00")</f>
        <v/>
      </c>
    </row>
    <row r="234">
      <c r="A234" s="170">
        <f>A233+7</f>
        <v/>
      </c>
      <c r="B234">
        <f>INT((A234-DATE(YEAR(A234),1,1))/7)+1</f>
        <v/>
      </c>
      <c r="C234">
        <f>MONTH(A234)</f>
        <v/>
      </c>
      <c r="D234">
        <f>TEXT(A234,"mmm")</f>
        <v/>
      </c>
      <c r="E234">
        <f>ROUNDUP(C234/3,0)</f>
        <v/>
      </c>
      <c r="F234">
        <f>YEAR(A234)</f>
        <v/>
      </c>
      <c r="G234">
        <f>F234&amp;"-"&amp;TEXT(C234,"00")</f>
        <v/>
      </c>
    </row>
    <row r="235">
      <c r="A235" s="170">
        <f>A234+7</f>
        <v/>
      </c>
      <c r="B235">
        <f>INT((A235-DATE(YEAR(A235),1,1))/7)+1</f>
        <v/>
      </c>
      <c r="C235">
        <f>MONTH(A235)</f>
        <v/>
      </c>
      <c r="D235">
        <f>TEXT(A235,"mmm")</f>
        <v/>
      </c>
      <c r="E235">
        <f>ROUNDUP(C235/3,0)</f>
        <v/>
      </c>
      <c r="F235">
        <f>YEAR(A235)</f>
        <v/>
      </c>
      <c r="G235">
        <f>F235&amp;"-"&amp;TEXT(C235,"00")</f>
        <v/>
      </c>
    </row>
    <row r="236">
      <c r="A236" s="170">
        <f>A235+7</f>
        <v/>
      </c>
      <c r="B236">
        <f>INT((A236-DATE(YEAR(A236),1,1))/7)+1</f>
        <v/>
      </c>
      <c r="C236">
        <f>MONTH(A236)</f>
        <v/>
      </c>
      <c r="D236">
        <f>TEXT(A236,"mmm")</f>
        <v/>
      </c>
      <c r="E236">
        <f>ROUNDUP(C236/3,0)</f>
        <v/>
      </c>
      <c r="F236">
        <f>YEAR(A236)</f>
        <v/>
      </c>
      <c r="G236">
        <f>F236&amp;"-"&amp;TEXT(C236,"00")</f>
        <v/>
      </c>
    </row>
    <row r="237">
      <c r="A237" s="170">
        <f>A236+7</f>
        <v/>
      </c>
      <c r="B237">
        <f>INT((A237-DATE(YEAR(A237),1,1))/7)+1</f>
        <v/>
      </c>
      <c r="C237">
        <f>MONTH(A237)</f>
        <v/>
      </c>
      <c r="D237">
        <f>TEXT(A237,"mmm")</f>
        <v/>
      </c>
      <c r="E237">
        <f>ROUNDUP(C237/3,0)</f>
        <v/>
      </c>
      <c r="F237">
        <f>YEAR(A237)</f>
        <v/>
      </c>
      <c r="G237">
        <f>F237&amp;"-"&amp;TEXT(C237,"00")</f>
        <v/>
      </c>
    </row>
    <row r="238">
      <c r="A238" s="170">
        <f>A237+7</f>
        <v/>
      </c>
      <c r="B238">
        <f>INT((A238-DATE(YEAR(A238),1,1))/7)+1</f>
        <v/>
      </c>
      <c r="C238">
        <f>MONTH(A238)</f>
        <v/>
      </c>
      <c r="D238">
        <f>TEXT(A238,"mmm")</f>
        <v/>
      </c>
      <c r="E238">
        <f>ROUNDUP(C238/3,0)</f>
        <v/>
      </c>
      <c r="F238">
        <f>YEAR(A238)</f>
        <v/>
      </c>
      <c r="G238">
        <f>F238&amp;"-"&amp;TEXT(C238,"00")</f>
        <v/>
      </c>
    </row>
    <row r="239">
      <c r="A239" s="170">
        <f>A238+7</f>
        <v/>
      </c>
      <c r="B239">
        <f>INT((A239-DATE(YEAR(A239),1,1))/7)+1</f>
        <v/>
      </c>
      <c r="C239">
        <f>MONTH(A239)</f>
        <v/>
      </c>
      <c r="D239">
        <f>TEXT(A239,"mmm")</f>
        <v/>
      </c>
      <c r="E239">
        <f>ROUNDUP(C239/3,0)</f>
        <v/>
      </c>
      <c r="F239">
        <f>YEAR(A239)</f>
        <v/>
      </c>
      <c r="G239">
        <f>F239&amp;"-"&amp;TEXT(C239,"00")</f>
        <v/>
      </c>
    </row>
    <row r="240">
      <c r="A240" s="170">
        <f>A239+7</f>
        <v/>
      </c>
      <c r="B240">
        <f>INT((A240-DATE(YEAR(A240),1,1))/7)+1</f>
        <v/>
      </c>
      <c r="C240">
        <f>MONTH(A240)</f>
        <v/>
      </c>
      <c r="D240">
        <f>TEXT(A240,"mmm")</f>
        <v/>
      </c>
      <c r="E240">
        <f>ROUNDUP(C240/3,0)</f>
        <v/>
      </c>
      <c r="F240">
        <f>YEAR(A240)</f>
        <v/>
      </c>
      <c r="G240">
        <f>F240&amp;"-"&amp;TEXT(C240,"00")</f>
        <v/>
      </c>
    </row>
    <row r="241">
      <c r="A241" s="170">
        <f>A240+7</f>
        <v/>
      </c>
      <c r="B241">
        <f>INT((A241-DATE(YEAR(A241),1,1))/7)+1</f>
        <v/>
      </c>
      <c r="C241">
        <f>MONTH(A241)</f>
        <v/>
      </c>
      <c r="D241">
        <f>TEXT(A241,"mmm")</f>
        <v/>
      </c>
      <c r="E241">
        <f>ROUNDUP(C241/3,0)</f>
        <v/>
      </c>
      <c r="F241">
        <f>YEAR(A241)</f>
        <v/>
      </c>
      <c r="G241">
        <f>F241&amp;"-"&amp;TEXT(C241,"00")</f>
        <v/>
      </c>
    </row>
    <row r="242">
      <c r="A242" s="170">
        <f>A241+7</f>
        <v/>
      </c>
      <c r="B242">
        <f>INT((A242-DATE(YEAR(A242),1,1))/7)+1</f>
        <v/>
      </c>
      <c r="C242">
        <f>MONTH(A242)</f>
        <v/>
      </c>
      <c r="D242">
        <f>TEXT(A242,"mmm")</f>
        <v/>
      </c>
      <c r="E242">
        <f>ROUNDUP(C242/3,0)</f>
        <v/>
      </c>
      <c r="F242">
        <f>YEAR(A242)</f>
        <v/>
      </c>
      <c r="G242">
        <f>F242&amp;"-"&amp;TEXT(C242,"00")</f>
        <v/>
      </c>
    </row>
    <row r="243">
      <c r="A243" s="170">
        <f>A242+7</f>
        <v/>
      </c>
      <c r="B243">
        <f>INT((A243-DATE(YEAR(A243),1,1))/7)+1</f>
        <v/>
      </c>
      <c r="C243">
        <f>MONTH(A243)</f>
        <v/>
      </c>
      <c r="D243">
        <f>TEXT(A243,"mmm")</f>
        <v/>
      </c>
      <c r="E243">
        <f>ROUNDUP(C243/3,0)</f>
        <v/>
      </c>
      <c r="F243">
        <f>YEAR(A243)</f>
        <v/>
      </c>
      <c r="G243">
        <f>F243&amp;"-"&amp;TEXT(C243,"00")</f>
        <v/>
      </c>
    </row>
    <row r="244">
      <c r="A244" s="170">
        <f>A243+7</f>
        <v/>
      </c>
      <c r="B244">
        <f>INT((A244-DATE(YEAR(A244),1,1))/7)+1</f>
        <v/>
      </c>
      <c r="C244">
        <f>MONTH(A244)</f>
        <v/>
      </c>
      <c r="D244">
        <f>TEXT(A244,"mmm")</f>
        <v/>
      </c>
      <c r="E244">
        <f>ROUNDUP(C244/3,0)</f>
        <v/>
      </c>
      <c r="F244">
        <f>YEAR(A244)</f>
        <v/>
      </c>
      <c r="G244">
        <f>F244&amp;"-"&amp;TEXT(C244,"00")</f>
        <v/>
      </c>
    </row>
    <row r="245">
      <c r="A245" s="170">
        <f>A244+7</f>
        <v/>
      </c>
      <c r="B245">
        <f>INT((A245-DATE(YEAR(A245),1,1))/7)+1</f>
        <v/>
      </c>
      <c r="C245">
        <f>MONTH(A245)</f>
        <v/>
      </c>
      <c r="D245">
        <f>TEXT(A245,"mmm")</f>
        <v/>
      </c>
      <c r="E245">
        <f>ROUNDUP(C245/3,0)</f>
        <v/>
      </c>
      <c r="F245">
        <f>YEAR(A245)</f>
        <v/>
      </c>
      <c r="G245">
        <f>F245&amp;"-"&amp;TEXT(C245,"00")</f>
        <v/>
      </c>
    </row>
    <row r="246">
      <c r="A246" s="170">
        <f>A245+7</f>
        <v/>
      </c>
      <c r="B246">
        <f>INT((A246-DATE(YEAR(A246),1,1))/7)+1</f>
        <v/>
      </c>
      <c r="C246">
        <f>MONTH(A246)</f>
        <v/>
      </c>
      <c r="D246">
        <f>TEXT(A246,"mmm")</f>
        <v/>
      </c>
      <c r="E246">
        <f>ROUNDUP(C246/3,0)</f>
        <v/>
      </c>
      <c r="F246">
        <f>YEAR(A246)</f>
        <v/>
      </c>
      <c r="G246">
        <f>F246&amp;"-"&amp;TEXT(C246,"00")</f>
        <v/>
      </c>
    </row>
    <row r="247">
      <c r="A247" s="170">
        <f>A246+7</f>
        <v/>
      </c>
      <c r="B247">
        <f>INT((A247-DATE(YEAR(A247),1,1))/7)+1</f>
        <v/>
      </c>
      <c r="C247">
        <f>MONTH(A247)</f>
        <v/>
      </c>
      <c r="D247">
        <f>TEXT(A247,"mmm")</f>
        <v/>
      </c>
      <c r="E247">
        <f>ROUNDUP(C247/3,0)</f>
        <v/>
      </c>
      <c r="F247">
        <f>YEAR(A247)</f>
        <v/>
      </c>
      <c r="G247">
        <f>F247&amp;"-"&amp;TEXT(C247,"00")</f>
        <v/>
      </c>
    </row>
    <row r="248">
      <c r="A248" s="170">
        <f>A247+7</f>
        <v/>
      </c>
      <c r="B248">
        <f>INT((A248-DATE(YEAR(A248),1,1))/7)+1</f>
        <v/>
      </c>
      <c r="C248">
        <f>MONTH(A248)</f>
        <v/>
      </c>
      <c r="D248">
        <f>TEXT(A248,"mmm")</f>
        <v/>
      </c>
      <c r="E248">
        <f>ROUNDUP(C248/3,0)</f>
        <v/>
      </c>
      <c r="F248">
        <f>YEAR(A248)</f>
        <v/>
      </c>
      <c r="G248">
        <f>F248&amp;"-"&amp;TEXT(C248,"00")</f>
        <v/>
      </c>
    </row>
    <row r="249">
      <c r="A249" s="170">
        <f>A248+7</f>
        <v/>
      </c>
      <c r="B249">
        <f>INT((A249-DATE(YEAR(A249),1,1))/7)+1</f>
        <v/>
      </c>
      <c r="C249">
        <f>MONTH(A249)</f>
        <v/>
      </c>
      <c r="D249">
        <f>TEXT(A249,"mmm")</f>
        <v/>
      </c>
      <c r="E249">
        <f>ROUNDUP(C249/3,0)</f>
        <v/>
      </c>
      <c r="F249">
        <f>YEAR(A249)</f>
        <v/>
      </c>
      <c r="G249">
        <f>F249&amp;"-"&amp;TEXT(C249,"00")</f>
        <v/>
      </c>
    </row>
    <row r="250">
      <c r="A250" s="170">
        <f>A249+7</f>
        <v/>
      </c>
      <c r="B250">
        <f>INT((A250-DATE(YEAR(A250),1,1))/7)+1</f>
        <v/>
      </c>
      <c r="C250">
        <f>MONTH(A250)</f>
        <v/>
      </c>
      <c r="D250">
        <f>TEXT(A250,"mmm")</f>
        <v/>
      </c>
      <c r="E250">
        <f>ROUNDUP(C250/3,0)</f>
        <v/>
      </c>
      <c r="F250">
        <f>YEAR(A250)</f>
        <v/>
      </c>
      <c r="G250">
        <f>F250&amp;"-"&amp;TEXT(C250,"00")</f>
        <v/>
      </c>
    </row>
    <row r="251">
      <c r="A251" s="170">
        <f>A250+7</f>
        <v/>
      </c>
      <c r="B251">
        <f>INT((A251-DATE(YEAR(A251),1,1))/7)+1</f>
        <v/>
      </c>
      <c r="C251">
        <f>MONTH(A251)</f>
        <v/>
      </c>
      <c r="D251">
        <f>TEXT(A251,"mmm")</f>
        <v/>
      </c>
      <c r="E251">
        <f>ROUNDUP(C251/3,0)</f>
        <v/>
      </c>
      <c r="F251">
        <f>YEAR(A251)</f>
        <v/>
      </c>
      <c r="G251">
        <f>F251&amp;"-"&amp;TEXT(C251,"00")</f>
        <v/>
      </c>
    </row>
    <row r="252">
      <c r="A252" s="170">
        <f>A251+7</f>
        <v/>
      </c>
      <c r="B252">
        <f>INT((A252-DATE(YEAR(A252),1,1))/7)+1</f>
        <v/>
      </c>
      <c r="C252">
        <f>MONTH(A252)</f>
        <v/>
      </c>
      <c r="D252">
        <f>TEXT(A252,"mmm")</f>
        <v/>
      </c>
      <c r="E252">
        <f>ROUNDUP(C252/3,0)</f>
        <v/>
      </c>
      <c r="F252">
        <f>YEAR(A252)</f>
        <v/>
      </c>
      <c r="G252">
        <f>F252&amp;"-"&amp;TEXT(C252,"00")</f>
        <v/>
      </c>
    </row>
    <row r="253">
      <c r="A253" s="170">
        <f>A252+7</f>
        <v/>
      </c>
      <c r="B253">
        <f>INT((A253-DATE(YEAR(A253),1,1))/7)+1</f>
        <v/>
      </c>
      <c r="C253">
        <f>MONTH(A253)</f>
        <v/>
      </c>
      <c r="D253">
        <f>TEXT(A253,"mmm")</f>
        <v/>
      </c>
      <c r="E253">
        <f>ROUNDUP(C253/3,0)</f>
        <v/>
      </c>
      <c r="F253">
        <f>YEAR(A253)</f>
        <v/>
      </c>
      <c r="G253">
        <f>F253&amp;"-"&amp;TEXT(C253,"00")</f>
        <v/>
      </c>
    </row>
    <row r="254">
      <c r="A254" s="170">
        <f>A253+7</f>
        <v/>
      </c>
      <c r="B254">
        <f>INT((A254-DATE(YEAR(A254),1,1))/7)+1</f>
        <v/>
      </c>
      <c r="C254">
        <f>MONTH(A254)</f>
        <v/>
      </c>
      <c r="D254">
        <f>TEXT(A254,"mmm")</f>
        <v/>
      </c>
      <c r="E254">
        <f>ROUNDUP(C254/3,0)</f>
        <v/>
      </c>
      <c r="F254">
        <f>YEAR(A254)</f>
        <v/>
      </c>
      <c r="G254">
        <f>F254&amp;"-"&amp;TEXT(C254,"00")</f>
        <v/>
      </c>
    </row>
    <row r="255">
      <c r="A255" s="170">
        <f>A254+7</f>
        <v/>
      </c>
      <c r="B255">
        <f>INT((A255-DATE(YEAR(A255),1,1))/7)+1</f>
        <v/>
      </c>
      <c r="C255">
        <f>MONTH(A255)</f>
        <v/>
      </c>
      <c r="D255">
        <f>TEXT(A255,"mmm")</f>
        <v/>
      </c>
      <c r="E255">
        <f>ROUNDUP(C255/3,0)</f>
        <v/>
      </c>
      <c r="F255">
        <f>YEAR(A255)</f>
        <v/>
      </c>
      <c r="G255">
        <f>F255&amp;"-"&amp;TEXT(C255,"00")</f>
        <v/>
      </c>
    </row>
    <row r="256">
      <c r="A256" s="170">
        <f>A255+7</f>
        <v/>
      </c>
      <c r="B256">
        <f>INT((A256-DATE(YEAR(A256),1,1))/7)+1</f>
        <v/>
      </c>
      <c r="C256">
        <f>MONTH(A256)</f>
        <v/>
      </c>
      <c r="D256">
        <f>TEXT(A256,"mmm")</f>
        <v/>
      </c>
      <c r="E256">
        <f>ROUNDUP(C256/3,0)</f>
        <v/>
      </c>
      <c r="F256">
        <f>YEAR(A256)</f>
        <v/>
      </c>
      <c r="G256">
        <f>F256&amp;"-"&amp;TEXT(C256,"00")</f>
        <v/>
      </c>
    </row>
    <row r="257">
      <c r="A257" s="170">
        <f>A256+7</f>
        <v/>
      </c>
      <c r="B257">
        <f>INT((A257-DATE(YEAR(A257),1,1))/7)+1</f>
        <v/>
      </c>
      <c r="C257">
        <f>MONTH(A257)</f>
        <v/>
      </c>
      <c r="D257">
        <f>TEXT(A257,"mmm")</f>
        <v/>
      </c>
      <c r="E257">
        <f>ROUNDUP(C257/3,0)</f>
        <v/>
      </c>
      <c r="F257">
        <f>YEAR(A257)</f>
        <v/>
      </c>
      <c r="G257">
        <f>F257&amp;"-"&amp;TEXT(C257,"00")</f>
        <v/>
      </c>
    </row>
    <row r="258">
      <c r="A258" s="170">
        <f>A257+7</f>
        <v/>
      </c>
      <c r="B258">
        <f>INT((A258-DATE(YEAR(A258),1,1))/7)+1</f>
        <v/>
      </c>
      <c r="C258">
        <f>MONTH(A258)</f>
        <v/>
      </c>
      <c r="D258">
        <f>TEXT(A258,"mmm")</f>
        <v/>
      </c>
      <c r="E258">
        <f>ROUNDUP(C258/3,0)</f>
        <v/>
      </c>
      <c r="F258">
        <f>YEAR(A258)</f>
        <v/>
      </c>
      <c r="G258">
        <f>F258&amp;"-"&amp;TEXT(C258,"00")</f>
        <v/>
      </c>
    </row>
    <row r="259">
      <c r="A259" s="170">
        <f>A258+7</f>
        <v/>
      </c>
      <c r="B259">
        <f>INT((A259-DATE(YEAR(A259),1,1))/7)+1</f>
        <v/>
      </c>
      <c r="C259">
        <f>MONTH(A259)</f>
        <v/>
      </c>
      <c r="D259">
        <f>TEXT(A259,"mmm")</f>
        <v/>
      </c>
      <c r="E259">
        <f>ROUNDUP(C259/3,0)</f>
        <v/>
      </c>
      <c r="F259">
        <f>YEAR(A259)</f>
        <v/>
      </c>
      <c r="G259">
        <f>F259&amp;"-"&amp;TEXT(C259,"00")</f>
        <v/>
      </c>
    </row>
    <row r="260">
      <c r="A260" s="170">
        <f>A259+7</f>
        <v/>
      </c>
      <c r="B260">
        <f>INT((A260-DATE(YEAR(A260),1,1))/7)+1</f>
        <v/>
      </c>
      <c r="C260">
        <f>MONTH(A260)</f>
        <v/>
      </c>
      <c r="D260">
        <f>TEXT(A260,"mmm")</f>
        <v/>
      </c>
      <c r="E260">
        <f>ROUNDUP(C260/3,0)</f>
        <v/>
      </c>
      <c r="F260">
        <f>YEAR(A260)</f>
        <v/>
      </c>
      <c r="G260">
        <f>F260&amp;"-"&amp;TEXT(C260,"00")</f>
        <v/>
      </c>
    </row>
    <row r="261">
      <c r="A261" s="170">
        <f>A260+7</f>
        <v/>
      </c>
      <c r="B261">
        <f>INT((A261-DATE(YEAR(A261),1,1))/7)+1</f>
        <v/>
      </c>
      <c r="C261">
        <f>MONTH(A261)</f>
        <v/>
      </c>
      <c r="D261">
        <f>TEXT(A261,"mmm")</f>
        <v/>
      </c>
      <c r="E261">
        <f>ROUNDUP(C261/3,0)</f>
        <v/>
      </c>
      <c r="F261">
        <f>YEAR(A261)</f>
        <v/>
      </c>
      <c r="G261">
        <f>F261&amp;"-"&amp;TEXT(C261,"00")</f>
        <v/>
      </c>
    </row>
    <row r="262">
      <c r="A262" s="170">
        <f>A261+7</f>
        <v/>
      </c>
      <c r="B262">
        <f>INT((A262-DATE(YEAR(A262),1,1))/7)+1</f>
        <v/>
      </c>
      <c r="C262">
        <f>MONTH(A262)</f>
        <v/>
      </c>
      <c r="D262">
        <f>TEXT(A262,"mmm")</f>
        <v/>
      </c>
      <c r="E262">
        <f>ROUNDUP(C262/3,0)</f>
        <v/>
      </c>
      <c r="F262">
        <f>YEAR(A262)</f>
        <v/>
      </c>
      <c r="G262">
        <f>F262&amp;"-"&amp;TEXT(C262,"00")</f>
        <v/>
      </c>
    </row>
    <row r="263">
      <c r="A263" s="170">
        <f>A262+7</f>
        <v/>
      </c>
      <c r="B263">
        <f>INT((A263-DATE(YEAR(A263),1,1))/7)+1</f>
        <v/>
      </c>
      <c r="C263">
        <f>MONTH(A263)</f>
        <v/>
      </c>
      <c r="D263">
        <f>TEXT(A263,"mmm")</f>
        <v/>
      </c>
      <c r="E263">
        <f>ROUNDUP(C263/3,0)</f>
        <v/>
      </c>
      <c r="F263">
        <f>YEAR(A263)</f>
        <v/>
      </c>
      <c r="G263">
        <f>F263&amp;"-"&amp;TEXT(C263,"00")</f>
        <v/>
      </c>
    </row>
    <row r="264">
      <c r="A264" s="170">
        <f>A263+7</f>
        <v/>
      </c>
      <c r="B264">
        <f>INT((A264-DATE(YEAR(A264),1,1))/7)+1</f>
        <v/>
      </c>
      <c r="C264">
        <f>MONTH(A264)</f>
        <v/>
      </c>
      <c r="D264">
        <f>TEXT(A264,"mmm")</f>
        <v/>
      </c>
      <c r="E264">
        <f>ROUNDUP(C264/3,0)</f>
        <v/>
      </c>
      <c r="F264">
        <f>YEAR(A264)</f>
        <v/>
      </c>
      <c r="G264">
        <f>F264&amp;"-"&amp;TEXT(C264,"00")</f>
        <v/>
      </c>
    </row>
    <row r="265">
      <c r="A265" s="170">
        <f>A264+7</f>
        <v/>
      </c>
      <c r="B265">
        <f>INT((A265-DATE(YEAR(A265),1,1))/7)+1</f>
        <v/>
      </c>
      <c r="C265">
        <f>MONTH(A265)</f>
        <v/>
      </c>
      <c r="D265">
        <f>TEXT(A265,"mmm")</f>
        <v/>
      </c>
      <c r="E265">
        <f>ROUNDUP(C265/3,0)</f>
        <v/>
      </c>
      <c r="F265">
        <f>YEAR(A265)</f>
        <v/>
      </c>
      <c r="G265">
        <f>F265&amp;"-"&amp;TEXT(C265,"00")</f>
        <v/>
      </c>
    </row>
    <row r="266">
      <c r="A266" s="170">
        <f>A265+7</f>
        <v/>
      </c>
      <c r="B266">
        <f>INT((A266-DATE(YEAR(A266),1,1))/7)+1</f>
        <v/>
      </c>
      <c r="C266">
        <f>MONTH(A266)</f>
        <v/>
      </c>
      <c r="D266">
        <f>TEXT(A266,"mmm")</f>
        <v/>
      </c>
      <c r="E266">
        <f>ROUNDUP(C266/3,0)</f>
        <v/>
      </c>
      <c r="F266">
        <f>YEAR(A266)</f>
        <v/>
      </c>
      <c r="G266">
        <f>F266&amp;"-"&amp;TEXT(C266,"00")</f>
        <v/>
      </c>
    </row>
    <row r="267">
      <c r="A267" s="170">
        <f>A266+7</f>
        <v/>
      </c>
      <c r="B267">
        <f>INT((A267-DATE(YEAR(A267),1,1))/7)+1</f>
        <v/>
      </c>
      <c r="C267">
        <f>MONTH(A267)</f>
        <v/>
      </c>
      <c r="D267">
        <f>TEXT(A267,"mmm")</f>
        <v/>
      </c>
      <c r="E267">
        <f>ROUNDUP(C267/3,0)</f>
        <v/>
      </c>
      <c r="F267">
        <f>YEAR(A267)</f>
        <v/>
      </c>
      <c r="G267">
        <f>F267&amp;"-"&amp;TEXT(C267,"00")</f>
        <v/>
      </c>
    </row>
    <row r="268">
      <c r="A268" s="170">
        <f>A267+7</f>
        <v/>
      </c>
      <c r="B268">
        <f>INT((A268-DATE(YEAR(A268),1,1))/7)+1</f>
        <v/>
      </c>
      <c r="C268">
        <f>MONTH(A268)</f>
        <v/>
      </c>
      <c r="D268">
        <f>TEXT(A268,"mmm")</f>
        <v/>
      </c>
      <c r="E268">
        <f>ROUNDUP(C268/3,0)</f>
        <v/>
      </c>
      <c r="F268">
        <f>YEAR(A268)</f>
        <v/>
      </c>
      <c r="G268">
        <f>F268&amp;"-"&amp;TEXT(C268,"00")</f>
        <v/>
      </c>
    </row>
    <row r="269">
      <c r="A269" s="170">
        <f>A268+7</f>
        <v/>
      </c>
      <c r="B269">
        <f>INT((A269-DATE(YEAR(A269),1,1))/7)+1</f>
        <v/>
      </c>
      <c r="C269">
        <f>MONTH(A269)</f>
        <v/>
      </c>
      <c r="D269">
        <f>TEXT(A269,"mmm")</f>
        <v/>
      </c>
      <c r="E269">
        <f>ROUNDUP(C269/3,0)</f>
        <v/>
      </c>
      <c r="F269">
        <f>YEAR(A269)</f>
        <v/>
      </c>
      <c r="G269">
        <f>F269&amp;"-"&amp;TEXT(C269,"00")</f>
        <v/>
      </c>
    </row>
    <row r="270">
      <c r="A270" s="170">
        <f>A269+7</f>
        <v/>
      </c>
      <c r="B270">
        <f>INT((A270-DATE(YEAR(A270),1,1))/7)+1</f>
        <v/>
      </c>
      <c r="C270">
        <f>MONTH(A270)</f>
        <v/>
      </c>
      <c r="D270">
        <f>TEXT(A270,"mmm")</f>
        <v/>
      </c>
      <c r="E270">
        <f>ROUNDUP(C270/3,0)</f>
        <v/>
      </c>
      <c r="F270">
        <f>YEAR(A270)</f>
        <v/>
      </c>
      <c r="G270">
        <f>F270&amp;"-"&amp;TEXT(C270,"00")</f>
        <v/>
      </c>
    </row>
    <row r="271">
      <c r="A271" s="170">
        <f>A270+7</f>
        <v/>
      </c>
      <c r="B271">
        <f>INT((A271-DATE(YEAR(A271),1,1))/7)+1</f>
        <v/>
      </c>
      <c r="C271">
        <f>MONTH(A271)</f>
        <v/>
      </c>
      <c r="D271">
        <f>TEXT(A271,"mmm")</f>
        <v/>
      </c>
      <c r="E271">
        <f>ROUNDUP(C271/3,0)</f>
        <v/>
      </c>
      <c r="F271">
        <f>YEAR(A271)</f>
        <v/>
      </c>
      <c r="G271">
        <f>F271&amp;"-"&amp;TEXT(C271,"00")</f>
        <v/>
      </c>
    </row>
    <row r="272">
      <c r="A272" s="170">
        <f>A271+7</f>
        <v/>
      </c>
      <c r="B272">
        <f>INT((A272-DATE(YEAR(A272),1,1))/7)+1</f>
        <v/>
      </c>
      <c r="C272">
        <f>MONTH(A272)</f>
        <v/>
      </c>
      <c r="D272">
        <f>TEXT(A272,"mmm")</f>
        <v/>
      </c>
      <c r="E272">
        <f>ROUNDUP(C272/3,0)</f>
        <v/>
      </c>
      <c r="F272">
        <f>YEAR(A272)</f>
        <v/>
      </c>
      <c r="G272">
        <f>F272&amp;"-"&amp;TEXT(C272,"00")</f>
        <v/>
      </c>
    </row>
    <row r="273">
      <c r="A273" s="170">
        <f>A272+7</f>
        <v/>
      </c>
      <c r="B273">
        <f>INT((A273-DATE(YEAR(A273),1,1))/7)+1</f>
        <v/>
      </c>
      <c r="C273">
        <f>MONTH(A273)</f>
        <v/>
      </c>
      <c r="D273">
        <f>TEXT(A273,"mmm")</f>
        <v/>
      </c>
      <c r="E273">
        <f>ROUNDUP(C273/3,0)</f>
        <v/>
      </c>
      <c r="F273">
        <f>YEAR(A273)</f>
        <v/>
      </c>
      <c r="G273">
        <f>F273&amp;"-"&amp;TEXT(C273,"00")</f>
        <v/>
      </c>
    </row>
    <row r="274">
      <c r="A274" s="170">
        <f>A273+7</f>
        <v/>
      </c>
      <c r="B274">
        <f>INT((A274-DATE(YEAR(A274),1,1))/7)+1</f>
        <v/>
      </c>
      <c r="C274">
        <f>MONTH(A274)</f>
        <v/>
      </c>
      <c r="D274">
        <f>TEXT(A274,"mmm")</f>
        <v/>
      </c>
      <c r="E274">
        <f>ROUNDUP(C274/3,0)</f>
        <v/>
      </c>
      <c r="F274">
        <f>YEAR(A274)</f>
        <v/>
      </c>
      <c r="G274">
        <f>F274&amp;"-"&amp;TEXT(C274,"00")</f>
        <v/>
      </c>
    </row>
    <row r="275">
      <c r="A275" s="170">
        <f>A274+7</f>
        <v/>
      </c>
      <c r="B275">
        <f>INT((A275-DATE(YEAR(A275),1,1))/7)+1</f>
        <v/>
      </c>
      <c r="C275">
        <f>MONTH(A275)</f>
        <v/>
      </c>
      <c r="D275">
        <f>TEXT(A275,"mmm")</f>
        <v/>
      </c>
      <c r="E275">
        <f>ROUNDUP(C275/3,0)</f>
        <v/>
      </c>
      <c r="F275">
        <f>YEAR(A275)</f>
        <v/>
      </c>
      <c r="G275">
        <f>F275&amp;"-"&amp;TEXT(C275,"00")</f>
        <v/>
      </c>
    </row>
    <row r="276">
      <c r="A276" s="170">
        <f>A275+7</f>
        <v/>
      </c>
      <c r="B276">
        <f>INT((A276-DATE(YEAR(A276),1,1))/7)+1</f>
        <v/>
      </c>
      <c r="C276">
        <f>MONTH(A276)</f>
        <v/>
      </c>
      <c r="D276">
        <f>TEXT(A276,"mmm")</f>
        <v/>
      </c>
      <c r="E276">
        <f>ROUNDUP(C276/3,0)</f>
        <v/>
      </c>
      <c r="F276">
        <f>YEAR(A276)</f>
        <v/>
      </c>
      <c r="G276">
        <f>F276&amp;"-"&amp;TEXT(C276,"00")</f>
        <v/>
      </c>
    </row>
    <row r="277">
      <c r="A277" s="170">
        <f>A276+7</f>
        <v/>
      </c>
      <c r="B277">
        <f>INT((A277-DATE(YEAR(A277),1,1))/7)+1</f>
        <v/>
      </c>
      <c r="C277">
        <f>MONTH(A277)</f>
        <v/>
      </c>
      <c r="D277">
        <f>TEXT(A277,"mmm")</f>
        <v/>
      </c>
      <c r="E277">
        <f>ROUNDUP(C277/3,0)</f>
        <v/>
      </c>
      <c r="F277">
        <f>YEAR(A277)</f>
        <v/>
      </c>
      <c r="G277">
        <f>F277&amp;"-"&amp;TEXT(C277,"00")</f>
        <v/>
      </c>
    </row>
    <row r="278">
      <c r="A278" s="170">
        <f>A277+7</f>
        <v/>
      </c>
      <c r="B278">
        <f>INT((A278-DATE(YEAR(A278),1,1))/7)+1</f>
        <v/>
      </c>
      <c r="C278">
        <f>MONTH(A278)</f>
        <v/>
      </c>
      <c r="D278">
        <f>TEXT(A278,"mmm")</f>
        <v/>
      </c>
      <c r="E278">
        <f>ROUNDUP(C278/3,0)</f>
        <v/>
      </c>
      <c r="F278">
        <f>YEAR(A278)</f>
        <v/>
      </c>
      <c r="G278">
        <f>F278&amp;"-"&amp;TEXT(C278,"00")</f>
        <v/>
      </c>
    </row>
    <row r="279">
      <c r="A279" s="170">
        <f>A278+7</f>
        <v/>
      </c>
      <c r="B279">
        <f>INT((A279-DATE(YEAR(A279),1,1))/7)+1</f>
        <v/>
      </c>
      <c r="C279">
        <f>MONTH(A279)</f>
        <v/>
      </c>
      <c r="D279">
        <f>TEXT(A279,"mmm")</f>
        <v/>
      </c>
      <c r="E279">
        <f>ROUNDUP(C279/3,0)</f>
        <v/>
      </c>
      <c r="F279">
        <f>YEAR(A279)</f>
        <v/>
      </c>
      <c r="G279">
        <f>F279&amp;"-"&amp;TEXT(C279,"00")</f>
        <v/>
      </c>
    </row>
    <row r="280">
      <c r="A280" s="170">
        <f>A279+7</f>
        <v/>
      </c>
      <c r="B280">
        <f>INT((A280-DATE(YEAR(A280),1,1))/7)+1</f>
        <v/>
      </c>
      <c r="C280">
        <f>MONTH(A280)</f>
        <v/>
      </c>
      <c r="D280">
        <f>TEXT(A280,"mmm")</f>
        <v/>
      </c>
      <c r="E280">
        <f>ROUNDUP(C280/3,0)</f>
        <v/>
      </c>
      <c r="F280">
        <f>YEAR(A280)</f>
        <v/>
      </c>
      <c r="G280">
        <f>F280&amp;"-"&amp;TEXT(C280,"00")</f>
        <v/>
      </c>
    </row>
    <row r="281">
      <c r="A281" s="170">
        <f>A280+7</f>
        <v/>
      </c>
      <c r="B281">
        <f>INT((A281-DATE(YEAR(A281),1,1))/7)+1</f>
        <v/>
      </c>
      <c r="C281">
        <f>MONTH(A281)</f>
        <v/>
      </c>
      <c r="D281">
        <f>TEXT(A281,"mmm")</f>
        <v/>
      </c>
      <c r="E281">
        <f>ROUNDUP(C281/3,0)</f>
        <v/>
      </c>
      <c r="F281">
        <f>YEAR(A281)</f>
        <v/>
      </c>
      <c r="G281">
        <f>F281&amp;"-"&amp;TEXT(C281,"00")</f>
        <v/>
      </c>
    </row>
    <row r="282">
      <c r="A282" s="170">
        <f>A281+7</f>
        <v/>
      </c>
      <c r="B282">
        <f>INT((A282-DATE(YEAR(A282),1,1))/7)+1</f>
        <v/>
      </c>
      <c r="C282">
        <f>MONTH(A282)</f>
        <v/>
      </c>
      <c r="D282">
        <f>TEXT(A282,"mmm")</f>
        <v/>
      </c>
      <c r="E282">
        <f>ROUNDUP(C282/3,0)</f>
        <v/>
      </c>
      <c r="F282">
        <f>YEAR(A282)</f>
        <v/>
      </c>
      <c r="G282">
        <f>F282&amp;"-"&amp;TEXT(C282,"00")</f>
        <v/>
      </c>
    </row>
    <row r="283">
      <c r="A283" s="170">
        <f>A282+7</f>
        <v/>
      </c>
      <c r="B283">
        <f>INT((A283-DATE(YEAR(A283),1,1))/7)+1</f>
        <v/>
      </c>
      <c r="C283">
        <f>MONTH(A283)</f>
        <v/>
      </c>
      <c r="D283">
        <f>TEXT(A283,"mmm")</f>
        <v/>
      </c>
      <c r="E283">
        <f>ROUNDUP(C283/3,0)</f>
        <v/>
      </c>
      <c r="F283">
        <f>YEAR(A283)</f>
        <v/>
      </c>
      <c r="G283">
        <f>F283&amp;"-"&amp;TEXT(C283,"00")</f>
        <v/>
      </c>
    </row>
    <row r="284">
      <c r="A284" s="170">
        <f>A283+7</f>
        <v/>
      </c>
      <c r="B284">
        <f>INT((A284-DATE(YEAR(A284),1,1))/7)+1</f>
        <v/>
      </c>
      <c r="C284">
        <f>MONTH(A284)</f>
        <v/>
      </c>
      <c r="D284">
        <f>TEXT(A284,"mmm")</f>
        <v/>
      </c>
      <c r="E284">
        <f>ROUNDUP(C284/3,0)</f>
        <v/>
      </c>
      <c r="F284">
        <f>YEAR(A284)</f>
        <v/>
      </c>
      <c r="G284">
        <f>F284&amp;"-"&amp;TEXT(C284,"00")</f>
        <v/>
      </c>
    </row>
    <row r="285">
      <c r="A285" s="170">
        <f>A284+7</f>
        <v/>
      </c>
      <c r="B285">
        <f>INT((A285-DATE(YEAR(A285),1,1))/7)+1</f>
        <v/>
      </c>
      <c r="C285">
        <f>MONTH(A285)</f>
        <v/>
      </c>
      <c r="D285">
        <f>TEXT(A285,"mmm")</f>
        <v/>
      </c>
      <c r="E285">
        <f>ROUNDUP(C285/3,0)</f>
        <v/>
      </c>
      <c r="F285">
        <f>YEAR(A285)</f>
        <v/>
      </c>
      <c r="G285">
        <f>F285&amp;"-"&amp;TEXT(C285,"00")</f>
        <v/>
      </c>
    </row>
    <row r="286">
      <c r="A286" s="170">
        <f>A285+7</f>
        <v/>
      </c>
      <c r="B286">
        <f>INT((A286-DATE(YEAR(A286),1,1))/7)+1</f>
        <v/>
      </c>
      <c r="C286">
        <f>MONTH(A286)</f>
        <v/>
      </c>
      <c r="D286">
        <f>TEXT(A286,"mmm")</f>
        <v/>
      </c>
      <c r="E286">
        <f>ROUNDUP(C286/3,0)</f>
        <v/>
      </c>
      <c r="F286">
        <f>YEAR(A286)</f>
        <v/>
      </c>
      <c r="G286">
        <f>F286&amp;"-"&amp;TEXT(C286,"00")</f>
        <v/>
      </c>
    </row>
    <row r="287">
      <c r="A287" s="170">
        <f>A286+7</f>
        <v/>
      </c>
      <c r="B287">
        <f>INT((A287-DATE(YEAR(A287),1,1))/7)+1</f>
        <v/>
      </c>
      <c r="C287">
        <f>MONTH(A287)</f>
        <v/>
      </c>
      <c r="D287">
        <f>TEXT(A287,"mmm")</f>
        <v/>
      </c>
      <c r="E287">
        <f>ROUNDUP(C287/3,0)</f>
        <v/>
      </c>
      <c r="F287">
        <f>YEAR(A287)</f>
        <v/>
      </c>
      <c r="G287">
        <f>F287&amp;"-"&amp;TEXT(C287,"00")</f>
        <v/>
      </c>
    </row>
    <row r="288">
      <c r="A288" s="170">
        <f>A287+7</f>
        <v/>
      </c>
      <c r="B288">
        <f>INT((A288-DATE(YEAR(A288),1,1))/7)+1</f>
        <v/>
      </c>
      <c r="C288">
        <f>MONTH(A288)</f>
        <v/>
      </c>
      <c r="D288">
        <f>TEXT(A288,"mmm")</f>
        <v/>
      </c>
      <c r="E288">
        <f>ROUNDUP(C288/3,0)</f>
        <v/>
      </c>
      <c r="F288">
        <f>YEAR(A288)</f>
        <v/>
      </c>
      <c r="G288">
        <f>F288&amp;"-"&amp;TEXT(C288,"00")</f>
        <v/>
      </c>
    </row>
    <row r="289">
      <c r="A289" s="170">
        <f>A288+7</f>
        <v/>
      </c>
      <c r="B289">
        <f>INT((A289-DATE(YEAR(A289),1,1))/7)+1</f>
        <v/>
      </c>
      <c r="C289">
        <f>MONTH(A289)</f>
        <v/>
      </c>
      <c r="D289">
        <f>TEXT(A289,"mmm")</f>
        <v/>
      </c>
      <c r="E289">
        <f>ROUNDUP(C289/3,0)</f>
        <v/>
      </c>
      <c r="F289">
        <f>YEAR(A289)</f>
        <v/>
      </c>
      <c r="G289">
        <f>F289&amp;"-"&amp;TEXT(C289,"00")</f>
        <v/>
      </c>
    </row>
    <row r="290">
      <c r="A290" s="170">
        <f>A289+7</f>
        <v/>
      </c>
      <c r="B290">
        <f>INT((A290-DATE(YEAR(A290),1,1))/7)+1</f>
        <v/>
      </c>
      <c r="C290">
        <f>MONTH(A290)</f>
        <v/>
      </c>
      <c r="D290">
        <f>TEXT(A290,"mmm")</f>
        <v/>
      </c>
      <c r="E290">
        <f>ROUNDUP(C290/3,0)</f>
        <v/>
      </c>
      <c r="F290">
        <f>YEAR(A290)</f>
        <v/>
      </c>
      <c r="G290">
        <f>F290&amp;"-"&amp;TEXT(C290,"00")</f>
        <v/>
      </c>
    </row>
    <row r="291">
      <c r="A291" s="170">
        <f>A290+7</f>
        <v/>
      </c>
      <c r="B291">
        <f>INT((A291-DATE(YEAR(A291),1,1))/7)+1</f>
        <v/>
      </c>
      <c r="C291">
        <f>MONTH(A291)</f>
        <v/>
      </c>
      <c r="D291">
        <f>TEXT(A291,"mmm")</f>
        <v/>
      </c>
      <c r="E291">
        <f>ROUNDUP(C291/3,0)</f>
        <v/>
      </c>
      <c r="F291">
        <f>YEAR(A291)</f>
        <v/>
      </c>
      <c r="G291">
        <f>F291&amp;"-"&amp;TEXT(C291,"00")</f>
        <v/>
      </c>
    </row>
    <row r="292">
      <c r="A292" s="170">
        <f>A291+7</f>
        <v/>
      </c>
      <c r="B292">
        <f>INT((A292-DATE(YEAR(A292),1,1))/7)+1</f>
        <v/>
      </c>
      <c r="C292">
        <f>MONTH(A292)</f>
        <v/>
      </c>
      <c r="D292">
        <f>TEXT(A292,"mmm")</f>
        <v/>
      </c>
      <c r="E292">
        <f>ROUNDUP(C292/3,0)</f>
        <v/>
      </c>
      <c r="F292">
        <f>YEAR(A292)</f>
        <v/>
      </c>
      <c r="G292">
        <f>F292&amp;"-"&amp;TEXT(C292,"00")</f>
        <v/>
      </c>
    </row>
    <row r="293">
      <c r="A293" s="170">
        <f>A292+7</f>
        <v/>
      </c>
      <c r="B293">
        <f>INT((A293-DATE(YEAR(A293),1,1))/7)+1</f>
        <v/>
      </c>
      <c r="C293">
        <f>MONTH(A293)</f>
        <v/>
      </c>
      <c r="D293">
        <f>TEXT(A293,"mmm")</f>
        <v/>
      </c>
      <c r="E293">
        <f>ROUNDUP(C293/3,0)</f>
        <v/>
      </c>
      <c r="F293">
        <f>YEAR(A293)</f>
        <v/>
      </c>
      <c r="G293">
        <f>F293&amp;"-"&amp;TEXT(C293,"00")</f>
        <v/>
      </c>
    </row>
    <row r="294">
      <c r="A294" s="170">
        <f>A293+7</f>
        <v/>
      </c>
      <c r="B294">
        <f>INT((A294-DATE(YEAR(A294),1,1))/7)+1</f>
        <v/>
      </c>
      <c r="C294">
        <f>MONTH(A294)</f>
        <v/>
      </c>
      <c r="D294">
        <f>TEXT(A294,"mmm")</f>
        <v/>
      </c>
      <c r="E294">
        <f>ROUNDUP(C294/3,0)</f>
        <v/>
      </c>
      <c r="F294">
        <f>YEAR(A294)</f>
        <v/>
      </c>
      <c r="G294">
        <f>F294&amp;"-"&amp;TEXT(C294,"00")</f>
        <v/>
      </c>
    </row>
    <row r="295">
      <c r="A295" s="170">
        <f>A294+7</f>
        <v/>
      </c>
      <c r="B295">
        <f>INT((A295-DATE(YEAR(A295),1,1))/7)+1</f>
        <v/>
      </c>
      <c r="C295">
        <f>MONTH(A295)</f>
        <v/>
      </c>
      <c r="D295">
        <f>TEXT(A295,"mmm")</f>
        <v/>
      </c>
      <c r="E295">
        <f>ROUNDUP(C295/3,0)</f>
        <v/>
      </c>
      <c r="F295">
        <f>YEAR(A295)</f>
        <v/>
      </c>
      <c r="G295">
        <f>F295&amp;"-"&amp;TEXT(C295,"00")</f>
        <v/>
      </c>
    </row>
    <row r="296">
      <c r="A296" s="170">
        <f>A295+7</f>
        <v/>
      </c>
      <c r="B296">
        <f>INT((A296-DATE(YEAR(A296),1,1))/7)+1</f>
        <v/>
      </c>
      <c r="C296">
        <f>MONTH(A296)</f>
        <v/>
      </c>
      <c r="D296">
        <f>TEXT(A296,"mmm")</f>
        <v/>
      </c>
      <c r="E296">
        <f>ROUNDUP(C296/3,0)</f>
        <v/>
      </c>
      <c r="F296">
        <f>YEAR(A296)</f>
        <v/>
      </c>
      <c r="G296">
        <f>F296&amp;"-"&amp;TEXT(C296,"00")</f>
        <v/>
      </c>
    </row>
    <row r="297">
      <c r="A297" s="170">
        <f>A296+7</f>
        <v/>
      </c>
      <c r="B297">
        <f>INT((A297-DATE(YEAR(A297),1,1))/7)+1</f>
        <v/>
      </c>
      <c r="C297">
        <f>MONTH(A297)</f>
        <v/>
      </c>
      <c r="D297">
        <f>TEXT(A297,"mmm")</f>
        <v/>
      </c>
      <c r="E297">
        <f>ROUNDUP(C297/3,0)</f>
        <v/>
      </c>
      <c r="F297">
        <f>YEAR(A297)</f>
        <v/>
      </c>
      <c r="G297">
        <f>F297&amp;"-"&amp;TEXT(C297,"00")</f>
        <v/>
      </c>
    </row>
    <row r="298">
      <c r="A298" s="170">
        <f>A297+7</f>
        <v/>
      </c>
      <c r="B298">
        <f>INT((A298-DATE(YEAR(A298),1,1))/7)+1</f>
        <v/>
      </c>
      <c r="C298">
        <f>MONTH(A298)</f>
        <v/>
      </c>
      <c r="D298">
        <f>TEXT(A298,"mmm")</f>
        <v/>
      </c>
      <c r="E298">
        <f>ROUNDUP(C298/3,0)</f>
        <v/>
      </c>
      <c r="F298">
        <f>YEAR(A298)</f>
        <v/>
      </c>
      <c r="G298">
        <f>F298&amp;"-"&amp;TEXT(C298,"00")</f>
        <v/>
      </c>
    </row>
    <row r="299">
      <c r="A299" s="170">
        <f>A298+7</f>
        <v/>
      </c>
      <c r="B299">
        <f>INT((A299-DATE(YEAR(A299),1,1))/7)+1</f>
        <v/>
      </c>
      <c r="C299">
        <f>MONTH(A299)</f>
        <v/>
      </c>
      <c r="D299">
        <f>TEXT(A299,"mmm")</f>
        <v/>
      </c>
      <c r="E299">
        <f>ROUNDUP(C299/3,0)</f>
        <v/>
      </c>
      <c r="F299">
        <f>YEAR(A299)</f>
        <v/>
      </c>
      <c r="G299">
        <f>F299&amp;"-"&amp;TEXT(C299,"00")</f>
        <v/>
      </c>
    </row>
    <row r="300">
      <c r="A300" s="170">
        <f>A299+7</f>
        <v/>
      </c>
      <c r="B300">
        <f>INT((A300-DATE(YEAR(A300),1,1))/7)+1</f>
        <v/>
      </c>
      <c r="C300">
        <f>MONTH(A300)</f>
        <v/>
      </c>
      <c r="D300">
        <f>TEXT(A300,"mmm")</f>
        <v/>
      </c>
      <c r="E300">
        <f>ROUNDUP(C300/3,0)</f>
        <v/>
      </c>
      <c r="F300">
        <f>YEAR(A300)</f>
        <v/>
      </c>
      <c r="G300">
        <f>F300&amp;"-"&amp;TEXT(C300,"00")</f>
        <v/>
      </c>
    </row>
    <row r="301">
      <c r="A301" s="170">
        <f>A300+7</f>
        <v/>
      </c>
      <c r="B301">
        <f>INT((A301-DATE(YEAR(A301),1,1))/7)+1</f>
        <v/>
      </c>
      <c r="C301">
        <f>MONTH(A301)</f>
        <v/>
      </c>
      <c r="D301">
        <f>TEXT(A301,"mmm")</f>
        <v/>
      </c>
      <c r="E301">
        <f>ROUNDUP(C301/3,0)</f>
        <v/>
      </c>
      <c r="F301">
        <f>YEAR(A301)</f>
        <v/>
      </c>
      <c r="G301">
        <f>F301&amp;"-"&amp;TEXT(C301,"00")</f>
        <v/>
      </c>
    </row>
    <row r="302">
      <c r="A302" s="170">
        <f>A301+7</f>
        <v/>
      </c>
      <c r="B302">
        <f>INT((A302-DATE(YEAR(A302),1,1))/7)+1</f>
        <v/>
      </c>
      <c r="C302">
        <f>MONTH(A302)</f>
        <v/>
      </c>
      <c r="D302">
        <f>TEXT(A302,"mmm")</f>
        <v/>
      </c>
      <c r="E302">
        <f>ROUNDUP(C302/3,0)</f>
        <v/>
      </c>
      <c r="F302">
        <f>YEAR(A302)</f>
        <v/>
      </c>
      <c r="G302">
        <f>F302&amp;"-"&amp;TEXT(C302,"00")</f>
        <v/>
      </c>
    </row>
    <row r="303">
      <c r="A303" s="170">
        <f>A302+7</f>
        <v/>
      </c>
      <c r="B303">
        <f>INT((A303-DATE(YEAR(A303),1,1))/7)+1</f>
        <v/>
      </c>
      <c r="C303">
        <f>MONTH(A303)</f>
        <v/>
      </c>
      <c r="D303">
        <f>TEXT(A303,"mmm")</f>
        <v/>
      </c>
      <c r="E303">
        <f>ROUNDUP(C303/3,0)</f>
        <v/>
      </c>
      <c r="F303">
        <f>YEAR(A303)</f>
        <v/>
      </c>
      <c r="G303">
        <f>F303&amp;"-"&amp;TEXT(C303,"00")</f>
        <v/>
      </c>
    </row>
    <row r="304">
      <c r="A304" s="170">
        <f>A303+7</f>
        <v/>
      </c>
      <c r="B304">
        <f>INT((A304-DATE(YEAR(A304),1,1))/7)+1</f>
        <v/>
      </c>
      <c r="C304">
        <f>MONTH(A304)</f>
        <v/>
      </c>
      <c r="D304">
        <f>TEXT(A304,"mmm")</f>
        <v/>
      </c>
      <c r="E304">
        <f>ROUNDUP(C304/3,0)</f>
        <v/>
      </c>
      <c r="F304">
        <f>YEAR(A304)</f>
        <v/>
      </c>
      <c r="G304">
        <f>F304&amp;"-"&amp;TEXT(C304,"00")</f>
        <v/>
      </c>
    </row>
    <row r="305">
      <c r="A305" s="170">
        <f>A304+7</f>
        <v/>
      </c>
      <c r="B305">
        <f>INT((A305-DATE(YEAR(A305),1,1))/7)+1</f>
        <v/>
      </c>
      <c r="C305">
        <f>MONTH(A305)</f>
        <v/>
      </c>
      <c r="D305">
        <f>TEXT(A305,"mmm")</f>
        <v/>
      </c>
      <c r="E305">
        <f>ROUNDUP(C305/3,0)</f>
        <v/>
      </c>
      <c r="F305">
        <f>YEAR(A305)</f>
        <v/>
      </c>
      <c r="G305">
        <f>F305&amp;"-"&amp;TEXT(C305,"00")</f>
        <v/>
      </c>
    </row>
    <row r="306">
      <c r="A306" s="170">
        <f>A305+7</f>
        <v/>
      </c>
      <c r="B306">
        <f>INT((A306-DATE(YEAR(A306),1,1))/7)+1</f>
        <v/>
      </c>
      <c r="C306">
        <f>MONTH(A306)</f>
        <v/>
      </c>
      <c r="D306">
        <f>TEXT(A306,"mmm")</f>
        <v/>
      </c>
      <c r="E306">
        <f>ROUNDUP(C306/3,0)</f>
        <v/>
      </c>
      <c r="F306">
        <f>YEAR(A306)</f>
        <v/>
      </c>
      <c r="G306">
        <f>F306&amp;"-"&amp;TEXT(C306,"00")</f>
        <v/>
      </c>
    </row>
    <row r="307">
      <c r="A307" s="170">
        <f>A306+7</f>
        <v/>
      </c>
      <c r="B307">
        <f>INT((A307-DATE(YEAR(A307),1,1))/7)+1</f>
        <v/>
      </c>
      <c r="C307">
        <f>MONTH(A307)</f>
        <v/>
      </c>
      <c r="D307">
        <f>TEXT(A307,"mmm")</f>
        <v/>
      </c>
      <c r="E307">
        <f>ROUNDUP(C307/3,0)</f>
        <v/>
      </c>
      <c r="F307">
        <f>YEAR(A307)</f>
        <v/>
      </c>
      <c r="G307">
        <f>F307&amp;"-"&amp;TEXT(C307,"00")</f>
        <v/>
      </c>
    </row>
    <row r="308">
      <c r="A308" s="170">
        <f>A307+7</f>
        <v/>
      </c>
      <c r="B308">
        <f>INT((A308-DATE(YEAR(A308),1,1))/7)+1</f>
        <v/>
      </c>
      <c r="C308">
        <f>MONTH(A308)</f>
        <v/>
      </c>
      <c r="D308">
        <f>TEXT(A308,"mmm")</f>
        <v/>
      </c>
      <c r="E308">
        <f>ROUNDUP(C308/3,0)</f>
        <v/>
      </c>
      <c r="F308">
        <f>YEAR(A308)</f>
        <v/>
      </c>
      <c r="G308">
        <f>F308&amp;"-"&amp;TEXT(C308,"00")</f>
        <v/>
      </c>
    </row>
    <row r="309">
      <c r="A309" s="170">
        <f>A308+7</f>
        <v/>
      </c>
      <c r="B309">
        <f>INT((A309-DATE(YEAR(A309),1,1))/7)+1</f>
        <v/>
      </c>
      <c r="C309">
        <f>MONTH(A309)</f>
        <v/>
      </c>
      <c r="D309">
        <f>TEXT(A309,"mmm")</f>
        <v/>
      </c>
      <c r="E309">
        <f>ROUNDUP(C309/3,0)</f>
        <v/>
      </c>
      <c r="F309">
        <f>YEAR(A309)</f>
        <v/>
      </c>
      <c r="G309">
        <f>F309&amp;"-"&amp;TEXT(C309,"00")</f>
        <v/>
      </c>
    </row>
    <row r="310">
      <c r="A310" s="170">
        <f>A309+7</f>
        <v/>
      </c>
      <c r="B310">
        <f>INT((A310-DATE(YEAR(A310),1,1))/7)+1</f>
        <v/>
      </c>
      <c r="C310">
        <f>MONTH(A310)</f>
        <v/>
      </c>
      <c r="D310">
        <f>TEXT(A310,"mmm")</f>
        <v/>
      </c>
      <c r="E310">
        <f>ROUNDUP(C310/3,0)</f>
        <v/>
      </c>
      <c r="F310">
        <f>YEAR(A310)</f>
        <v/>
      </c>
      <c r="G310">
        <f>F310&amp;"-"&amp;TEXT(C310,"00")</f>
        <v/>
      </c>
    </row>
    <row r="311">
      <c r="A311" s="170">
        <f>A310+7</f>
        <v/>
      </c>
      <c r="B311">
        <f>INT((A311-DATE(YEAR(A311),1,1))/7)+1</f>
        <v/>
      </c>
      <c r="C311">
        <f>MONTH(A311)</f>
        <v/>
      </c>
      <c r="D311">
        <f>TEXT(A311,"mmm")</f>
        <v/>
      </c>
      <c r="E311">
        <f>ROUNDUP(C311/3,0)</f>
        <v/>
      </c>
      <c r="F311">
        <f>YEAR(A311)</f>
        <v/>
      </c>
      <c r="G311">
        <f>F311&amp;"-"&amp;TEXT(C311,"00")</f>
        <v/>
      </c>
    </row>
    <row r="312">
      <c r="A312" s="170">
        <f>A311+7</f>
        <v/>
      </c>
      <c r="B312">
        <f>INT((A312-DATE(YEAR(A312),1,1))/7)+1</f>
        <v/>
      </c>
      <c r="C312">
        <f>MONTH(A312)</f>
        <v/>
      </c>
      <c r="D312">
        <f>TEXT(A312,"mmm")</f>
        <v/>
      </c>
      <c r="E312">
        <f>ROUNDUP(C312/3,0)</f>
        <v/>
      </c>
      <c r="F312">
        <f>YEAR(A312)</f>
        <v/>
      </c>
      <c r="G312">
        <f>F312&amp;"-"&amp;TEXT(C312,"00")</f>
        <v/>
      </c>
    </row>
    <row r="313">
      <c r="A313" s="170">
        <f>A312+7</f>
        <v/>
      </c>
      <c r="B313">
        <f>INT((A313-DATE(YEAR(A313),1,1))/7)+1</f>
        <v/>
      </c>
      <c r="C313">
        <f>MONTH(A313)</f>
        <v/>
      </c>
      <c r="D313">
        <f>TEXT(A313,"mmm")</f>
        <v/>
      </c>
      <c r="E313">
        <f>ROUNDUP(C313/3,0)</f>
        <v/>
      </c>
      <c r="F313">
        <f>YEAR(A313)</f>
        <v/>
      </c>
      <c r="G313">
        <f>F313&amp;"-"&amp;TEXT(C313,"00")</f>
        <v/>
      </c>
    </row>
    <row r="314">
      <c r="A314" s="170">
        <f>A313+7</f>
        <v/>
      </c>
      <c r="B314">
        <f>INT((A314-DATE(YEAR(A314),1,1))/7)+1</f>
        <v/>
      </c>
      <c r="C314">
        <f>MONTH(A314)</f>
        <v/>
      </c>
      <c r="D314">
        <f>TEXT(A314,"mmm")</f>
        <v/>
      </c>
      <c r="E314">
        <f>ROUNDUP(C314/3,0)</f>
        <v/>
      </c>
      <c r="F314">
        <f>YEAR(A314)</f>
        <v/>
      </c>
      <c r="G314">
        <f>F314&amp;"-"&amp;TEXT(C314,"00")</f>
        <v/>
      </c>
    </row>
    <row r="315">
      <c r="A315" s="170">
        <f>A314+7</f>
        <v/>
      </c>
      <c r="B315">
        <f>INT((A315-DATE(YEAR(A315),1,1))/7)+1</f>
        <v/>
      </c>
      <c r="C315">
        <f>MONTH(A315)</f>
        <v/>
      </c>
      <c r="D315">
        <f>TEXT(A315,"mmm")</f>
        <v/>
      </c>
      <c r="E315">
        <f>ROUNDUP(C315/3,0)</f>
        <v/>
      </c>
      <c r="F315">
        <f>YEAR(A315)</f>
        <v/>
      </c>
      <c r="G315">
        <f>F315&amp;"-"&amp;TEXT(C315,"00")</f>
        <v/>
      </c>
    </row>
    <row r="316">
      <c r="A316" s="170">
        <f>A315+7</f>
        <v/>
      </c>
      <c r="B316">
        <f>INT((A316-DATE(YEAR(A316),1,1))/7)+1</f>
        <v/>
      </c>
      <c r="C316">
        <f>MONTH(A316)</f>
        <v/>
      </c>
      <c r="D316">
        <f>TEXT(A316,"mmm")</f>
        <v/>
      </c>
      <c r="E316">
        <f>ROUNDUP(C316/3,0)</f>
        <v/>
      </c>
      <c r="F316">
        <f>YEAR(A316)</f>
        <v/>
      </c>
      <c r="G316">
        <f>F316&amp;"-"&amp;TEXT(C316,"00")</f>
        <v/>
      </c>
    </row>
    <row r="317">
      <c r="A317" s="170">
        <f>A316+7</f>
        <v/>
      </c>
      <c r="B317">
        <f>INT((A317-DATE(YEAR(A317),1,1))/7)+1</f>
        <v/>
      </c>
      <c r="C317">
        <f>MONTH(A317)</f>
        <v/>
      </c>
      <c r="D317">
        <f>TEXT(A317,"mmm")</f>
        <v/>
      </c>
      <c r="E317">
        <f>ROUNDUP(C317/3,0)</f>
        <v/>
      </c>
      <c r="F317">
        <f>YEAR(A317)</f>
        <v/>
      </c>
      <c r="G317">
        <f>F317&amp;"-"&amp;TEXT(C317,"00")</f>
        <v/>
      </c>
    </row>
    <row r="318">
      <c r="A318" s="170">
        <f>A317+7</f>
        <v/>
      </c>
      <c r="B318">
        <f>INT((A318-DATE(YEAR(A318),1,1))/7)+1</f>
        <v/>
      </c>
      <c r="C318">
        <f>MONTH(A318)</f>
        <v/>
      </c>
      <c r="D318">
        <f>TEXT(A318,"mmm")</f>
        <v/>
      </c>
      <c r="E318">
        <f>ROUNDUP(C318/3,0)</f>
        <v/>
      </c>
      <c r="F318">
        <f>YEAR(A318)</f>
        <v/>
      </c>
      <c r="G318">
        <f>F318&amp;"-"&amp;TEXT(C318,"00")</f>
        <v/>
      </c>
    </row>
    <row r="319">
      <c r="A319" s="170">
        <f>A318+7</f>
        <v/>
      </c>
      <c r="B319">
        <f>INT((A319-DATE(YEAR(A319),1,1))/7)+1</f>
        <v/>
      </c>
      <c r="C319">
        <f>MONTH(A319)</f>
        <v/>
      </c>
      <c r="D319">
        <f>TEXT(A319,"mmm")</f>
        <v/>
      </c>
      <c r="E319">
        <f>ROUNDUP(C319/3,0)</f>
        <v/>
      </c>
      <c r="F319">
        <f>YEAR(A319)</f>
        <v/>
      </c>
      <c r="G319">
        <f>F319&amp;"-"&amp;TEXT(C319,"00")</f>
        <v/>
      </c>
    </row>
    <row r="320">
      <c r="A320" s="170">
        <f>A319+7</f>
        <v/>
      </c>
      <c r="B320">
        <f>INT((A320-DATE(YEAR(A320),1,1))/7)+1</f>
        <v/>
      </c>
      <c r="C320">
        <f>MONTH(A320)</f>
        <v/>
      </c>
      <c r="D320">
        <f>TEXT(A320,"mmm")</f>
        <v/>
      </c>
      <c r="E320">
        <f>ROUNDUP(C320/3,0)</f>
        <v/>
      </c>
      <c r="F320">
        <f>YEAR(A320)</f>
        <v/>
      </c>
      <c r="G320">
        <f>F320&amp;"-"&amp;TEXT(C320,"00")</f>
        <v/>
      </c>
    </row>
    <row r="321">
      <c r="A321" s="170">
        <f>A320+7</f>
        <v/>
      </c>
      <c r="B321">
        <f>INT((A321-DATE(YEAR(A321),1,1))/7)+1</f>
        <v/>
      </c>
      <c r="C321">
        <f>MONTH(A321)</f>
        <v/>
      </c>
      <c r="D321">
        <f>TEXT(A321,"mmm")</f>
        <v/>
      </c>
      <c r="E321">
        <f>ROUNDUP(C321/3,0)</f>
        <v/>
      </c>
      <c r="F321">
        <f>YEAR(A321)</f>
        <v/>
      </c>
      <c r="G321">
        <f>F321&amp;"-"&amp;TEXT(C321,"00")</f>
        <v/>
      </c>
    </row>
    <row r="322">
      <c r="A322" s="170">
        <f>A321+7</f>
        <v/>
      </c>
      <c r="B322">
        <f>INT((A322-DATE(YEAR(A322),1,1))/7)+1</f>
        <v/>
      </c>
      <c r="C322">
        <f>MONTH(A322)</f>
        <v/>
      </c>
      <c r="D322">
        <f>TEXT(A322,"mmm")</f>
        <v/>
      </c>
      <c r="E322">
        <f>ROUNDUP(C322/3,0)</f>
        <v/>
      </c>
      <c r="F322">
        <f>YEAR(A322)</f>
        <v/>
      </c>
      <c r="G322">
        <f>F322&amp;"-"&amp;TEXT(C322,"00")</f>
        <v/>
      </c>
    </row>
    <row r="323">
      <c r="A323" s="170">
        <f>A322+7</f>
        <v/>
      </c>
      <c r="B323">
        <f>INT((A323-DATE(YEAR(A323),1,1))/7)+1</f>
        <v/>
      </c>
      <c r="C323">
        <f>MONTH(A323)</f>
        <v/>
      </c>
      <c r="D323">
        <f>TEXT(A323,"mmm")</f>
        <v/>
      </c>
      <c r="E323">
        <f>ROUNDUP(C323/3,0)</f>
        <v/>
      </c>
      <c r="F323">
        <f>YEAR(A323)</f>
        <v/>
      </c>
      <c r="G323">
        <f>F323&amp;"-"&amp;TEXT(C323,"00")</f>
        <v/>
      </c>
    </row>
    <row r="324">
      <c r="A324" s="170">
        <f>A323+7</f>
        <v/>
      </c>
      <c r="B324">
        <f>INT((A324-DATE(YEAR(A324),1,1))/7)+1</f>
        <v/>
      </c>
      <c r="C324">
        <f>MONTH(A324)</f>
        <v/>
      </c>
      <c r="D324">
        <f>TEXT(A324,"mmm")</f>
        <v/>
      </c>
      <c r="E324">
        <f>ROUNDUP(C324/3,0)</f>
        <v/>
      </c>
      <c r="F324">
        <f>YEAR(A324)</f>
        <v/>
      </c>
      <c r="G324">
        <f>F324&amp;"-"&amp;TEXT(C324,"00")</f>
        <v/>
      </c>
    </row>
    <row r="325">
      <c r="A325" s="170">
        <f>A324+7</f>
        <v/>
      </c>
      <c r="B325">
        <f>INT((A325-DATE(YEAR(A325),1,1))/7)+1</f>
        <v/>
      </c>
      <c r="C325">
        <f>MONTH(A325)</f>
        <v/>
      </c>
      <c r="D325">
        <f>TEXT(A325,"mmm")</f>
        <v/>
      </c>
      <c r="E325">
        <f>ROUNDUP(C325/3,0)</f>
        <v/>
      </c>
      <c r="F325">
        <f>YEAR(A325)</f>
        <v/>
      </c>
      <c r="G325">
        <f>F325&amp;"-"&amp;TEXT(C325,"00")</f>
        <v/>
      </c>
    </row>
    <row r="326">
      <c r="A326" s="170">
        <f>A325+7</f>
        <v/>
      </c>
      <c r="B326">
        <f>INT((A326-DATE(YEAR(A326),1,1))/7)+1</f>
        <v/>
      </c>
      <c r="C326">
        <f>MONTH(A326)</f>
        <v/>
      </c>
      <c r="D326">
        <f>TEXT(A326,"mmm")</f>
        <v/>
      </c>
      <c r="E326">
        <f>ROUNDUP(C326/3,0)</f>
        <v/>
      </c>
      <c r="F326">
        <f>YEAR(A326)</f>
        <v/>
      </c>
      <c r="G326">
        <f>F326&amp;"-"&amp;TEXT(C326,"00")</f>
        <v/>
      </c>
    </row>
    <row r="327">
      <c r="A327" s="170">
        <f>A326+7</f>
        <v/>
      </c>
      <c r="B327">
        <f>INT((A327-DATE(YEAR(A327),1,1))/7)+1</f>
        <v/>
      </c>
      <c r="C327">
        <f>MONTH(A327)</f>
        <v/>
      </c>
      <c r="D327">
        <f>TEXT(A327,"mmm")</f>
        <v/>
      </c>
      <c r="E327">
        <f>ROUNDUP(C327/3,0)</f>
        <v/>
      </c>
      <c r="F327">
        <f>YEAR(A327)</f>
        <v/>
      </c>
      <c r="G327">
        <f>F327&amp;"-"&amp;TEXT(C327,"00")</f>
        <v/>
      </c>
    </row>
    <row r="328">
      <c r="A328" s="170">
        <f>A327+7</f>
        <v/>
      </c>
      <c r="B328">
        <f>INT((A328-DATE(YEAR(A328),1,1))/7)+1</f>
        <v/>
      </c>
      <c r="C328">
        <f>MONTH(A328)</f>
        <v/>
      </c>
      <c r="D328">
        <f>TEXT(A328,"mmm")</f>
        <v/>
      </c>
      <c r="E328">
        <f>ROUNDUP(C328/3,0)</f>
        <v/>
      </c>
      <c r="F328">
        <f>YEAR(A328)</f>
        <v/>
      </c>
      <c r="G328">
        <f>F328&amp;"-"&amp;TEXT(C328,"00")</f>
        <v/>
      </c>
    </row>
    <row r="329">
      <c r="A329" s="170">
        <f>A328+7</f>
        <v/>
      </c>
      <c r="B329">
        <f>INT((A329-DATE(YEAR(A329),1,1))/7)+1</f>
        <v/>
      </c>
      <c r="C329">
        <f>MONTH(A329)</f>
        <v/>
      </c>
      <c r="D329">
        <f>TEXT(A329,"mmm")</f>
        <v/>
      </c>
      <c r="E329">
        <f>ROUNDUP(C329/3,0)</f>
        <v/>
      </c>
      <c r="F329">
        <f>YEAR(A329)</f>
        <v/>
      </c>
      <c r="G329">
        <f>F329&amp;"-"&amp;TEXT(C329,"00")</f>
        <v/>
      </c>
    </row>
    <row r="330">
      <c r="A330" s="170">
        <f>A329+7</f>
        <v/>
      </c>
      <c r="B330">
        <f>INT((A330-DATE(YEAR(A330),1,1))/7)+1</f>
        <v/>
      </c>
      <c r="C330">
        <f>MONTH(A330)</f>
        <v/>
      </c>
      <c r="D330">
        <f>TEXT(A330,"mmm")</f>
        <v/>
      </c>
      <c r="E330">
        <f>ROUNDUP(C330/3,0)</f>
        <v/>
      </c>
      <c r="F330">
        <f>YEAR(A330)</f>
        <v/>
      </c>
      <c r="G330">
        <f>F330&amp;"-"&amp;TEXT(C330,"00")</f>
        <v/>
      </c>
    </row>
    <row r="331">
      <c r="A331" s="170">
        <f>A330+7</f>
        <v/>
      </c>
      <c r="B331">
        <f>INT((A331-DATE(YEAR(A331),1,1))/7)+1</f>
        <v/>
      </c>
      <c r="C331">
        <f>MONTH(A331)</f>
        <v/>
      </c>
      <c r="D331">
        <f>TEXT(A331,"mmm")</f>
        <v/>
      </c>
      <c r="E331">
        <f>ROUNDUP(C331/3,0)</f>
        <v/>
      </c>
      <c r="F331">
        <f>YEAR(A331)</f>
        <v/>
      </c>
      <c r="G331">
        <f>F331&amp;"-"&amp;TEXT(C331,"00")</f>
        <v/>
      </c>
    </row>
    <row r="332">
      <c r="A332" s="170">
        <f>A331+7</f>
        <v/>
      </c>
      <c r="B332">
        <f>INT((A332-DATE(YEAR(A332),1,1))/7)+1</f>
        <v/>
      </c>
      <c r="C332">
        <f>MONTH(A332)</f>
        <v/>
      </c>
      <c r="D332">
        <f>TEXT(A332,"mmm")</f>
        <v/>
      </c>
      <c r="E332">
        <f>ROUNDUP(C332/3,0)</f>
        <v/>
      </c>
      <c r="F332">
        <f>YEAR(A332)</f>
        <v/>
      </c>
      <c r="G332">
        <f>F332&amp;"-"&amp;TEXT(C332,"00")</f>
        <v/>
      </c>
    </row>
    <row r="333">
      <c r="A333" s="170">
        <f>A332+7</f>
        <v/>
      </c>
      <c r="B333">
        <f>INT((A333-DATE(YEAR(A333),1,1))/7)+1</f>
        <v/>
      </c>
      <c r="C333">
        <f>MONTH(A333)</f>
        <v/>
      </c>
      <c r="D333">
        <f>TEXT(A333,"mmm")</f>
        <v/>
      </c>
      <c r="E333">
        <f>ROUNDUP(C333/3,0)</f>
        <v/>
      </c>
      <c r="F333">
        <f>YEAR(A333)</f>
        <v/>
      </c>
      <c r="G333">
        <f>F333&amp;"-"&amp;TEXT(C333,"00")</f>
        <v/>
      </c>
    </row>
    <row r="334">
      <c r="A334" s="170">
        <f>A333+7</f>
        <v/>
      </c>
      <c r="B334">
        <f>INT((A334-DATE(YEAR(A334),1,1))/7)+1</f>
        <v/>
      </c>
      <c r="C334">
        <f>MONTH(A334)</f>
        <v/>
      </c>
      <c r="D334">
        <f>TEXT(A334,"mmm")</f>
        <v/>
      </c>
      <c r="E334">
        <f>ROUNDUP(C334/3,0)</f>
        <v/>
      </c>
      <c r="F334">
        <f>YEAR(A334)</f>
        <v/>
      </c>
      <c r="G334">
        <f>F334&amp;"-"&amp;TEXT(C334,"00")</f>
        <v/>
      </c>
    </row>
    <row r="335">
      <c r="A335" s="170">
        <f>A334+7</f>
        <v/>
      </c>
      <c r="B335">
        <f>INT((A335-DATE(YEAR(A335),1,1))/7)+1</f>
        <v/>
      </c>
      <c r="C335">
        <f>MONTH(A335)</f>
        <v/>
      </c>
      <c r="D335">
        <f>TEXT(A335,"mmm")</f>
        <v/>
      </c>
      <c r="E335">
        <f>ROUNDUP(C335/3,0)</f>
        <v/>
      </c>
      <c r="F335">
        <f>YEAR(A335)</f>
        <v/>
      </c>
      <c r="G335">
        <f>F335&amp;"-"&amp;TEXT(C335,"00")</f>
        <v/>
      </c>
    </row>
    <row r="336">
      <c r="A336" s="170">
        <f>A335+7</f>
        <v/>
      </c>
      <c r="B336">
        <f>INT((A336-DATE(YEAR(A336),1,1))/7)+1</f>
        <v/>
      </c>
      <c r="C336">
        <f>MONTH(A336)</f>
        <v/>
      </c>
      <c r="D336">
        <f>TEXT(A336,"mmm")</f>
        <v/>
      </c>
      <c r="E336">
        <f>ROUNDUP(C336/3,0)</f>
        <v/>
      </c>
      <c r="F336">
        <f>YEAR(A336)</f>
        <v/>
      </c>
      <c r="G336">
        <f>F336&amp;"-"&amp;TEXT(C336,"00")</f>
        <v/>
      </c>
    </row>
    <row r="337">
      <c r="A337" s="170">
        <f>A336+7</f>
        <v/>
      </c>
      <c r="B337">
        <f>INT((A337-DATE(YEAR(A337),1,1))/7)+1</f>
        <v/>
      </c>
      <c r="C337">
        <f>MONTH(A337)</f>
        <v/>
      </c>
      <c r="D337">
        <f>TEXT(A337,"mmm")</f>
        <v/>
      </c>
      <c r="E337">
        <f>ROUNDUP(C337/3,0)</f>
        <v/>
      </c>
      <c r="F337">
        <f>YEAR(A337)</f>
        <v/>
      </c>
      <c r="G337">
        <f>F337&amp;"-"&amp;TEXT(C337,"00")</f>
        <v/>
      </c>
    </row>
    <row r="338">
      <c r="A338" s="170">
        <f>A337+7</f>
        <v/>
      </c>
      <c r="B338">
        <f>INT((A338-DATE(YEAR(A338),1,1))/7)+1</f>
        <v/>
      </c>
      <c r="C338">
        <f>MONTH(A338)</f>
        <v/>
      </c>
      <c r="D338">
        <f>TEXT(A338,"mmm")</f>
        <v/>
      </c>
      <c r="E338">
        <f>ROUNDUP(C338/3,0)</f>
        <v/>
      </c>
      <c r="F338">
        <f>YEAR(A338)</f>
        <v/>
      </c>
      <c r="G338">
        <f>F338&amp;"-"&amp;TEXT(C338,"00")</f>
        <v/>
      </c>
    </row>
    <row r="339">
      <c r="A339" s="170">
        <f>A338+7</f>
        <v/>
      </c>
      <c r="B339">
        <f>INT((A339-DATE(YEAR(A339),1,1))/7)+1</f>
        <v/>
      </c>
      <c r="C339">
        <f>MONTH(A339)</f>
        <v/>
      </c>
      <c r="D339">
        <f>TEXT(A339,"mmm")</f>
        <v/>
      </c>
      <c r="E339">
        <f>ROUNDUP(C339/3,0)</f>
        <v/>
      </c>
      <c r="F339">
        <f>YEAR(A339)</f>
        <v/>
      </c>
      <c r="G339">
        <f>F339&amp;"-"&amp;TEXT(C339,"00")</f>
        <v/>
      </c>
    </row>
    <row r="340">
      <c r="A340" s="170">
        <f>A339+7</f>
        <v/>
      </c>
      <c r="B340">
        <f>INT((A340-DATE(YEAR(A340),1,1))/7)+1</f>
        <v/>
      </c>
      <c r="C340">
        <f>MONTH(A340)</f>
        <v/>
      </c>
      <c r="D340">
        <f>TEXT(A340,"mmm")</f>
        <v/>
      </c>
      <c r="E340">
        <f>ROUNDUP(C340/3,0)</f>
        <v/>
      </c>
      <c r="F340">
        <f>YEAR(A340)</f>
        <v/>
      </c>
      <c r="G340">
        <f>F340&amp;"-"&amp;TEXT(C340,"00")</f>
        <v/>
      </c>
    </row>
    <row r="341">
      <c r="A341" s="170">
        <f>A340+7</f>
        <v/>
      </c>
      <c r="B341">
        <f>INT((A341-DATE(YEAR(A341),1,1))/7)+1</f>
        <v/>
      </c>
      <c r="C341">
        <f>MONTH(A341)</f>
        <v/>
      </c>
      <c r="D341">
        <f>TEXT(A341,"mmm")</f>
        <v/>
      </c>
      <c r="E341">
        <f>ROUNDUP(C341/3,0)</f>
        <v/>
      </c>
      <c r="F341">
        <f>YEAR(A341)</f>
        <v/>
      </c>
      <c r="G341">
        <f>F341&amp;"-"&amp;TEXT(C341,"00")</f>
        <v/>
      </c>
    </row>
    <row r="342">
      <c r="A342" s="170">
        <f>A341+7</f>
        <v/>
      </c>
      <c r="B342">
        <f>INT((A342-DATE(YEAR(A342),1,1))/7)+1</f>
        <v/>
      </c>
      <c r="C342">
        <f>MONTH(A342)</f>
        <v/>
      </c>
      <c r="D342">
        <f>TEXT(A342,"mmm")</f>
        <v/>
      </c>
      <c r="E342">
        <f>ROUNDUP(C342/3,0)</f>
        <v/>
      </c>
      <c r="F342">
        <f>YEAR(A342)</f>
        <v/>
      </c>
      <c r="G342">
        <f>F342&amp;"-"&amp;TEXT(C342,"00")</f>
        <v/>
      </c>
    </row>
    <row r="343">
      <c r="A343" s="170">
        <f>A342+7</f>
        <v/>
      </c>
      <c r="B343">
        <f>INT((A343-DATE(YEAR(A343),1,1))/7)+1</f>
        <v/>
      </c>
      <c r="C343">
        <f>MONTH(A343)</f>
        <v/>
      </c>
      <c r="D343">
        <f>TEXT(A343,"mmm")</f>
        <v/>
      </c>
      <c r="E343">
        <f>ROUNDUP(C343/3,0)</f>
        <v/>
      </c>
      <c r="F343">
        <f>YEAR(A343)</f>
        <v/>
      </c>
      <c r="G343">
        <f>F343&amp;"-"&amp;TEXT(C343,"00")</f>
        <v/>
      </c>
    </row>
    <row r="344">
      <c r="A344" s="170">
        <f>A343+7</f>
        <v/>
      </c>
      <c r="B344">
        <f>INT((A344-DATE(YEAR(A344),1,1))/7)+1</f>
        <v/>
      </c>
      <c r="C344">
        <f>MONTH(A344)</f>
        <v/>
      </c>
      <c r="D344">
        <f>TEXT(A344,"mmm")</f>
        <v/>
      </c>
      <c r="E344">
        <f>ROUNDUP(C344/3,0)</f>
        <v/>
      </c>
      <c r="F344">
        <f>YEAR(A344)</f>
        <v/>
      </c>
      <c r="G344">
        <f>F344&amp;"-"&amp;TEXT(C344,"00")</f>
        <v/>
      </c>
    </row>
    <row r="345">
      <c r="A345" s="170">
        <f>A344+7</f>
        <v/>
      </c>
      <c r="B345">
        <f>INT((A345-DATE(YEAR(A345),1,1))/7)+1</f>
        <v/>
      </c>
      <c r="C345">
        <f>MONTH(A345)</f>
        <v/>
      </c>
      <c r="D345">
        <f>TEXT(A345,"mmm")</f>
        <v/>
      </c>
      <c r="E345">
        <f>ROUNDUP(C345/3,0)</f>
        <v/>
      </c>
      <c r="F345">
        <f>YEAR(A345)</f>
        <v/>
      </c>
      <c r="G345">
        <f>F345&amp;"-"&amp;TEXT(C345,"00")</f>
        <v/>
      </c>
    </row>
    <row r="346">
      <c r="A346" s="170">
        <f>A345+7</f>
        <v/>
      </c>
      <c r="B346">
        <f>INT((A346-DATE(YEAR(A346),1,1))/7)+1</f>
        <v/>
      </c>
      <c r="C346">
        <f>MONTH(A346)</f>
        <v/>
      </c>
      <c r="D346">
        <f>TEXT(A346,"mmm")</f>
        <v/>
      </c>
      <c r="E346">
        <f>ROUNDUP(C346/3,0)</f>
        <v/>
      </c>
      <c r="F346">
        <f>YEAR(A346)</f>
        <v/>
      </c>
      <c r="G346">
        <f>F346&amp;"-"&amp;TEXT(C346,"00")</f>
        <v/>
      </c>
    </row>
    <row r="347">
      <c r="A347" s="170">
        <f>A346+7</f>
        <v/>
      </c>
      <c r="B347">
        <f>INT((A347-DATE(YEAR(A347),1,1))/7)+1</f>
        <v/>
      </c>
      <c r="C347">
        <f>MONTH(A347)</f>
        <v/>
      </c>
      <c r="D347">
        <f>TEXT(A347,"mmm")</f>
        <v/>
      </c>
      <c r="E347">
        <f>ROUNDUP(C347/3,0)</f>
        <v/>
      </c>
      <c r="F347">
        <f>YEAR(A347)</f>
        <v/>
      </c>
      <c r="G347">
        <f>F347&amp;"-"&amp;TEXT(C347,"00")</f>
        <v/>
      </c>
    </row>
    <row r="348">
      <c r="A348" s="170">
        <f>A347+7</f>
        <v/>
      </c>
      <c r="B348">
        <f>INT((A348-DATE(YEAR(A348),1,1))/7)+1</f>
        <v/>
      </c>
      <c r="C348">
        <f>MONTH(A348)</f>
        <v/>
      </c>
      <c r="D348">
        <f>TEXT(A348,"mmm")</f>
        <v/>
      </c>
      <c r="E348">
        <f>ROUNDUP(C348/3,0)</f>
        <v/>
      </c>
      <c r="F348">
        <f>YEAR(A348)</f>
        <v/>
      </c>
      <c r="G348">
        <f>F348&amp;"-"&amp;TEXT(C348,"00")</f>
        <v/>
      </c>
    </row>
    <row r="349">
      <c r="A349" s="170">
        <f>A348+7</f>
        <v/>
      </c>
      <c r="B349">
        <f>INT((A349-DATE(YEAR(A349),1,1))/7)+1</f>
        <v/>
      </c>
      <c r="C349">
        <f>MONTH(A349)</f>
        <v/>
      </c>
      <c r="D349">
        <f>TEXT(A349,"mmm")</f>
        <v/>
      </c>
      <c r="E349">
        <f>ROUNDUP(C349/3,0)</f>
        <v/>
      </c>
      <c r="F349">
        <f>YEAR(A349)</f>
        <v/>
      </c>
      <c r="G349">
        <f>F349&amp;"-"&amp;TEXT(C349,"00")</f>
        <v/>
      </c>
    </row>
    <row r="350">
      <c r="A350" s="170">
        <f>A349+7</f>
        <v/>
      </c>
      <c r="B350">
        <f>INT((A350-DATE(YEAR(A350),1,1))/7)+1</f>
        <v/>
      </c>
      <c r="C350">
        <f>MONTH(A350)</f>
        <v/>
      </c>
      <c r="D350">
        <f>TEXT(A350,"mmm")</f>
        <v/>
      </c>
      <c r="E350">
        <f>ROUNDUP(C350/3,0)</f>
        <v/>
      </c>
      <c r="F350">
        <f>YEAR(A350)</f>
        <v/>
      </c>
      <c r="G350">
        <f>F350&amp;"-"&amp;TEXT(C350,"00")</f>
        <v/>
      </c>
    </row>
    <row r="351">
      <c r="A351" s="170">
        <f>A350+7</f>
        <v/>
      </c>
      <c r="B351">
        <f>INT((A351-DATE(YEAR(A351),1,1))/7)+1</f>
        <v/>
      </c>
      <c r="C351">
        <f>MONTH(A351)</f>
        <v/>
      </c>
      <c r="D351">
        <f>TEXT(A351,"mmm")</f>
        <v/>
      </c>
      <c r="E351">
        <f>ROUNDUP(C351/3,0)</f>
        <v/>
      </c>
      <c r="F351">
        <f>YEAR(A351)</f>
        <v/>
      </c>
      <c r="G351">
        <f>F351&amp;"-"&amp;TEXT(C351,"00")</f>
        <v/>
      </c>
    </row>
    <row r="352">
      <c r="A352" s="170">
        <f>A351+7</f>
        <v/>
      </c>
      <c r="B352">
        <f>INT((A352-DATE(YEAR(A352),1,1))/7)+1</f>
        <v/>
      </c>
      <c r="C352">
        <f>MONTH(A352)</f>
        <v/>
      </c>
      <c r="D352">
        <f>TEXT(A352,"mmm")</f>
        <v/>
      </c>
      <c r="E352">
        <f>ROUNDUP(C352/3,0)</f>
        <v/>
      </c>
      <c r="F352">
        <f>YEAR(A352)</f>
        <v/>
      </c>
      <c r="G352">
        <f>F352&amp;"-"&amp;TEXT(C352,"00")</f>
        <v/>
      </c>
    </row>
    <row r="353">
      <c r="A353" s="170">
        <f>A352+7</f>
        <v/>
      </c>
      <c r="B353">
        <f>INT((A353-DATE(YEAR(A353),1,1))/7)+1</f>
        <v/>
      </c>
      <c r="C353">
        <f>MONTH(A353)</f>
        <v/>
      </c>
      <c r="D353">
        <f>TEXT(A353,"mmm")</f>
        <v/>
      </c>
      <c r="E353">
        <f>ROUNDUP(C353/3,0)</f>
        <v/>
      </c>
      <c r="F353">
        <f>YEAR(A353)</f>
        <v/>
      </c>
      <c r="G353">
        <f>F353&amp;"-"&amp;TEXT(C353,"00")</f>
        <v/>
      </c>
    </row>
    <row r="354">
      <c r="A354" s="170">
        <f>A353+7</f>
        <v/>
      </c>
      <c r="B354">
        <f>INT((A354-DATE(YEAR(A354),1,1))/7)+1</f>
        <v/>
      </c>
      <c r="C354">
        <f>MONTH(A354)</f>
        <v/>
      </c>
      <c r="D354">
        <f>TEXT(A354,"mmm")</f>
        <v/>
      </c>
      <c r="E354">
        <f>ROUNDUP(C354/3,0)</f>
        <v/>
      </c>
      <c r="F354">
        <f>YEAR(A354)</f>
        <v/>
      </c>
      <c r="G354">
        <f>F354&amp;"-"&amp;TEXT(C354,"00")</f>
        <v/>
      </c>
    </row>
    <row r="355">
      <c r="A355" s="170">
        <f>A354+7</f>
        <v/>
      </c>
      <c r="B355">
        <f>INT((A355-DATE(YEAR(A355),1,1))/7)+1</f>
        <v/>
      </c>
      <c r="C355">
        <f>MONTH(A355)</f>
        <v/>
      </c>
      <c r="D355">
        <f>TEXT(A355,"mmm")</f>
        <v/>
      </c>
      <c r="E355">
        <f>ROUNDUP(C355/3,0)</f>
        <v/>
      </c>
      <c r="F355">
        <f>YEAR(A355)</f>
        <v/>
      </c>
      <c r="G355">
        <f>F355&amp;"-"&amp;TEXT(C355,"00")</f>
        <v/>
      </c>
    </row>
    <row r="356">
      <c r="A356" s="170">
        <f>A355+7</f>
        <v/>
      </c>
      <c r="B356">
        <f>INT((A356-DATE(YEAR(A356),1,1))/7)+1</f>
        <v/>
      </c>
      <c r="C356">
        <f>MONTH(A356)</f>
        <v/>
      </c>
      <c r="D356">
        <f>TEXT(A356,"mmm")</f>
        <v/>
      </c>
      <c r="E356">
        <f>ROUNDUP(C356/3,0)</f>
        <v/>
      </c>
      <c r="F356">
        <f>YEAR(A356)</f>
        <v/>
      </c>
      <c r="G356">
        <f>F356&amp;"-"&amp;TEXT(C356,"00")</f>
        <v/>
      </c>
    </row>
    <row r="357">
      <c r="A357" s="170">
        <f>A356+7</f>
        <v/>
      </c>
      <c r="B357">
        <f>INT((A357-DATE(YEAR(A357),1,1))/7)+1</f>
        <v/>
      </c>
      <c r="C357">
        <f>MONTH(A357)</f>
        <v/>
      </c>
      <c r="D357">
        <f>TEXT(A357,"mmm")</f>
        <v/>
      </c>
      <c r="E357">
        <f>ROUNDUP(C357/3,0)</f>
        <v/>
      </c>
      <c r="F357">
        <f>YEAR(A357)</f>
        <v/>
      </c>
      <c r="G357">
        <f>F357&amp;"-"&amp;TEXT(C357,"00")</f>
        <v/>
      </c>
    </row>
    <row r="358">
      <c r="A358" s="170">
        <f>A357+7</f>
        <v/>
      </c>
      <c r="B358">
        <f>INT((A358-DATE(YEAR(A358),1,1))/7)+1</f>
        <v/>
      </c>
      <c r="C358">
        <f>MONTH(A358)</f>
        <v/>
      </c>
      <c r="D358">
        <f>TEXT(A358,"mmm")</f>
        <v/>
      </c>
      <c r="E358">
        <f>ROUNDUP(C358/3,0)</f>
        <v/>
      </c>
      <c r="F358">
        <f>YEAR(A358)</f>
        <v/>
      </c>
      <c r="G358">
        <f>F358&amp;"-"&amp;TEXT(C358,"00")</f>
        <v/>
      </c>
    </row>
    <row r="359">
      <c r="A359" s="170">
        <f>A358+7</f>
        <v/>
      </c>
      <c r="B359">
        <f>INT((A359-DATE(YEAR(A359),1,1))/7)+1</f>
        <v/>
      </c>
      <c r="C359">
        <f>MONTH(A359)</f>
        <v/>
      </c>
      <c r="D359">
        <f>TEXT(A359,"mmm")</f>
        <v/>
      </c>
      <c r="E359">
        <f>ROUNDUP(C359/3,0)</f>
        <v/>
      </c>
      <c r="F359">
        <f>YEAR(A359)</f>
        <v/>
      </c>
      <c r="G359">
        <f>F359&amp;"-"&amp;TEXT(C359,"00")</f>
        <v/>
      </c>
    </row>
    <row r="360">
      <c r="A360" s="170">
        <f>A359+7</f>
        <v/>
      </c>
      <c r="B360">
        <f>INT((A360-DATE(YEAR(A360),1,1))/7)+1</f>
        <v/>
      </c>
      <c r="C360">
        <f>MONTH(A360)</f>
        <v/>
      </c>
      <c r="D360">
        <f>TEXT(A360,"mmm")</f>
        <v/>
      </c>
      <c r="E360">
        <f>ROUNDUP(C360/3,0)</f>
        <v/>
      </c>
      <c r="F360">
        <f>YEAR(A360)</f>
        <v/>
      </c>
      <c r="G360">
        <f>F360&amp;"-"&amp;TEXT(C360,"00")</f>
        <v/>
      </c>
    </row>
    <row r="361">
      <c r="A361" s="170">
        <f>A360+7</f>
        <v/>
      </c>
      <c r="B361">
        <f>INT((A361-DATE(YEAR(A361),1,1))/7)+1</f>
        <v/>
      </c>
      <c r="C361">
        <f>MONTH(A361)</f>
        <v/>
      </c>
      <c r="D361">
        <f>TEXT(A361,"mmm")</f>
        <v/>
      </c>
      <c r="E361">
        <f>ROUNDUP(C361/3,0)</f>
        <v/>
      </c>
      <c r="F361">
        <f>YEAR(A361)</f>
        <v/>
      </c>
      <c r="G361">
        <f>F361&amp;"-"&amp;TEXT(C361,"00")</f>
        <v/>
      </c>
    </row>
    <row r="362">
      <c r="A362" s="170">
        <f>A361+7</f>
        <v/>
      </c>
      <c r="B362">
        <f>INT((A362-DATE(YEAR(A362),1,1))/7)+1</f>
        <v/>
      </c>
      <c r="C362">
        <f>MONTH(A362)</f>
        <v/>
      </c>
      <c r="D362">
        <f>TEXT(A362,"mmm")</f>
        <v/>
      </c>
      <c r="E362">
        <f>ROUNDUP(C362/3,0)</f>
        <v/>
      </c>
      <c r="F362">
        <f>YEAR(A362)</f>
        <v/>
      </c>
      <c r="G362">
        <f>F362&amp;"-"&amp;TEXT(C362,"00")</f>
        <v/>
      </c>
    </row>
    <row r="363">
      <c r="A363" s="170">
        <f>A362+7</f>
        <v/>
      </c>
      <c r="B363">
        <f>INT((A363-DATE(YEAR(A363),1,1))/7)+1</f>
        <v/>
      </c>
      <c r="C363">
        <f>MONTH(A363)</f>
        <v/>
      </c>
      <c r="D363">
        <f>TEXT(A363,"mmm")</f>
        <v/>
      </c>
      <c r="E363">
        <f>ROUNDUP(C363/3,0)</f>
        <v/>
      </c>
      <c r="F363">
        <f>YEAR(A363)</f>
        <v/>
      </c>
      <c r="G363">
        <f>F363&amp;"-"&amp;TEXT(C363,"00")</f>
        <v/>
      </c>
    </row>
    <row r="364">
      <c r="A364" s="170">
        <f>A363+7</f>
        <v/>
      </c>
      <c r="B364">
        <f>INT((A364-DATE(YEAR(A364),1,1))/7)+1</f>
        <v/>
      </c>
      <c r="C364">
        <f>MONTH(A364)</f>
        <v/>
      </c>
      <c r="D364">
        <f>TEXT(A364,"mmm")</f>
        <v/>
      </c>
      <c r="E364">
        <f>ROUNDUP(C364/3,0)</f>
        <v/>
      </c>
      <c r="F364">
        <f>YEAR(A364)</f>
        <v/>
      </c>
      <c r="G364">
        <f>F364&amp;"-"&amp;TEXT(C364,"00")</f>
        <v/>
      </c>
    </row>
    <row r="365">
      <c r="A365" s="170">
        <f>A364+7</f>
        <v/>
      </c>
      <c r="B365">
        <f>INT((A365-DATE(YEAR(A365),1,1))/7)+1</f>
        <v/>
      </c>
      <c r="C365">
        <f>MONTH(A365)</f>
        <v/>
      </c>
      <c r="D365">
        <f>TEXT(A365,"mmm")</f>
        <v/>
      </c>
      <c r="E365">
        <f>ROUNDUP(C365/3,0)</f>
        <v/>
      </c>
      <c r="F365">
        <f>YEAR(A365)</f>
        <v/>
      </c>
      <c r="G365">
        <f>F365&amp;"-"&amp;TEXT(C365,"00")</f>
        <v/>
      </c>
    </row>
    <row r="366">
      <c r="A366" s="170">
        <f>A365+7</f>
        <v/>
      </c>
      <c r="B366">
        <f>INT((A366-DATE(YEAR(A366),1,1))/7)+1</f>
        <v/>
      </c>
      <c r="C366">
        <f>MONTH(A366)</f>
        <v/>
      </c>
      <c r="D366">
        <f>TEXT(A366,"mmm")</f>
        <v/>
      </c>
      <c r="E366">
        <f>ROUNDUP(C366/3,0)</f>
        <v/>
      </c>
      <c r="F366">
        <f>YEAR(A366)</f>
        <v/>
      </c>
      <c r="G366">
        <f>F366&amp;"-"&amp;TEXT(C366,"00")</f>
        <v/>
      </c>
    </row>
    <row r="367">
      <c r="A367" s="170">
        <f>A366+7</f>
        <v/>
      </c>
      <c r="B367">
        <f>INT((A367-DATE(YEAR(A367),1,1))/7)+1</f>
        <v/>
      </c>
      <c r="C367">
        <f>MONTH(A367)</f>
        <v/>
      </c>
      <c r="D367">
        <f>TEXT(A367,"mmm")</f>
        <v/>
      </c>
      <c r="E367">
        <f>ROUNDUP(C367/3,0)</f>
        <v/>
      </c>
      <c r="F367">
        <f>YEAR(A367)</f>
        <v/>
      </c>
      <c r="G367">
        <f>F367&amp;"-"&amp;TEXT(C367,"00")</f>
        <v/>
      </c>
    </row>
    <row r="368">
      <c r="A368" s="170">
        <f>A367+7</f>
        <v/>
      </c>
      <c r="B368">
        <f>INT((A368-DATE(YEAR(A368),1,1))/7)+1</f>
        <v/>
      </c>
      <c r="C368">
        <f>MONTH(A368)</f>
        <v/>
      </c>
      <c r="D368">
        <f>TEXT(A368,"mmm")</f>
        <v/>
      </c>
      <c r="E368">
        <f>ROUNDUP(C368/3,0)</f>
        <v/>
      </c>
      <c r="F368">
        <f>YEAR(A368)</f>
        <v/>
      </c>
      <c r="G368">
        <f>F368&amp;"-"&amp;TEXT(C368,"00")</f>
        <v/>
      </c>
    </row>
    <row r="369">
      <c r="A369" s="170">
        <f>A368+7</f>
        <v/>
      </c>
      <c r="B369">
        <f>INT((A369-DATE(YEAR(A369),1,1))/7)+1</f>
        <v/>
      </c>
      <c r="C369">
        <f>MONTH(A369)</f>
        <v/>
      </c>
      <c r="D369">
        <f>TEXT(A369,"mmm")</f>
        <v/>
      </c>
      <c r="E369">
        <f>ROUNDUP(C369/3,0)</f>
        <v/>
      </c>
      <c r="F369">
        <f>YEAR(A369)</f>
        <v/>
      </c>
      <c r="G369">
        <f>F369&amp;"-"&amp;TEXT(C369,"00")</f>
        <v/>
      </c>
    </row>
    <row r="370">
      <c r="A370" s="170">
        <f>A369+7</f>
        <v/>
      </c>
      <c r="B370">
        <f>INT((A370-DATE(YEAR(A370),1,1))/7)+1</f>
        <v/>
      </c>
      <c r="C370">
        <f>MONTH(A370)</f>
        <v/>
      </c>
      <c r="D370">
        <f>TEXT(A370,"mmm")</f>
        <v/>
      </c>
      <c r="E370">
        <f>ROUNDUP(C370/3,0)</f>
        <v/>
      </c>
      <c r="F370">
        <f>YEAR(A370)</f>
        <v/>
      </c>
      <c r="G370">
        <f>F370&amp;"-"&amp;TEXT(C370,"00")</f>
        <v/>
      </c>
    </row>
    <row r="371">
      <c r="A371" s="170">
        <f>A370+7</f>
        <v/>
      </c>
      <c r="B371">
        <f>INT((A371-DATE(YEAR(A371),1,1))/7)+1</f>
        <v/>
      </c>
      <c r="C371">
        <f>MONTH(A371)</f>
        <v/>
      </c>
      <c r="D371">
        <f>TEXT(A371,"mmm")</f>
        <v/>
      </c>
      <c r="E371">
        <f>ROUNDUP(C371/3,0)</f>
        <v/>
      </c>
      <c r="F371">
        <f>YEAR(A371)</f>
        <v/>
      </c>
      <c r="G371">
        <f>F371&amp;"-"&amp;TEXT(C371,"00")</f>
        <v/>
      </c>
    </row>
    <row r="372">
      <c r="A372" s="170">
        <f>A371+7</f>
        <v/>
      </c>
      <c r="B372">
        <f>INT((A372-DATE(YEAR(A372),1,1))/7)+1</f>
        <v/>
      </c>
      <c r="C372">
        <f>MONTH(A372)</f>
        <v/>
      </c>
      <c r="D372">
        <f>TEXT(A372,"mmm")</f>
        <v/>
      </c>
      <c r="E372">
        <f>ROUNDUP(C372/3,0)</f>
        <v/>
      </c>
      <c r="F372">
        <f>YEAR(A372)</f>
        <v/>
      </c>
      <c r="G372">
        <f>F372&amp;"-"&amp;TEXT(C372,"00")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999999"/>
    <outlinePr summaryBelow="1" summaryRight="1"/>
    <pageSetUpPr/>
  </sheetPr>
  <dimension ref="A1:C25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</cols>
  <sheetData>
    <row r="1">
      <c r="A1" s="179" t="inlineStr">
        <is>
          <t>SETTINGS</t>
        </is>
      </c>
    </row>
    <row r="2">
      <c r="A2" s="168" t="inlineStr">
        <is>
          <t>Edit the blue values. They are kept when ingest.py rebuilds the workbook.</t>
        </is>
      </c>
    </row>
    <row r="3">
      <c r="A3" s="180" t="inlineStr">
        <is>
          <t>Setting</t>
        </is>
      </c>
      <c r="B3" s="180" t="inlineStr">
        <is>
          <t>Value</t>
        </is>
      </c>
      <c r="C3" s="180" t="inlineStr">
        <is>
          <t>What it does</t>
        </is>
      </c>
    </row>
    <row r="4">
      <c r="A4" s="27" t="inlineStr">
        <is>
          <t>WeekEndDay</t>
        </is>
      </c>
      <c r="B4" s="181" t="n">
        <v>7</v>
      </c>
      <c r="C4" s="182" t="inlineStr">
        <is>
          <t>Day the reporting week ends: 1=Mon ... 6=Sat, 7=Sun. Change it in settings.yaml, then run ingest.py so stored data and the workbook stay in step.</t>
        </is>
      </c>
    </row>
    <row r="5">
      <c r="A5" s="27" t="inlineStr">
        <is>
          <t>DefaultWindow</t>
        </is>
      </c>
      <c r="B5" s="183" t="n">
        <v>4</v>
      </c>
      <c r="C5" s="182" t="inlineStr">
        <is>
          <t>Comparison window used when a dashboard's window box is empty (1, 2, 4, 8, 13, 26 or 52).</t>
        </is>
      </c>
    </row>
    <row r="6">
      <c r="A6" s="27" t="inlineStr">
        <is>
          <t>RAG_Green</t>
        </is>
      </c>
      <c r="B6" s="184" t="n">
        <v>0.9</v>
      </c>
      <c r="C6" s="182" t="inlineStr">
        <is>
          <t>Reporting / utilisation at or above this is green.</t>
        </is>
      </c>
    </row>
    <row r="7">
      <c r="A7" s="27" t="inlineStr">
        <is>
          <t>RAG_Amber</t>
        </is>
      </c>
      <c r="B7" s="184" t="n">
        <v>0.75</v>
      </c>
      <c r="C7" s="182" t="inlineStr">
        <is>
          <t>At or above this (but below green) is amber; below it is red.</t>
        </is>
      </c>
    </row>
    <row r="8">
      <c r="A8" s="27" t="inlineStr">
        <is>
          <t>UtilLow</t>
        </is>
      </c>
      <c r="B8" s="184" t="n">
        <v>0.5</v>
      </c>
      <c r="C8" s="182" t="inlineStr">
        <is>
          <t>Transport: buses/routes under this utilisation are flagged (X in the spec).</t>
        </is>
      </c>
    </row>
    <row r="9">
      <c r="A9" s="27" t="inlineStr">
        <is>
          <t>UtilHigh</t>
        </is>
      </c>
      <c r="B9" s="184" t="n">
        <v>1</v>
      </c>
      <c r="C9" s="182" t="inlineStr">
        <is>
          <t>Transport: utilisation above this means demand exceeds capacity.</t>
        </is>
      </c>
    </row>
    <row r="10">
      <c r="A10" s="27" t="inlineStr">
        <is>
          <t>UtilLowWeeks</t>
        </is>
      </c>
      <c r="B10" s="183" t="n">
        <v>4</v>
      </c>
      <c r="C10" s="182" t="inlineStr">
        <is>
          <t>Transport: consecutive weeks under UtilLow before a plain-language flag is raised.</t>
        </is>
      </c>
    </row>
    <row r="11">
      <c r="A11" s="27" t="inlineStr">
        <is>
          <t>Cap_FT</t>
        </is>
      </c>
      <c r="B11" s="183" t="n">
        <v>22</v>
      </c>
      <c r="C11" s="182" t="inlineStr">
        <is>
          <t>Seats per trip, FT Procured (LT) buses.</t>
        </is>
      </c>
    </row>
    <row r="12">
      <c r="A12" s="27" t="inlineStr">
        <is>
          <t>Cap_Coaster</t>
        </is>
      </c>
      <c r="B12" s="183" t="n">
        <v>30</v>
      </c>
      <c r="C12" s="182" t="inlineStr">
        <is>
          <t>Seats per trip, church-owned Coasters (assumed 30; confirm).</t>
        </is>
      </c>
    </row>
    <row r="13">
      <c r="A13" s="27" t="inlineStr">
        <is>
          <t>Cap_Electric</t>
        </is>
      </c>
      <c r="B13" s="183" t="n">
        <v>70</v>
      </c>
      <c r="C13" s="182" t="inlineStr">
        <is>
          <t>Riders per trip, electric buses.</t>
        </is>
      </c>
    </row>
    <row r="14">
      <c r="A14" s="27" t="inlineStr">
        <is>
          <t>Cap_Big</t>
        </is>
      </c>
      <c r="B14" s="183" t="n">
        <v>70</v>
      </c>
      <c r="C14" s="182" t="inlineStr">
        <is>
          <t>Riders per trip, big buses.</t>
        </is>
      </c>
    </row>
    <row r="15">
      <c r="A15" s="27" t="inlineStr">
        <is>
          <t>CurrencySymbol</t>
        </is>
      </c>
      <c r="B15" s="185" t="inlineStr">
        <is>
          <t>₦</t>
        </is>
      </c>
      <c r="C15" s="182" t="inlineStr">
        <is>
          <t>Currency shown on finance figures (NGN).</t>
        </is>
      </c>
    </row>
    <row r="18">
      <c r="A18" s="27" t="inlineStr">
        <is>
          <t>Stream colours (used on every sheet)</t>
        </is>
      </c>
    </row>
    <row r="19">
      <c r="A19" s="31" t="inlineStr">
        <is>
          <t>MASTER</t>
        </is>
      </c>
      <c r="B19" s="180" t="inlineStr">
        <is>
          <t>#1B2A41</t>
        </is>
      </c>
    </row>
    <row r="20">
      <c r="A20" s="31" t="inlineStr">
        <is>
          <t>WSF</t>
        </is>
      </c>
      <c r="B20" s="169" t="inlineStr">
        <is>
          <t>#1F5FA8</t>
        </is>
      </c>
    </row>
    <row r="21">
      <c r="A21" s="31" t="inlineStr">
        <is>
          <t>MIDWEEK</t>
        </is>
      </c>
      <c r="B21" s="173" t="inlineStr">
        <is>
          <t>#0F7C74</t>
        </is>
      </c>
    </row>
    <row r="22">
      <c r="A22" s="31" t="inlineStr">
        <is>
          <t>CHOP</t>
        </is>
      </c>
      <c r="B22" s="174" t="inlineStr">
        <is>
          <t>#6A3FA0</t>
        </is>
      </c>
    </row>
    <row r="23">
      <c r="A23" s="31" t="inlineStr">
        <is>
          <t>COMMUNITY</t>
        </is>
      </c>
      <c r="B23" s="175" t="inlineStr">
        <is>
          <t>#B5446E</t>
        </is>
      </c>
    </row>
    <row r="24">
      <c r="A24" s="31" t="inlineStr">
        <is>
          <t>TRANSPORT</t>
        </is>
      </c>
      <c r="B24" s="176" t="inlineStr">
        <is>
          <t>#D9731A</t>
        </is>
      </c>
    </row>
    <row r="25">
      <c r="A25" s="31" t="inlineStr">
        <is>
          <t>QUALITY</t>
        </is>
      </c>
      <c r="B25" s="178" t="inlineStr">
        <is>
          <t>#5B6770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5"/>
  <sheetViews>
    <sheetView tabSelected="0" workbookViewId="0">
      <selection activeCell="A1" sqref="A1"/>
    </sheetView>
  </sheetViews>
  <sheetFormatPr baseColWidth="8" defaultRowHeight="15"/>
  <cols>
    <col width="13" customWidth="1" min="1" max="1"/>
    <col width="13" customWidth="1" min="3" max="3"/>
  </cols>
  <sheetData>
    <row r="1">
      <c r="A1" t="inlineStr">
        <is>
          <t>Latest</t>
        </is>
      </c>
      <c r="B1" t="inlineStr">
        <is>
          <t>WSF latest</t>
        </is>
      </c>
      <c r="C1" t="inlineStr">
        <is>
          <t>Latest</t>
        </is>
      </c>
      <c r="D1" t="inlineStr">
        <is>
          <t>TRANSPORT latest</t>
        </is>
      </c>
    </row>
    <row r="2">
      <c r="A2" s="170">
        <f>IF($B$2=0,"",IF($B$2-0&gt;=$B$4,$B$2-0,""))</f>
        <v/>
      </c>
      <c r="B2">
        <f>MAX(DATA_WSF!$A:$A)</f>
        <v/>
      </c>
      <c r="C2" s="170">
        <f>IF($D$2=0,"",IF($D$2-0&gt;=$D$4,$D$2-0,""))</f>
        <v/>
      </c>
      <c r="D2">
        <f>MAX(DATA_TRANSPORT!$A:$A)</f>
        <v/>
      </c>
    </row>
    <row r="3">
      <c r="A3" s="170">
        <f>IF($B$2=0,"",IF($B$2-7&gt;=$B$4,$B$2-7,""))</f>
        <v/>
      </c>
      <c r="B3" t="inlineStr">
        <is>
          <t>WSF earliest</t>
        </is>
      </c>
      <c r="C3" s="170">
        <f>IF($D$2=0,"",IF($D$2-7&gt;=$D$4,$D$2-7,""))</f>
        <v/>
      </c>
      <c r="D3" t="inlineStr">
        <is>
          <t>TRANSPORT earliest</t>
        </is>
      </c>
    </row>
    <row r="4">
      <c r="A4" s="170">
        <f>IF($B$2=0,"",IF($B$2-14&gt;=$B$4,$B$2-14,""))</f>
        <v/>
      </c>
      <c r="B4">
        <f>MIN(DATA_WSF!$A:$A)</f>
        <v/>
      </c>
      <c r="C4" s="170">
        <f>IF($D$2=0,"",IF($D$2-14&gt;=$D$4,$D$2-14,""))</f>
        <v/>
      </c>
      <c r="D4">
        <f>MIN(DATA_TRANSPORT!$A:$A)</f>
        <v/>
      </c>
    </row>
    <row r="5">
      <c r="A5" s="170">
        <f>IF($B$2=0,"",IF($B$2-21&gt;=$B$4,$B$2-21,""))</f>
        <v/>
      </c>
      <c r="B5" t="inlineStr">
        <is>
          <t>WSF weeks listed</t>
        </is>
      </c>
      <c r="C5" s="170">
        <f>IF($D$2=0,"",IF($D$2-21&gt;=$D$4,$D$2-21,""))</f>
        <v/>
      </c>
      <c r="D5" t="inlineStr">
        <is>
          <t>TRANSPORT weeks listed</t>
        </is>
      </c>
    </row>
    <row r="6">
      <c r="A6" s="170">
        <f>IF($B$2=0,"",IF($B$2-28&gt;=$B$4,$B$2-28,""))</f>
        <v/>
      </c>
      <c r="B6">
        <f>COUNT(A2:A105)</f>
        <v/>
      </c>
      <c r="C6" s="170">
        <f>IF($D$2=0,"",IF($D$2-28&gt;=$D$4,$D$2-28,""))</f>
        <v/>
      </c>
      <c r="D6">
        <f>COUNT(C2:C105)</f>
        <v/>
      </c>
    </row>
    <row r="7">
      <c r="A7" s="170">
        <f>IF($B$2=0,"",IF($B$2-35&gt;=$B$4,$B$2-35,""))</f>
        <v/>
      </c>
      <c r="C7" s="170">
        <f>IF($D$2=0,"",IF($D$2-35&gt;=$D$4,$D$2-35,""))</f>
        <v/>
      </c>
    </row>
    <row r="8">
      <c r="A8" s="170">
        <f>IF($B$2=0,"",IF($B$2-42&gt;=$B$4,$B$2-42,""))</f>
        <v/>
      </c>
      <c r="C8" s="170">
        <f>IF($D$2=0,"",IF($D$2-42&gt;=$D$4,$D$2-42,""))</f>
        <v/>
      </c>
    </row>
    <row r="9">
      <c r="A9" s="170">
        <f>IF($B$2=0,"",IF($B$2-49&gt;=$B$4,$B$2-49,""))</f>
        <v/>
      </c>
      <c r="C9" s="170">
        <f>IF($D$2=0,"",IF($D$2-49&gt;=$D$4,$D$2-49,""))</f>
        <v/>
      </c>
    </row>
    <row r="10">
      <c r="A10" s="170">
        <f>IF($B$2=0,"",IF($B$2-56&gt;=$B$4,$B$2-56,""))</f>
        <v/>
      </c>
      <c r="C10" s="170">
        <f>IF($D$2=0,"",IF($D$2-56&gt;=$D$4,$D$2-56,""))</f>
        <v/>
      </c>
    </row>
    <row r="11">
      <c r="A11" s="170">
        <f>IF($B$2=0,"",IF($B$2-63&gt;=$B$4,$B$2-63,""))</f>
        <v/>
      </c>
      <c r="C11" s="170">
        <f>IF($D$2=0,"",IF($D$2-63&gt;=$D$4,$D$2-63,""))</f>
        <v/>
      </c>
    </row>
    <row r="12">
      <c r="A12" s="170">
        <f>IF($B$2=0,"",IF($B$2-70&gt;=$B$4,$B$2-70,""))</f>
        <v/>
      </c>
      <c r="C12" s="170">
        <f>IF($D$2=0,"",IF($D$2-70&gt;=$D$4,$D$2-70,""))</f>
        <v/>
      </c>
    </row>
    <row r="13">
      <c r="A13" s="170">
        <f>IF($B$2=0,"",IF($B$2-77&gt;=$B$4,$B$2-77,""))</f>
        <v/>
      </c>
      <c r="C13" s="170">
        <f>IF($D$2=0,"",IF($D$2-77&gt;=$D$4,$D$2-77,""))</f>
        <v/>
      </c>
    </row>
    <row r="14">
      <c r="A14" s="170">
        <f>IF($B$2=0,"",IF($B$2-84&gt;=$B$4,$B$2-84,""))</f>
        <v/>
      </c>
      <c r="C14" s="170">
        <f>IF($D$2=0,"",IF($D$2-84&gt;=$D$4,$D$2-84,""))</f>
        <v/>
      </c>
    </row>
    <row r="15">
      <c r="A15" s="170">
        <f>IF($B$2=0,"",IF($B$2-91&gt;=$B$4,$B$2-91,""))</f>
        <v/>
      </c>
      <c r="C15" s="170">
        <f>IF($D$2=0,"",IF($D$2-91&gt;=$D$4,$D$2-91,""))</f>
        <v/>
      </c>
    </row>
    <row r="16">
      <c r="A16" s="170">
        <f>IF($B$2=0,"",IF($B$2-98&gt;=$B$4,$B$2-98,""))</f>
        <v/>
      </c>
      <c r="C16" s="170">
        <f>IF($D$2=0,"",IF($D$2-98&gt;=$D$4,$D$2-98,""))</f>
        <v/>
      </c>
    </row>
    <row r="17">
      <c r="A17" s="170">
        <f>IF($B$2=0,"",IF($B$2-105&gt;=$B$4,$B$2-105,""))</f>
        <v/>
      </c>
      <c r="C17" s="170">
        <f>IF($D$2=0,"",IF($D$2-105&gt;=$D$4,$D$2-105,""))</f>
        <v/>
      </c>
    </row>
    <row r="18">
      <c r="A18" s="170">
        <f>IF($B$2=0,"",IF($B$2-112&gt;=$B$4,$B$2-112,""))</f>
        <v/>
      </c>
      <c r="C18" s="170">
        <f>IF($D$2=0,"",IF($D$2-112&gt;=$D$4,$D$2-112,""))</f>
        <v/>
      </c>
    </row>
    <row r="19">
      <c r="A19" s="170">
        <f>IF($B$2=0,"",IF($B$2-119&gt;=$B$4,$B$2-119,""))</f>
        <v/>
      </c>
      <c r="C19" s="170">
        <f>IF($D$2=0,"",IF($D$2-119&gt;=$D$4,$D$2-119,""))</f>
        <v/>
      </c>
    </row>
    <row r="20">
      <c r="A20" s="170">
        <f>IF($B$2=0,"",IF($B$2-126&gt;=$B$4,$B$2-126,""))</f>
        <v/>
      </c>
      <c r="C20" s="170">
        <f>IF($D$2=0,"",IF($D$2-126&gt;=$D$4,$D$2-126,""))</f>
        <v/>
      </c>
    </row>
    <row r="21">
      <c r="A21" s="170">
        <f>IF($B$2=0,"",IF($B$2-133&gt;=$B$4,$B$2-133,""))</f>
        <v/>
      </c>
      <c r="C21" s="170">
        <f>IF($D$2=0,"",IF($D$2-133&gt;=$D$4,$D$2-133,""))</f>
        <v/>
      </c>
    </row>
    <row r="22">
      <c r="A22" s="170">
        <f>IF($B$2=0,"",IF($B$2-140&gt;=$B$4,$B$2-140,""))</f>
        <v/>
      </c>
      <c r="C22" s="170">
        <f>IF($D$2=0,"",IF($D$2-140&gt;=$D$4,$D$2-140,""))</f>
        <v/>
      </c>
    </row>
    <row r="23">
      <c r="A23" s="170">
        <f>IF($B$2=0,"",IF($B$2-147&gt;=$B$4,$B$2-147,""))</f>
        <v/>
      </c>
      <c r="C23" s="170">
        <f>IF($D$2=0,"",IF($D$2-147&gt;=$D$4,$D$2-147,""))</f>
        <v/>
      </c>
    </row>
    <row r="24">
      <c r="A24" s="170">
        <f>IF($B$2=0,"",IF($B$2-154&gt;=$B$4,$B$2-154,""))</f>
        <v/>
      </c>
      <c r="C24" s="170">
        <f>IF($D$2=0,"",IF($D$2-154&gt;=$D$4,$D$2-154,""))</f>
        <v/>
      </c>
    </row>
    <row r="25">
      <c r="A25" s="170">
        <f>IF($B$2=0,"",IF($B$2-161&gt;=$B$4,$B$2-161,""))</f>
        <v/>
      </c>
      <c r="C25" s="170">
        <f>IF($D$2=0,"",IF($D$2-161&gt;=$D$4,$D$2-161,""))</f>
        <v/>
      </c>
    </row>
    <row r="26">
      <c r="A26" s="170">
        <f>IF($B$2=0,"",IF($B$2-168&gt;=$B$4,$B$2-168,""))</f>
        <v/>
      </c>
      <c r="C26" s="170">
        <f>IF($D$2=0,"",IF($D$2-168&gt;=$D$4,$D$2-168,""))</f>
        <v/>
      </c>
    </row>
    <row r="27">
      <c r="A27" s="170">
        <f>IF($B$2=0,"",IF($B$2-175&gt;=$B$4,$B$2-175,""))</f>
        <v/>
      </c>
      <c r="C27" s="170">
        <f>IF($D$2=0,"",IF($D$2-175&gt;=$D$4,$D$2-175,""))</f>
        <v/>
      </c>
    </row>
    <row r="28">
      <c r="A28" s="170">
        <f>IF($B$2=0,"",IF($B$2-182&gt;=$B$4,$B$2-182,""))</f>
        <v/>
      </c>
      <c r="C28" s="170">
        <f>IF($D$2=0,"",IF($D$2-182&gt;=$D$4,$D$2-182,""))</f>
        <v/>
      </c>
    </row>
    <row r="29">
      <c r="A29" s="170">
        <f>IF($B$2=0,"",IF($B$2-189&gt;=$B$4,$B$2-189,""))</f>
        <v/>
      </c>
      <c r="C29" s="170">
        <f>IF($D$2=0,"",IF($D$2-189&gt;=$D$4,$D$2-189,""))</f>
        <v/>
      </c>
    </row>
    <row r="30">
      <c r="A30" s="170">
        <f>IF($B$2=0,"",IF($B$2-196&gt;=$B$4,$B$2-196,""))</f>
        <v/>
      </c>
      <c r="C30" s="170">
        <f>IF($D$2=0,"",IF($D$2-196&gt;=$D$4,$D$2-196,""))</f>
        <v/>
      </c>
    </row>
    <row r="31">
      <c r="A31" s="170">
        <f>IF($B$2=0,"",IF($B$2-203&gt;=$B$4,$B$2-203,""))</f>
        <v/>
      </c>
      <c r="C31" s="170">
        <f>IF($D$2=0,"",IF($D$2-203&gt;=$D$4,$D$2-203,""))</f>
        <v/>
      </c>
    </row>
    <row r="32">
      <c r="A32" s="170">
        <f>IF($B$2=0,"",IF($B$2-210&gt;=$B$4,$B$2-210,""))</f>
        <v/>
      </c>
      <c r="C32" s="170">
        <f>IF($D$2=0,"",IF($D$2-210&gt;=$D$4,$D$2-210,""))</f>
        <v/>
      </c>
    </row>
    <row r="33">
      <c r="A33" s="170">
        <f>IF($B$2=0,"",IF($B$2-217&gt;=$B$4,$B$2-217,""))</f>
        <v/>
      </c>
      <c r="C33" s="170">
        <f>IF($D$2=0,"",IF($D$2-217&gt;=$D$4,$D$2-217,""))</f>
        <v/>
      </c>
    </row>
    <row r="34">
      <c r="A34" s="170">
        <f>IF($B$2=0,"",IF($B$2-224&gt;=$B$4,$B$2-224,""))</f>
        <v/>
      </c>
      <c r="C34" s="170">
        <f>IF($D$2=0,"",IF($D$2-224&gt;=$D$4,$D$2-224,""))</f>
        <v/>
      </c>
    </row>
    <row r="35">
      <c r="A35" s="170">
        <f>IF($B$2=0,"",IF($B$2-231&gt;=$B$4,$B$2-231,""))</f>
        <v/>
      </c>
      <c r="C35" s="170">
        <f>IF($D$2=0,"",IF($D$2-231&gt;=$D$4,$D$2-231,""))</f>
        <v/>
      </c>
    </row>
    <row r="36">
      <c r="A36" s="170">
        <f>IF($B$2=0,"",IF($B$2-238&gt;=$B$4,$B$2-238,""))</f>
        <v/>
      </c>
      <c r="C36" s="170">
        <f>IF($D$2=0,"",IF($D$2-238&gt;=$D$4,$D$2-238,""))</f>
        <v/>
      </c>
    </row>
    <row r="37">
      <c r="A37" s="170">
        <f>IF($B$2=0,"",IF($B$2-245&gt;=$B$4,$B$2-245,""))</f>
        <v/>
      </c>
      <c r="C37" s="170">
        <f>IF($D$2=0,"",IF($D$2-245&gt;=$D$4,$D$2-245,""))</f>
        <v/>
      </c>
    </row>
    <row r="38">
      <c r="A38" s="170">
        <f>IF($B$2=0,"",IF($B$2-252&gt;=$B$4,$B$2-252,""))</f>
        <v/>
      </c>
      <c r="C38" s="170">
        <f>IF($D$2=0,"",IF($D$2-252&gt;=$D$4,$D$2-252,""))</f>
        <v/>
      </c>
    </row>
    <row r="39">
      <c r="A39" s="170">
        <f>IF($B$2=0,"",IF($B$2-259&gt;=$B$4,$B$2-259,""))</f>
        <v/>
      </c>
      <c r="C39" s="170">
        <f>IF($D$2=0,"",IF($D$2-259&gt;=$D$4,$D$2-259,""))</f>
        <v/>
      </c>
    </row>
    <row r="40">
      <c r="A40" s="170">
        <f>IF($B$2=0,"",IF($B$2-266&gt;=$B$4,$B$2-266,""))</f>
        <v/>
      </c>
      <c r="C40" s="170">
        <f>IF($D$2=0,"",IF($D$2-266&gt;=$D$4,$D$2-266,""))</f>
        <v/>
      </c>
    </row>
    <row r="41">
      <c r="A41" s="170">
        <f>IF($B$2=0,"",IF($B$2-273&gt;=$B$4,$B$2-273,""))</f>
        <v/>
      </c>
      <c r="C41" s="170">
        <f>IF($D$2=0,"",IF($D$2-273&gt;=$D$4,$D$2-273,""))</f>
        <v/>
      </c>
    </row>
    <row r="42">
      <c r="A42" s="170">
        <f>IF($B$2=0,"",IF($B$2-280&gt;=$B$4,$B$2-280,""))</f>
        <v/>
      </c>
      <c r="C42" s="170">
        <f>IF($D$2=0,"",IF($D$2-280&gt;=$D$4,$D$2-280,""))</f>
        <v/>
      </c>
    </row>
    <row r="43">
      <c r="A43" s="170">
        <f>IF($B$2=0,"",IF($B$2-287&gt;=$B$4,$B$2-287,""))</f>
        <v/>
      </c>
      <c r="C43" s="170">
        <f>IF($D$2=0,"",IF($D$2-287&gt;=$D$4,$D$2-287,""))</f>
        <v/>
      </c>
    </row>
    <row r="44">
      <c r="A44" s="170">
        <f>IF($B$2=0,"",IF($B$2-294&gt;=$B$4,$B$2-294,""))</f>
        <v/>
      </c>
      <c r="C44" s="170">
        <f>IF($D$2=0,"",IF($D$2-294&gt;=$D$4,$D$2-294,""))</f>
        <v/>
      </c>
    </row>
    <row r="45">
      <c r="A45" s="170">
        <f>IF($B$2=0,"",IF($B$2-301&gt;=$B$4,$B$2-301,""))</f>
        <v/>
      </c>
      <c r="C45" s="170">
        <f>IF($D$2=0,"",IF($D$2-301&gt;=$D$4,$D$2-301,""))</f>
        <v/>
      </c>
    </row>
    <row r="46">
      <c r="A46" s="170">
        <f>IF($B$2=0,"",IF($B$2-308&gt;=$B$4,$B$2-308,""))</f>
        <v/>
      </c>
      <c r="C46" s="170">
        <f>IF($D$2=0,"",IF($D$2-308&gt;=$D$4,$D$2-308,""))</f>
        <v/>
      </c>
    </row>
    <row r="47">
      <c r="A47" s="170">
        <f>IF($B$2=0,"",IF($B$2-315&gt;=$B$4,$B$2-315,""))</f>
        <v/>
      </c>
      <c r="C47" s="170">
        <f>IF($D$2=0,"",IF($D$2-315&gt;=$D$4,$D$2-315,""))</f>
        <v/>
      </c>
    </row>
    <row r="48">
      <c r="A48" s="170">
        <f>IF($B$2=0,"",IF($B$2-322&gt;=$B$4,$B$2-322,""))</f>
        <v/>
      </c>
      <c r="C48" s="170">
        <f>IF($D$2=0,"",IF($D$2-322&gt;=$D$4,$D$2-322,""))</f>
        <v/>
      </c>
    </row>
    <row r="49">
      <c r="A49" s="170">
        <f>IF($B$2=0,"",IF($B$2-329&gt;=$B$4,$B$2-329,""))</f>
        <v/>
      </c>
      <c r="C49" s="170">
        <f>IF($D$2=0,"",IF($D$2-329&gt;=$D$4,$D$2-329,""))</f>
        <v/>
      </c>
    </row>
    <row r="50">
      <c r="A50" s="170">
        <f>IF($B$2=0,"",IF($B$2-336&gt;=$B$4,$B$2-336,""))</f>
        <v/>
      </c>
      <c r="C50" s="170">
        <f>IF($D$2=0,"",IF($D$2-336&gt;=$D$4,$D$2-336,""))</f>
        <v/>
      </c>
    </row>
    <row r="51">
      <c r="A51" s="170">
        <f>IF($B$2=0,"",IF($B$2-343&gt;=$B$4,$B$2-343,""))</f>
        <v/>
      </c>
      <c r="C51" s="170">
        <f>IF($D$2=0,"",IF($D$2-343&gt;=$D$4,$D$2-343,""))</f>
        <v/>
      </c>
    </row>
    <row r="52">
      <c r="A52" s="170">
        <f>IF($B$2=0,"",IF($B$2-350&gt;=$B$4,$B$2-350,""))</f>
        <v/>
      </c>
      <c r="C52" s="170">
        <f>IF($D$2=0,"",IF($D$2-350&gt;=$D$4,$D$2-350,""))</f>
        <v/>
      </c>
    </row>
    <row r="53">
      <c r="A53" s="170">
        <f>IF($B$2=0,"",IF($B$2-357&gt;=$B$4,$B$2-357,""))</f>
        <v/>
      </c>
      <c r="C53" s="170">
        <f>IF($D$2=0,"",IF($D$2-357&gt;=$D$4,$D$2-357,""))</f>
        <v/>
      </c>
    </row>
    <row r="54">
      <c r="A54" s="170">
        <f>IF($B$2=0,"",IF($B$2-364&gt;=$B$4,$B$2-364,""))</f>
        <v/>
      </c>
      <c r="C54" s="170">
        <f>IF($D$2=0,"",IF($D$2-364&gt;=$D$4,$D$2-364,""))</f>
        <v/>
      </c>
    </row>
    <row r="55">
      <c r="A55" s="170">
        <f>IF($B$2=0,"",IF($B$2-371&gt;=$B$4,$B$2-371,""))</f>
        <v/>
      </c>
      <c r="C55" s="170">
        <f>IF($D$2=0,"",IF($D$2-371&gt;=$D$4,$D$2-371,""))</f>
        <v/>
      </c>
    </row>
    <row r="56">
      <c r="A56" s="170">
        <f>IF($B$2=0,"",IF($B$2-378&gt;=$B$4,$B$2-378,""))</f>
        <v/>
      </c>
      <c r="C56" s="170">
        <f>IF($D$2=0,"",IF($D$2-378&gt;=$D$4,$D$2-378,""))</f>
        <v/>
      </c>
    </row>
    <row r="57">
      <c r="A57" s="170">
        <f>IF($B$2=0,"",IF($B$2-385&gt;=$B$4,$B$2-385,""))</f>
        <v/>
      </c>
      <c r="C57" s="170">
        <f>IF($D$2=0,"",IF($D$2-385&gt;=$D$4,$D$2-385,""))</f>
        <v/>
      </c>
    </row>
    <row r="58">
      <c r="A58" s="170">
        <f>IF($B$2=0,"",IF($B$2-392&gt;=$B$4,$B$2-392,""))</f>
        <v/>
      </c>
      <c r="C58" s="170">
        <f>IF($D$2=0,"",IF($D$2-392&gt;=$D$4,$D$2-392,""))</f>
        <v/>
      </c>
    </row>
    <row r="59">
      <c r="A59" s="170">
        <f>IF($B$2=0,"",IF($B$2-399&gt;=$B$4,$B$2-399,""))</f>
        <v/>
      </c>
      <c r="C59" s="170">
        <f>IF($D$2=0,"",IF($D$2-399&gt;=$D$4,$D$2-399,""))</f>
        <v/>
      </c>
    </row>
    <row r="60">
      <c r="A60" s="170">
        <f>IF($B$2=0,"",IF($B$2-406&gt;=$B$4,$B$2-406,""))</f>
        <v/>
      </c>
      <c r="C60" s="170">
        <f>IF($D$2=0,"",IF($D$2-406&gt;=$D$4,$D$2-406,""))</f>
        <v/>
      </c>
    </row>
    <row r="61">
      <c r="A61" s="170">
        <f>IF($B$2=0,"",IF($B$2-413&gt;=$B$4,$B$2-413,""))</f>
        <v/>
      </c>
      <c r="C61" s="170">
        <f>IF($D$2=0,"",IF($D$2-413&gt;=$D$4,$D$2-413,""))</f>
        <v/>
      </c>
    </row>
    <row r="62">
      <c r="A62" s="170">
        <f>IF($B$2=0,"",IF($B$2-420&gt;=$B$4,$B$2-420,""))</f>
        <v/>
      </c>
      <c r="C62" s="170">
        <f>IF($D$2=0,"",IF($D$2-420&gt;=$D$4,$D$2-420,""))</f>
        <v/>
      </c>
    </row>
    <row r="63">
      <c r="A63" s="170">
        <f>IF($B$2=0,"",IF($B$2-427&gt;=$B$4,$B$2-427,""))</f>
        <v/>
      </c>
      <c r="C63" s="170">
        <f>IF($D$2=0,"",IF($D$2-427&gt;=$D$4,$D$2-427,""))</f>
        <v/>
      </c>
    </row>
    <row r="64">
      <c r="A64" s="170">
        <f>IF($B$2=0,"",IF($B$2-434&gt;=$B$4,$B$2-434,""))</f>
        <v/>
      </c>
      <c r="C64" s="170">
        <f>IF($D$2=0,"",IF($D$2-434&gt;=$D$4,$D$2-434,""))</f>
        <v/>
      </c>
    </row>
    <row r="65">
      <c r="A65" s="170">
        <f>IF($B$2=0,"",IF($B$2-441&gt;=$B$4,$B$2-441,""))</f>
        <v/>
      </c>
      <c r="C65" s="170">
        <f>IF($D$2=0,"",IF($D$2-441&gt;=$D$4,$D$2-441,""))</f>
        <v/>
      </c>
    </row>
    <row r="66">
      <c r="A66" s="170">
        <f>IF($B$2=0,"",IF($B$2-448&gt;=$B$4,$B$2-448,""))</f>
        <v/>
      </c>
      <c r="C66" s="170">
        <f>IF($D$2=0,"",IF($D$2-448&gt;=$D$4,$D$2-448,""))</f>
        <v/>
      </c>
    </row>
    <row r="67">
      <c r="A67" s="170">
        <f>IF($B$2=0,"",IF($B$2-455&gt;=$B$4,$B$2-455,""))</f>
        <v/>
      </c>
      <c r="C67" s="170">
        <f>IF($D$2=0,"",IF($D$2-455&gt;=$D$4,$D$2-455,""))</f>
        <v/>
      </c>
    </row>
    <row r="68">
      <c r="A68" s="170">
        <f>IF($B$2=0,"",IF($B$2-462&gt;=$B$4,$B$2-462,""))</f>
        <v/>
      </c>
      <c r="C68" s="170">
        <f>IF($D$2=0,"",IF($D$2-462&gt;=$D$4,$D$2-462,""))</f>
        <v/>
      </c>
    </row>
    <row r="69">
      <c r="A69" s="170">
        <f>IF($B$2=0,"",IF($B$2-469&gt;=$B$4,$B$2-469,""))</f>
        <v/>
      </c>
      <c r="C69" s="170">
        <f>IF($D$2=0,"",IF($D$2-469&gt;=$D$4,$D$2-469,""))</f>
        <v/>
      </c>
    </row>
    <row r="70">
      <c r="A70" s="170">
        <f>IF($B$2=0,"",IF($B$2-476&gt;=$B$4,$B$2-476,""))</f>
        <v/>
      </c>
      <c r="C70" s="170">
        <f>IF($D$2=0,"",IF($D$2-476&gt;=$D$4,$D$2-476,""))</f>
        <v/>
      </c>
    </row>
    <row r="71">
      <c r="A71" s="170">
        <f>IF($B$2=0,"",IF($B$2-483&gt;=$B$4,$B$2-483,""))</f>
        <v/>
      </c>
      <c r="C71" s="170">
        <f>IF($D$2=0,"",IF($D$2-483&gt;=$D$4,$D$2-483,""))</f>
        <v/>
      </c>
    </row>
    <row r="72">
      <c r="A72" s="170">
        <f>IF($B$2=0,"",IF($B$2-490&gt;=$B$4,$B$2-490,""))</f>
        <v/>
      </c>
      <c r="C72" s="170">
        <f>IF($D$2=0,"",IF($D$2-490&gt;=$D$4,$D$2-490,""))</f>
        <v/>
      </c>
    </row>
    <row r="73">
      <c r="A73" s="170">
        <f>IF($B$2=0,"",IF($B$2-497&gt;=$B$4,$B$2-497,""))</f>
        <v/>
      </c>
      <c r="C73" s="170">
        <f>IF($D$2=0,"",IF($D$2-497&gt;=$D$4,$D$2-497,""))</f>
        <v/>
      </c>
    </row>
    <row r="74">
      <c r="A74" s="170">
        <f>IF($B$2=0,"",IF($B$2-504&gt;=$B$4,$B$2-504,""))</f>
        <v/>
      </c>
      <c r="C74" s="170">
        <f>IF($D$2=0,"",IF($D$2-504&gt;=$D$4,$D$2-504,""))</f>
        <v/>
      </c>
    </row>
    <row r="75">
      <c r="A75" s="170">
        <f>IF($B$2=0,"",IF($B$2-511&gt;=$B$4,$B$2-511,""))</f>
        <v/>
      </c>
      <c r="C75" s="170">
        <f>IF($D$2=0,"",IF($D$2-511&gt;=$D$4,$D$2-511,""))</f>
        <v/>
      </c>
    </row>
    <row r="76">
      <c r="A76" s="170">
        <f>IF($B$2=0,"",IF($B$2-518&gt;=$B$4,$B$2-518,""))</f>
        <v/>
      </c>
      <c r="C76" s="170">
        <f>IF($D$2=0,"",IF($D$2-518&gt;=$D$4,$D$2-518,""))</f>
        <v/>
      </c>
    </row>
    <row r="77">
      <c r="A77" s="170">
        <f>IF($B$2=0,"",IF($B$2-525&gt;=$B$4,$B$2-525,""))</f>
        <v/>
      </c>
      <c r="C77" s="170">
        <f>IF($D$2=0,"",IF($D$2-525&gt;=$D$4,$D$2-525,""))</f>
        <v/>
      </c>
    </row>
    <row r="78">
      <c r="A78" s="170">
        <f>IF($B$2=0,"",IF($B$2-532&gt;=$B$4,$B$2-532,""))</f>
        <v/>
      </c>
      <c r="C78" s="170">
        <f>IF($D$2=0,"",IF($D$2-532&gt;=$D$4,$D$2-532,""))</f>
        <v/>
      </c>
    </row>
    <row r="79">
      <c r="A79" s="170">
        <f>IF($B$2=0,"",IF($B$2-539&gt;=$B$4,$B$2-539,""))</f>
        <v/>
      </c>
      <c r="C79" s="170">
        <f>IF($D$2=0,"",IF($D$2-539&gt;=$D$4,$D$2-539,""))</f>
        <v/>
      </c>
    </row>
    <row r="80">
      <c r="A80" s="170">
        <f>IF($B$2=0,"",IF($B$2-546&gt;=$B$4,$B$2-546,""))</f>
        <v/>
      </c>
      <c r="C80" s="170">
        <f>IF($D$2=0,"",IF($D$2-546&gt;=$D$4,$D$2-546,""))</f>
        <v/>
      </c>
    </row>
    <row r="81">
      <c r="A81" s="170">
        <f>IF($B$2=0,"",IF($B$2-553&gt;=$B$4,$B$2-553,""))</f>
        <v/>
      </c>
      <c r="C81" s="170">
        <f>IF($D$2=0,"",IF($D$2-553&gt;=$D$4,$D$2-553,""))</f>
        <v/>
      </c>
    </row>
    <row r="82">
      <c r="A82" s="170">
        <f>IF($B$2=0,"",IF($B$2-560&gt;=$B$4,$B$2-560,""))</f>
        <v/>
      </c>
      <c r="C82" s="170">
        <f>IF($D$2=0,"",IF($D$2-560&gt;=$D$4,$D$2-560,""))</f>
        <v/>
      </c>
    </row>
    <row r="83">
      <c r="A83" s="170">
        <f>IF($B$2=0,"",IF($B$2-567&gt;=$B$4,$B$2-567,""))</f>
        <v/>
      </c>
      <c r="C83" s="170">
        <f>IF($D$2=0,"",IF($D$2-567&gt;=$D$4,$D$2-567,""))</f>
        <v/>
      </c>
    </row>
    <row r="84">
      <c r="A84" s="170">
        <f>IF($B$2=0,"",IF($B$2-574&gt;=$B$4,$B$2-574,""))</f>
        <v/>
      </c>
      <c r="C84" s="170">
        <f>IF($D$2=0,"",IF($D$2-574&gt;=$D$4,$D$2-574,""))</f>
        <v/>
      </c>
    </row>
    <row r="85">
      <c r="A85" s="170">
        <f>IF($B$2=0,"",IF($B$2-581&gt;=$B$4,$B$2-581,""))</f>
        <v/>
      </c>
      <c r="C85" s="170">
        <f>IF($D$2=0,"",IF($D$2-581&gt;=$D$4,$D$2-581,""))</f>
        <v/>
      </c>
    </row>
    <row r="86">
      <c r="A86" s="170">
        <f>IF($B$2=0,"",IF($B$2-588&gt;=$B$4,$B$2-588,""))</f>
        <v/>
      </c>
      <c r="C86" s="170">
        <f>IF($D$2=0,"",IF($D$2-588&gt;=$D$4,$D$2-588,""))</f>
        <v/>
      </c>
    </row>
    <row r="87">
      <c r="A87" s="170">
        <f>IF($B$2=0,"",IF($B$2-595&gt;=$B$4,$B$2-595,""))</f>
        <v/>
      </c>
      <c r="C87" s="170">
        <f>IF($D$2=0,"",IF($D$2-595&gt;=$D$4,$D$2-595,""))</f>
        <v/>
      </c>
    </row>
    <row r="88">
      <c r="A88" s="170">
        <f>IF($B$2=0,"",IF($B$2-602&gt;=$B$4,$B$2-602,""))</f>
        <v/>
      </c>
      <c r="C88" s="170">
        <f>IF($D$2=0,"",IF($D$2-602&gt;=$D$4,$D$2-602,""))</f>
        <v/>
      </c>
    </row>
    <row r="89">
      <c r="A89" s="170">
        <f>IF($B$2=0,"",IF($B$2-609&gt;=$B$4,$B$2-609,""))</f>
        <v/>
      </c>
      <c r="C89" s="170">
        <f>IF($D$2=0,"",IF($D$2-609&gt;=$D$4,$D$2-609,""))</f>
        <v/>
      </c>
    </row>
    <row r="90">
      <c r="A90" s="170">
        <f>IF($B$2=0,"",IF($B$2-616&gt;=$B$4,$B$2-616,""))</f>
        <v/>
      </c>
      <c r="C90" s="170">
        <f>IF($D$2=0,"",IF($D$2-616&gt;=$D$4,$D$2-616,""))</f>
        <v/>
      </c>
    </row>
    <row r="91">
      <c r="A91" s="170">
        <f>IF($B$2=0,"",IF($B$2-623&gt;=$B$4,$B$2-623,""))</f>
        <v/>
      </c>
      <c r="C91" s="170">
        <f>IF($D$2=0,"",IF($D$2-623&gt;=$D$4,$D$2-623,""))</f>
        <v/>
      </c>
    </row>
    <row r="92">
      <c r="A92" s="170">
        <f>IF($B$2=0,"",IF($B$2-630&gt;=$B$4,$B$2-630,""))</f>
        <v/>
      </c>
      <c r="C92" s="170">
        <f>IF($D$2=0,"",IF($D$2-630&gt;=$D$4,$D$2-630,""))</f>
        <v/>
      </c>
    </row>
    <row r="93">
      <c r="A93" s="170">
        <f>IF($B$2=0,"",IF($B$2-637&gt;=$B$4,$B$2-637,""))</f>
        <v/>
      </c>
      <c r="C93" s="170">
        <f>IF($D$2=0,"",IF($D$2-637&gt;=$D$4,$D$2-637,""))</f>
        <v/>
      </c>
    </row>
    <row r="94">
      <c r="A94" s="170">
        <f>IF($B$2=0,"",IF($B$2-644&gt;=$B$4,$B$2-644,""))</f>
        <v/>
      </c>
      <c r="C94" s="170">
        <f>IF($D$2=0,"",IF($D$2-644&gt;=$D$4,$D$2-644,""))</f>
        <v/>
      </c>
    </row>
    <row r="95">
      <c r="A95" s="170">
        <f>IF($B$2=0,"",IF($B$2-651&gt;=$B$4,$B$2-651,""))</f>
        <v/>
      </c>
      <c r="C95" s="170">
        <f>IF($D$2=0,"",IF($D$2-651&gt;=$D$4,$D$2-651,""))</f>
        <v/>
      </c>
    </row>
    <row r="96">
      <c r="A96" s="170">
        <f>IF($B$2=0,"",IF($B$2-658&gt;=$B$4,$B$2-658,""))</f>
        <v/>
      </c>
      <c r="C96" s="170">
        <f>IF($D$2=0,"",IF($D$2-658&gt;=$D$4,$D$2-658,""))</f>
        <v/>
      </c>
    </row>
    <row r="97">
      <c r="A97" s="170">
        <f>IF($B$2=0,"",IF($B$2-665&gt;=$B$4,$B$2-665,""))</f>
        <v/>
      </c>
      <c r="C97" s="170">
        <f>IF($D$2=0,"",IF($D$2-665&gt;=$D$4,$D$2-665,""))</f>
        <v/>
      </c>
    </row>
    <row r="98">
      <c r="A98" s="170">
        <f>IF($B$2=0,"",IF($B$2-672&gt;=$B$4,$B$2-672,""))</f>
        <v/>
      </c>
      <c r="C98" s="170">
        <f>IF($D$2=0,"",IF($D$2-672&gt;=$D$4,$D$2-672,""))</f>
        <v/>
      </c>
    </row>
    <row r="99">
      <c r="A99" s="170">
        <f>IF($B$2=0,"",IF($B$2-679&gt;=$B$4,$B$2-679,""))</f>
        <v/>
      </c>
      <c r="C99" s="170">
        <f>IF($D$2=0,"",IF($D$2-679&gt;=$D$4,$D$2-679,""))</f>
        <v/>
      </c>
    </row>
    <row r="100">
      <c r="A100" s="170">
        <f>IF($B$2=0,"",IF($B$2-686&gt;=$B$4,$B$2-686,""))</f>
        <v/>
      </c>
      <c r="C100" s="170">
        <f>IF($D$2=0,"",IF($D$2-686&gt;=$D$4,$D$2-686,""))</f>
        <v/>
      </c>
    </row>
    <row r="101">
      <c r="A101" s="170">
        <f>IF($B$2=0,"",IF($B$2-693&gt;=$B$4,$B$2-693,""))</f>
        <v/>
      </c>
      <c r="C101" s="170">
        <f>IF($D$2=0,"",IF($D$2-693&gt;=$D$4,$D$2-693,""))</f>
        <v/>
      </c>
    </row>
    <row r="102">
      <c r="A102" s="170">
        <f>IF($B$2=0,"",IF($B$2-700&gt;=$B$4,$B$2-700,""))</f>
        <v/>
      </c>
      <c r="C102" s="170">
        <f>IF($D$2=0,"",IF($D$2-700&gt;=$D$4,$D$2-700,""))</f>
        <v/>
      </c>
    </row>
    <row r="103">
      <c r="A103" s="170">
        <f>IF($B$2=0,"",IF($B$2-707&gt;=$B$4,$B$2-707,""))</f>
        <v/>
      </c>
      <c r="C103" s="170">
        <f>IF($D$2=0,"",IF($D$2-707&gt;=$D$4,$D$2-707,""))</f>
        <v/>
      </c>
    </row>
    <row r="104">
      <c r="A104" s="170">
        <f>IF($B$2=0,"",IF($B$2-714&gt;=$B$4,$B$2-714,""))</f>
        <v/>
      </c>
      <c r="C104" s="170">
        <f>IF($D$2=0,"",IF($D$2-714&gt;=$D$4,$D$2-714,""))</f>
        <v/>
      </c>
    </row>
    <row r="105">
      <c r="A105" s="170">
        <f>IF($B$2=0,"",IF($B$2-721&gt;=$B$4,$B$2-721,""))</f>
        <v/>
      </c>
      <c r="C105" s="170">
        <f>IF($D$2=0,"",IF($D$2-721&gt;=$D$4,$D$2-721,""))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365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WSF match row</t>
        </is>
      </c>
      <c r="B1" t="inlineStr">
        <is>
          <t>WSF k-th match</t>
        </is>
      </c>
      <c r="C1" t="inlineStr">
        <is>
          <t>WSF name</t>
        </is>
      </c>
      <c r="D1" t="inlineStr">
        <is>
          <t>WSF matches</t>
        </is>
      </c>
      <c r="F1" t="inlineStr">
        <is>
          <t>TRANSPORT match row</t>
        </is>
      </c>
      <c r="G1" t="inlineStr">
        <is>
          <t>TRANSPORT k-th match</t>
        </is>
      </c>
      <c r="H1" t="inlineStr">
        <is>
          <t>TRANSPORT name</t>
        </is>
      </c>
      <c r="I1" t="inlineStr">
        <is>
          <t>TRANSPORT matches</t>
        </is>
      </c>
    </row>
    <row r="2">
      <c r="A2">
        <f>IF('WSF DASHBOARD'!$B$4="Area",IF(1&lt;=$D$3,IF(OR('WSF DASHBOARD'!$C$4="",ISNUMBER(SEARCH('WSF DASHBOARD'!$C$4,INDEX(MASTER_AREAS!$B:$B,2)))),1,""),""),IF('WSF DASHBOARD'!$B$4="Zone",IF(1&lt;=$D$4,IF(OR('WSF DASHBOARD'!$C$4="",ISNUMBER(SEARCH('WSF DASHBOARD'!$C$4,INDEX(MASTER_ZONES!$B:$B,2)))),1,""),""),""))</f>
        <v/>
      </c>
      <c r="B2">
        <f>IFERROR(SMALL($A$2:$A$1365,1),"")</f>
        <v/>
      </c>
      <c r="C2">
        <f>IF(B2="","",IF('WSF DASHBOARD'!$B$4="Area",INDEX(MASTER_AREAS!$B:$B,B2+1),INDEX(MASTER_ZONES!$B:$B,B2+1)))</f>
        <v/>
      </c>
      <c r="D2">
        <f>COUNT(A2:A1365)</f>
        <v/>
      </c>
      <c r="F2">
        <f>IF('TRANSPORT DASHBOARD'!$B$4="Area",IF(1&lt;=$I$3,IF(OR('TRANSPORT DASHBOARD'!$C$4="",ISNUMBER(SEARCH('TRANSPORT DASHBOARD'!$C$4,INDEX(MASTER_AREAS!$B:$B,2)))),1,""),""),IF('TRANSPORT DASHBOARD'!$B$4="Zone",IF(1&lt;=$I$4,IF(OR('TRANSPORT DASHBOARD'!$C$4="",ISNUMBER(SEARCH('TRANSPORT DASHBOARD'!$C$4,INDEX(MASTER_ZONES!$B:$B,2)))),1,""),""),""))</f>
        <v/>
      </c>
      <c r="G2">
        <f>IFERROR(SMALL($F$2:$F$1365,1),"")</f>
        <v/>
      </c>
      <c r="H2">
        <f>IF(G2="","",IF('TRANSPORT DASHBOARD'!$B$4="Area",INDEX(MASTER_AREAS!$B:$B,G2+1),INDEX(MASTER_ZONES!$B:$B,G2+1)))</f>
        <v/>
      </c>
      <c r="I2">
        <f>COUNT(F2:F1365)</f>
        <v/>
      </c>
    </row>
    <row r="3">
      <c r="A3">
        <f>IF('WSF DASHBOARD'!$B$4="Area",IF(2&lt;=$D$3,IF(OR('WSF DASHBOARD'!$C$4="",ISNUMBER(SEARCH('WSF DASHBOARD'!$C$4,INDEX(MASTER_AREAS!$B:$B,3)))),2,""),""),IF('WSF DASHBOARD'!$B$4="Zone",IF(2&lt;=$D$4,IF(OR('WSF DASHBOARD'!$C$4="",ISNUMBER(SEARCH('WSF DASHBOARD'!$C$4,INDEX(MASTER_ZONES!$B:$B,3)))),2,""),""),""))</f>
        <v/>
      </c>
      <c r="B3">
        <f>IFERROR(SMALL($A$2:$A$1365,2),"")</f>
        <v/>
      </c>
      <c r="C3">
        <f>IF(B3="","",IF('WSF DASHBOARD'!$B$4="Area",INDEX(MASTER_AREAS!$B:$B,B3+1),INDEX(MASTER_ZONES!$B:$B,B3+1)))</f>
        <v/>
      </c>
      <c r="D3">
        <f>COUNTA(MASTER_AREAS!$B:$B)-1</f>
        <v/>
      </c>
      <c r="F3">
        <f>IF('TRANSPORT DASHBOARD'!$B$4="Area",IF(2&lt;=$I$3,IF(OR('TRANSPORT DASHBOARD'!$C$4="",ISNUMBER(SEARCH('TRANSPORT DASHBOARD'!$C$4,INDEX(MASTER_AREAS!$B:$B,3)))),2,""),""),IF('TRANSPORT DASHBOARD'!$B$4="Zone",IF(2&lt;=$I$4,IF(OR('TRANSPORT DASHBOARD'!$C$4="",ISNUMBER(SEARCH('TRANSPORT DASHBOARD'!$C$4,INDEX(MASTER_ZONES!$B:$B,3)))),2,""),""),""))</f>
        <v/>
      </c>
      <c r="G3">
        <f>IFERROR(SMALL($F$2:$F$1365,2),"")</f>
        <v/>
      </c>
      <c r="H3">
        <f>IF(G3="","",IF('TRANSPORT DASHBOARD'!$B$4="Area",INDEX(MASTER_AREAS!$B:$B,G3+1),INDEX(MASTER_ZONES!$B:$B,G3+1)))</f>
        <v/>
      </c>
      <c r="I3">
        <f>COUNTA(MASTER_AREAS!$B:$B)-1</f>
        <v/>
      </c>
    </row>
    <row r="4">
      <c r="A4">
        <f>IF('WSF DASHBOARD'!$B$4="Area",IF(3&lt;=$D$3,IF(OR('WSF DASHBOARD'!$C$4="",ISNUMBER(SEARCH('WSF DASHBOARD'!$C$4,INDEX(MASTER_AREAS!$B:$B,4)))),3,""),""),IF('WSF DASHBOARD'!$B$4="Zone",IF(3&lt;=$D$4,IF(OR('WSF DASHBOARD'!$C$4="",ISNUMBER(SEARCH('WSF DASHBOARD'!$C$4,INDEX(MASTER_ZONES!$B:$B,4)))),3,""),""),""))</f>
        <v/>
      </c>
      <c r="B4">
        <f>IFERROR(SMALL($A$2:$A$1365,3),"")</f>
        <v/>
      </c>
      <c r="C4">
        <f>IF(B4="","",IF('WSF DASHBOARD'!$B$4="Area",INDEX(MASTER_AREAS!$B:$B,B4+1),INDEX(MASTER_ZONES!$B:$B,B4+1)))</f>
        <v/>
      </c>
      <c r="D4">
        <f>COUNTA(MASTER_ZONES!$B:$B)-1</f>
        <v/>
      </c>
      <c r="F4">
        <f>IF('TRANSPORT DASHBOARD'!$B$4="Area",IF(3&lt;=$I$3,IF(OR('TRANSPORT DASHBOARD'!$C$4="",ISNUMBER(SEARCH('TRANSPORT DASHBOARD'!$C$4,INDEX(MASTER_AREAS!$B:$B,4)))),3,""),""),IF('TRANSPORT DASHBOARD'!$B$4="Zone",IF(3&lt;=$I$4,IF(OR('TRANSPORT DASHBOARD'!$C$4="",ISNUMBER(SEARCH('TRANSPORT DASHBOARD'!$C$4,INDEX(MASTER_ZONES!$B:$B,4)))),3,""),""),""))</f>
        <v/>
      </c>
      <c r="G4">
        <f>IFERROR(SMALL($F$2:$F$1365,3),"")</f>
        <v/>
      </c>
      <c r="H4">
        <f>IF(G4="","",IF('TRANSPORT DASHBOARD'!$B$4="Area",INDEX(MASTER_AREAS!$B:$B,G4+1),INDEX(MASTER_ZONES!$B:$B,G4+1)))</f>
        <v/>
      </c>
      <c r="I4">
        <f>COUNTA(MASTER_ZONES!$B:$B)-1</f>
        <v/>
      </c>
    </row>
    <row r="5">
      <c r="A5">
        <f>IF('WSF DASHBOARD'!$B$4="Area",IF(4&lt;=$D$3,IF(OR('WSF DASHBOARD'!$C$4="",ISNUMBER(SEARCH('WSF DASHBOARD'!$C$4,INDEX(MASTER_AREAS!$B:$B,5)))),4,""),""),IF('WSF DASHBOARD'!$B$4="Zone",IF(4&lt;=$D$4,IF(OR('WSF DASHBOARD'!$C$4="",ISNUMBER(SEARCH('WSF DASHBOARD'!$C$4,INDEX(MASTER_ZONES!$B:$B,5)))),4,""),""),""))</f>
        <v/>
      </c>
      <c r="B5">
        <f>IFERROR(SMALL($A$2:$A$1365,4),"")</f>
        <v/>
      </c>
      <c r="C5">
        <f>IF(B5="","",IF('WSF DASHBOARD'!$B$4="Area",INDEX(MASTER_AREAS!$B:$B,B5+1),INDEX(MASTER_ZONES!$B:$B,B5+1)))</f>
        <v/>
      </c>
      <c r="F5">
        <f>IF('TRANSPORT DASHBOARD'!$B$4="Area",IF(4&lt;=$I$3,IF(OR('TRANSPORT DASHBOARD'!$C$4="",ISNUMBER(SEARCH('TRANSPORT DASHBOARD'!$C$4,INDEX(MASTER_AREAS!$B:$B,5)))),4,""),""),IF('TRANSPORT DASHBOARD'!$B$4="Zone",IF(4&lt;=$I$4,IF(OR('TRANSPORT DASHBOARD'!$C$4="",ISNUMBER(SEARCH('TRANSPORT DASHBOARD'!$C$4,INDEX(MASTER_ZONES!$B:$B,5)))),4,""),""),""))</f>
        <v/>
      </c>
      <c r="G5">
        <f>IFERROR(SMALL($F$2:$F$1365,4),"")</f>
        <v/>
      </c>
      <c r="H5">
        <f>IF(G5="","",IF('TRANSPORT DASHBOARD'!$B$4="Area",INDEX(MASTER_AREAS!$B:$B,G5+1),INDEX(MASTER_ZONES!$B:$B,G5+1)))</f>
        <v/>
      </c>
    </row>
    <row r="6">
      <c r="A6">
        <f>IF('WSF DASHBOARD'!$B$4="Area",IF(5&lt;=$D$3,IF(OR('WSF DASHBOARD'!$C$4="",ISNUMBER(SEARCH('WSF DASHBOARD'!$C$4,INDEX(MASTER_AREAS!$B:$B,6)))),5,""),""),IF('WSF DASHBOARD'!$B$4="Zone",IF(5&lt;=$D$4,IF(OR('WSF DASHBOARD'!$C$4="",ISNUMBER(SEARCH('WSF DASHBOARD'!$C$4,INDEX(MASTER_ZONES!$B:$B,6)))),5,""),""),""))</f>
        <v/>
      </c>
      <c r="B6">
        <f>IFERROR(SMALL($A$2:$A$1365,5),"")</f>
        <v/>
      </c>
      <c r="C6">
        <f>IF(B6="","",IF('WSF DASHBOARD'!$B$4="Area",INDEX(MASTER_AREAS!$B:$B,B6+1),INDEX(MASTER_ZONES!$B:$B,B6+1)))</f>
        <v/>
      </c>
      <c r="F6">
        <f>IF('TRANSPORT DASHBOARD'!$B$4="Area",IF(5&lt;=$I$3,IF(OR('TRANSPORT DASHBOARD'!$C$4="",ISNUMBER(SEARCH('TRANSPORT DASHBOARD'!$C$4,INDEX(MASTER_AREAS!$B:$B,6)))),5,""),""),IF('TRANSPORT DASHBOARD'!$B$4="Zone",IF(5&lt;=$I$4,IF(OR('TRANSPORT DASHBOARD'!$C$4="",ISNUMBER(SEARCH('TRANSPORT DASHBOARD'!$C$4,INDEX(MASTER_ZONES!$B:$B,6)))),5,""),""),""))</f>
        <v/>
      </c>
      <c r="G6">
        <f>IFERROR(SMALL($F$2:$F$1365,5),"")</f>
        <v/>
      </c>
      <c r="H6">
        <f>IF(G6="","",IF('TRANSPORT DASHBOARD'!$B$4="Area",INDEX(MASTER_AREAS!$B:$B,G6+1),INDEX(MASTER_ZONES!$B:$B,G6+1)))</f>
        <v/>
      </c>
    </row>
    <row r="7">
      <c r="A7">
        <f>IF('WSF DASHBOARD'!$B$4="Area",IF(6&lt;=$D$3,IF(OR('WSF DASHBOARD'!$C$4="",ISNUMBER(SEARCH('WSF DASHBOARD'!$C$4,INDEX(MASTER_AREAS!$B:$B,7)))),6,""),""),IF('WSF DASHBOARD'!$B$4="Zone",IF(6&lt;=$D$4,IF(OR('WSF DASHBOARD'!$C$4="",ISNUMBER(SEARCH('WSF DASHBOARD'!$C$4,INDEX(MASTER_ZONES!$B:$B,7)))),6,""),""),""))</f>
        <v/>
      </c>
      <c r="B7">
        <f>IFERROR(SMALL($A$2:$A$1365,6),"")</f>
        <v/>
      </c>
      <c r="C7">
        <f>IF(B7="","",IF('WSF DASHBOARD'!$B$4="Area",INDEX(MASTER_AREAS!$B:$B,B7+1),INDEX(MASTER_ZONES!$B:$B,B7+1)))</f>
        <v/>
      </c>
      <c r="F7">
        <f>IF('TRANSPORT DASHBOARD'!$B$4="Area",IF(6&lt;=$I$3,IF(OR('TRANSPORT DASHBOARD'!$C$4="",ISNUMBER(SEARCH('TRANSPORT DASHBOARD'!$C$4,INDEX(MASTER_AREAS!$B:$B,7)))),6,""),""),IF('TRANSPORT DASHBOARD'!$B$4="Zone",IF(6&lt;=$I$4,IF(OR('TRANSPORT DASHBOARD'!$C$4="",ISNUMBER(SEARCH('TRANSPORT DASHBOARD'!$C$4,INDEX(MASTER_ZONES!$B:$B,7)))),6,""),""),""))</f>
        <v/>
      </c>
      <c r="G7">
        <f>IFERROR(SMALL($F$2:$F$1365,6),"")</f>
        <v/>
      </c>
      <c r="H7">
        <f>IF(G7="","",IF('TRANSPORT DASHBOARD'!$B$4="Area",INDEX(MASTER_AREAS!$B:$B,G7+1),INDEX(MASTER_ZONES!$B:$B,G7+1)))</f>
        <v/>
      </c>
    </row>
    <row r="8">
      <c r="A8">
        <f>IF('WSF DASHBOARD'!$B$4="Area",IF(7&lt;=$D$3,IF(OR('WSF DASHBOARD'!$C$4="",ISNUMBER(SEARCH('WSF DASHBOARD'!$C$4,INDEX(MASTER_AREAS!$B:$B,8)))),7,""),""),IF('WSF DASHBOARD'!$B$4="Zone",IF(7&lt;=$D$4,IF(OR('WSF DASHBOARD'!$C$4="",ISNUMBER(SEARCH('WSF DASHBOARD'!$C$4,INDEX(MASTER_ZONES!$B:$B,8)))),7,""),""),""))</f>
        <v/>
      </c>
      <c r="B8">
        <f>IFERROR(SMALL($A$2:$A$1365,7),"")</f>
        <v/>
      </c>
      <c r="C8">
        <f>IF(B8="","",IF('WSF DASHBOARD'!$B$4="Area",INDEX(MASTER_AREAS!$B:$B,B8+1),INDEX(MASTER_ZONES!$B:$B,B8+1)))</f>
        <v/>
      </c>
      <c r="F8">
        <f>IF('TRANSPORT DASHBOARD'!$B$4="Area",IF(7&lt;=$I$3,IF(OR('TRANSPORT DASHBOARD'!$C$4="",ISNUMBER(SEARCH('TRANSPORT DASHBOARD'!$C$4,INDEX(MASTER_AREAS!$B:$B,8)))),7,""),""),IF('TRANSPORT DASHBOARD'!$B$4="Zone",IF(7&lt;=$I$4,IF(OR('TRANSPORT DASHBOARD'!$C$4="",ISNUMBER(SEARCH('TRANSPORT DASHBOARD'!$C$4,INDEX(MASTER_ZONES!$B:$B,8)))),7,""),""),""))</f>
        <v/>
      </c>
      <c r="G8">
        <f>IFERROR(SMALL($F$2:$F$1365,7),"")</f>
        <v/>
      </c>
      <c r="H8">
        <f>IF(G8="","",IF('TRANSPORT DASHBOARD'!$B$4="Area",INDEX(MASTER_AREAS!$B:$B,G8+1),INDEX(MASTER_ZONES!$B:$B,G8+1)))</f>
        <v/>
      </c>
    </row>
    <row r="9">
      <c r="A9">
        <f>IF('WSF DASHBOARD'!$B$4="Area",IF(8&lt;=$D$3,IF(OR('WSF DASHBOARD'!$C$4="",ISNUMBER(SEARCH('WSF DASHBOARD'!$C$4,INDEX(MASTER_AREAS!$B:$B,9)))),8,""),""),IF('WSF DASHBOARD'!$B$4="Zone",IF(8&lt;=$D$4,IF(OR('WSF DASHBOARD'!$C$4="",ISNUMBER(SEARCH('WSF DASHBOARD'!$C$4,INDEX(MASTER_ZONES!$B:$B,9)))),8,""),""),""))</f>
        <v/>
      </c>
      <c r="B9">
        <f>IFERROR(SMALL($A$2:$A$1365,8),"")</f>
        <v/>
      </c>
      <c r="C9">
        <f>IF(B9="","",IF('WSF DASHBOARD'!$B$4="Area",INDEX(MASTER_AREAS!$B:$B,B9+1),INDEX(MASTER_ZONES!$B:$B,B9+1)))</f>
        <v/>
      </c>
      <c r="F9">
        <f>IF('TRANSPORT DASHBOARD'!$B$4="Area",IF(8&lt;=$I$3,IF(OR('TRANSPORT DASHBOARD'!$C$4="",ISNUMBER(SEARCH('TRANSPORT DASHBOARD'!$C$4,INDEX(MASTER_AREAS!$B:$B,9)))),8,""),""),IF('TRANSPORT DASHBOARD'!$B$4="Zone",IF(8&lt;=$I$4,IF(OR('TRANSPORT DASHBOARD'!$C$4="",ISNUMBER(SEARCH('TRANSPORT DASHBOARD'!$C$4,INDEX(MASTER_ZONES!$B:$B,9)))),8,""),""),""))</f>
        <v/>
      </c>
      <c r="G9">
        <f>IFERROR(SMALL($F$2:$F$1365,8),"")</f>
        <v/>
      </c>
      <c r="H9">
        <f>IF(G9="","",IF('TRANSPORT DASHBOARD'!$B$4="Area",INDEX(MASTER_AREAS!$B:$B,G9+1),INDEX(MASTER_ZONES!$B:$B,G9+1)))</f>
        <v/>
      </c>
    </row>
    <row r="10">
      <c r="A10">
        <f>IF('WSF DASHBOARD'!$B$4="Area",IF(9&lt;=$D$3,IF(OR('WSF DASHBOARD'!$C$4="",ISNUMBER(SEARCH('WSF DASHBOARD'!$C$4,INDEX(MASTER_AREAS!$B:$B,10)))),9,""),""),IF('WSF DASHBOARD'!$B$4="Zone",IF(9&lt;=$D$4,IF(OR('WSF DASHBOARD'!$C$4="",ISNUMBER(SEARCH('WSF DASHBOARD'!$C$4,INDEX(MASTER_ZONES!$B:$B,10)))),9,""),""),""))</f>
        <v/>
      </c>
      <c r="B10">
        <f>IFERROR(SMALL($A$2:$A$1365,9),"")</f>
        <v/>
      </c>
      <c r="C10">
        <f>IF(B10="","",IF('WSF DASHBOARD'!$B$4="Area",INDEX(MASTER_AREAS!$B:$B,B10+1),INDEX(MASTER_ZONES!$B:$B,B10+1)))</f>
        <v/>
      </c>
      <c r="F10">
        <f>IF('TRANSPORT DASHBOARD'!$B$4="Area",IF(9&lt;=$I$3,IF(OR('TRANSPORT DASHBOARD'!$C$4="",ISNUMBER(SEARCH('TRANSPORT DASHBOARD'!$C$4,INDEX(MASTER_AREAS!$B:$B,10)))),9,""),""),IF('TRANSPORT DASHBOARD'!$B$4="Zone",IF(9&lt;=$I$4,IF(OR('TRANSPORT DASHBOARD'!$C$4="",ISNUMBER(SEARCH('TRANSPORT DASHBOARD'!$C$4,INDEX(MASTER_ZONES!$B:$B,10)))),9,""),""),""))</f>
        <v/>
      </c>
      <c r="G10">
        <f>IFERROR(SMALL($F$2:$F$1365,9),"")</f>
        <v/>
      </c>
      <c r="H10">
        <f>IF(G10="","",IF('TRANSPORT DASHBOARD'!$B$4="Area",INDEX(MASTER_AREAS!$B:$B,G10+1),INDEX(MASTER_ZONES!$B:$B,G10+1)))</f>
        <v/>
      </c>
    </row>
    <row r="11">
      <c r="A11">
        <f>IF('WSF DASHBOARD'!$B$4="Area",IF(10&lt;=$D$3,IF(OR('WSF DASHBOARD'!$C$4="",ISNUMBER(SEARCH('WSF DASHBOARD'!$C$4,INDEX(MASTER_AREAS!$B:$B,11)))),10,""),""),IF('WSF DASHBOARD'!$B$4="Zone",IF(10&lt;=$D$4,IF(OR('WSF DASHBOARD'!$C$4="",ISNUMBER(SEARCH('WSF DASHBOARD'!$C$4,INDEX(MASTER_ZONES!$B:$B,11)))),10,""),""),""))</f>
        <v/>
      </c>
      <c r="B11">
        <f>IFERROR(SMALL($A$2:$A$1365,10),"")</f>
        <v/>
      </c>
      <c r="C11">
        <f>IF(B11="","",IF('WSF DASHBOARD'!$B$4="Area",INDEX(MASTER_AREAS!$B:$B,B11+1),INDEX(MASTER_ZONES!$B:$B,B11+1)))</f>
        <v/>
      </c>
      <c r="F11">
        <f>IF('TRANSPORT DASHBOARD'!$B$4="Area",IF(10&lt;=$I$3,IF(OR('TRANSPORT DASHBOARD'!$C$4="",ISNUMBER(SEARCH('TRANSPORT DASHBOARD'!$C$4,INDEX(MASTER_AREAS!$B:$B,11)))),10,""),""),IF('TRANSPORT DASHBOARD'!$B$4="Zone",IF(10&lt;=$I$4,IF(OR('TRANSPORT DASHBOARD'!$C$4="",ISNUMBER(SEARCH('TRANSPORT DASHBOARD'!$C$4,INDEX(MASTER_ZONES!$B:$B,11)))),10,""),""),""))</f>
        <v/>
      </c>
      <c r="G11">
        <f>IFERROR(SMALL($F$2:$F$1365,10),"")</f>
        <v/>
      </c>
      <c r="H11">
        <f>IF(G11="","",IF('TRANSPORT DASHBOARD'!$B$4="Area",INDEX(MASTER_AREAS!$B:$B,G11+1),INDEX(MASTER_ZONES!$B:$B,G11+1)))</f>
        <v/>
      </c>
    </row>
    <row r="12">
      <c r="A12">
        <f>IF('WSF DASHBOARD'!$B$4="Area",IF(11&lt;=$D$3,IF(OR('WSF DASHBOARD'!$C$4="",ISNUMBER(SEARCH('WSF DASHBOARD'!$C$4,INDEX(MASTER_AREAS!$B:$B,12)))),11,""),""),IF('WSF DASHBOARD'!$B$4="Zone",IF(11&lt;=$D$4,IF(OR('WSF DASHBOARD'!$C$4="",ISNUMBER(SEARCH('WSF DASHBOARD'!$C$4,INDEX(MASTER_ZONES!$B:$B,12)))),11,""),""),""))</f>
        <v/>
      </c>
      <c r="B12">
        <f>IFERROR(SMALL($A$2:$A$1365,11),"")</f>
        <v/>
      </c>
      <c r="C12">
        <f>IF(B12="","",IF('WSF DASHBOARD'!$B$4="Area",INDEX(MASTER_AREAS!$B:$B,B12+1),INDEX(MASTER_ZONES!$B:$B,B12+1)))</f>
        <v/>
      </c>
      <c r="F12">
        <f>IF('TRANSPORT DASHBOARD'!$B$4="Area",IF(11&lt;=$I$3,IF(OR('TRANSPORT DASHBOARD'!$C$4="",ISNUMBER(SEARCH('TRANSPORT DASHBOARD'!$C$4,INDEX(MASTER_AREAS!$B:$B,12)))),11,""),""),IF('TRANSPORT DASHBOARD'!$B$4="Zone",IF(11&lt;=$I$4,IF(OR('TRANSPORT DASHBOARD'!$C$4="",ISNUMBER(SEARCH('TRANSPORT DASHBOARD'!$C$4,INDEX(MASTER_ZONES!$B:$B,12)))),11,""),""),""))</f>
        <v/>
      </c>
      <c r="G12">
        <f>IFERROR(SMALL($F$2:$F$1365,11),"")</f>
        <v/>
      </c>
      <c r="H12">
        <f>IF(G12="","",IF('TRANSPORT DASHBOARD'!$B$4="Area",INDEX(MASTER_AREAS!$B:$B,G12+1),INDEX(MASTER_ZONES!$B:$B,G12+1)))</f>
        <v/>
      </c>
    </row>
    <row r="13">
      <c r="A13">
        <f>IF('WSF DASHBOARD'!$B$4="Area",IF(12&lt;=$D$3,IF(OR('WSF DASHBOARD'!$C$4="",ISNUMBER(SEARCH('WSF DASHBOARD'!$C$4,INDEX(MASTER_AREAS!$B:$B,13)))),12,""),""),IF('WSF DASHBOARD'!$B$4="Zone",IF(12&lt;=$D$4,IF(OR('WSF DASHBOARD'!$C$4="",ISNUMBER(SEARCH('WSF DASHBOARD'!$C$4,INDEX(MASTER_ZONES!$B:$B,13)))),12,""),""),""))</f>
        <v/>
      </c>
      <c r="B13">
        <f>IFERROR(SMALL($A$2:$A$1365,12),"")</f>
        <v/>
      </c>
      <c r="C13">
        <f>IF(B13="","",IF('WSF DASHBOARD'!$B$4="Area",INDEX(MASTER_AREAS!$B:$B,B13+1),INDEX(MASTER_ZONES!$B:$B,B13+1)))</f>
        <v/>
      </c>
      <c r="F13">
        <f>IF('TRANSPORT DASHBOARD'!$B$4="Area",IF(12&lt;=$I$3,IF(OR('TRANSPORT DASHBOARD'!$C$4="",ISNUMBER(SEARCH('TRANSPORT DASHBOARD'!$C$4,INDEX(MASTER_AREAS!$B:$B,13)))),12,""),""),IF('TRANSPORT DASHBOARD'!$B$4="Zone",IF(12&lt;=$I$4,IF(OR('TRANSPORT DASHBOARD'!$C$4="",ISNUMBER(SEARCH('TRANSPORT DASHBOARD'!$C$4,INDEX(MASTER_ZONES!$B:$B,13)))),12,""),""),""))</f>
        <v/>
      </c>
      <c r="G13">
        <f>IFERROR(SMALL($F$2:$F$1365,12),"")</f>
        <v/>
      </c>
      <c r="H13">
        <f>IF(G13="","",IF('TRANSPORT DASHBOARD'!$B$4="Area",INDEX(MASTER_AREAS!$B:$B,G13+1),INDEX(MASTER_ZONES!$B:$B,G13+1)))</f>
        <v/>
      </c>
    </row>
    <row r="14">
      <c r="A14">
        <f>IF('WSF DASHBOARD'!$B$4="Area",IF(13&lt;=$D$3,IF(OR('WSF DASHBOARD'!$C$4="",ISNUMBER(SEARCH('WSF DASHBOARD'!$C$4,INDEX(MASTER_AREAS!$B:$B,14)))),13,""),""),IF('WSF DASHBOARD'!$B$4="Zone",IF(13&lt;=$D$4,IF(OR('WSF DASHBOARD'!$C$4="",ISNUMBER(SEARCH('WSF DASHBOARD'!$C$4,INDEX(MASTER_ZONES!$B:$B,14)))),13,""),""),""))</f>
        <v/>
      </c>
      <c r="B14">
        <f>IFERROR(SMALL($A$2:$A$1365,13),"")</f>
        <v/>
      </c>
      <c r="C14">
        <f>IF(B14="","",IF('WSF DASHBOARD'!$B$4="Area",INDEX(MASTER_AREAS!$B:$B,B14+1),INDEX(MASTER_ZONES!$B:$B,B14+1)))</f>
        <v/>
      </c>
      <c r="F14">
        <f>IF('TRANSPORT DASHBOARD'!$B$4="Area",IF(13&lt;=$I$3,IF(OR('TRANSPORT DASHBOARD'!$C$4="",ISNUMBER(SEARCH('TRANSPORT DASHBOARD'!$C$4,INDEX(MASTER_AREAS!$B:$B,14)))),13,""),""),IF('TRANSPORT DASHBOARD'!$B$4="Zone",IF(13&lt;=$I$4,IF(OR('TRANSPORT DASHBOARD'!$C$4="",ISNUMBER(SEARCH('TRANSPORT DASHBOARD'!$C$4,INDEX(MASTER_ZONES!$B:$B,14)))),13,""),""),""))</f>
        <v/>
      </c>
      <c r="G14">
        <f>IFERROR(SMALL($F$2:$F$1365,13),"")</f>
        <v/>
      </c>
      <c r="H14">
        <f>IF(G14="","",IF('TRANSPORT DASHBOARD'!$B$4="Area",INDEX(MASTER_AREAS!$B:$B,G14+1),INDEX(MASTER_ZONES!$B:$B,G14+1)))</f>
        <v/>
      </c>
    </row>
    <row r="15">
      <c r="A15">
        <f>IF('WSF DASHBOARD'!$B$4="Area",IF(14&lt;=$D$3,IF(OR('WSF DASHBOARD'!$C$4="",ISNUMBER(SEARCH('WSF DASHBOARD'!$C$4,INDEX(MASTER_AREAS!$B:$B,15)))),14,""),""),IF('WSF DASHBOARD'!$B$4="Zone",IF(14&lt;=$D$4,IF(OR('WSF DASHBOARD'!$C$4="",ISNUMBER(SEARCH('WSF DASHBOARD'!$C$4,INDEX(MASTER_ZONES!$B:$B,15)))),14,""),""),""))</f>
        <v/>
      </c>
      <c r="B15">
        <f>IFERROR(SMALL($A$2:$A$1365,14),"")</f>
        <v/>
      </c>
      <c r="C15">
        <f>IF(B15="","",IF('WSF DASHBOARD'!$B$4="Area",INDEX(MASTER_AREAS!$B:$B,B15+1),INDEX(MASTER_ZONES!$B:$B,B15+1)))</f>
        <v/>
      </c>
      <c r="F15">
        <f>IF('TRANSPORT DASHBOARD'!$B$4="Area",IF(14&lt;=$I$3,IF(OR('TRANSPORT DASHBOARD'!$C$4="",ISNUMBER(SEARCH('TRANSPORT DASHBOARD'!$C$4,INDEX(MASTER_AREAS!$B:$B,15)))),14,""),""),IF('TRANSPORT DASHBOARD'!$B$4="Zone",IF(14&lt;=$I$4,IF(OR('TRANSPORT DASHBOARD'!$C$4="",ISNUMBER(SEARCH('TRANSPORT DASHBOARD'!$C$4,INDEX(MASTER_ZONES!$B:$B,15)))),14,""),""),""))</f>
        <v/>
      </c>
      <c r="G15">
        <f>IFERROR(SMALL($F$2:$F$1365,14),"")</f>
        <v/>
      </c>
      <c r="H15">
        <f>IF(G15="","",IF('TRANSPORT DASHBOARD'!$B$4="Area",INDEX(MASTER_AREAS!$B:$B,G15+1),INDEX(MASTER_ZONES!$B:$B,G15+1)))</f>
        <v/>
      </c>
    </row>
    <row r="16">
      <c r="A16">
        <f>IF('WSF DASHBOARD'!$B$4="Area",IF(15&lt;=$D$3,IF(OR('WSF DASHBOARD'!$C$4="",ISNUMBER(SEARCH('WSF DASHBOARD'!$C$4,INDEX(MASTER_AREAS!$B:$B,16)))),15,""),""),IF('WSF DASHBOARD'!$B$4="Zone",IF(15&lt;=$D$4,IF(OR('WSF DASHBOARD'!$C$4="",ISNUMBER(SEARCH('WSF DASHBOARD'!$C$4,INDEX(MASTER_ZONES!$B:$B,16)))),15,""),""),""))</f>
        <v/>
      </c>
      <c r="B16">
        <f>IFERROR(SMALL($A$2:$A$1365,15),"")</f>
        <v/>
      </c>
      <c r="C16">
        <f>IF(B16="","",IF('WSF DASHBOARD'!$B$4="Area",INDEX(MASTER_AREAS!$B:$B,B16+1),INDEX(MASTER_ZONES!$B:$B,B16+1)))</f>
        <v/>
      </c>
      <c r="F16">
        <f>IF('TRANSPORT DASHBOARD'!$B$4="Area",IF(15&lt;=$I$3,IF(OR('TRANSPORT DASHBOARD'!$C$4="",ISNUMBER(SEARCH('TRANSPORT DASHBOARD'!$C$4,INDEX(MASTER_AREAS!$B:$B,16)))),15,""),""),IF('TRANSPORT DASHBOARD'!$B$4="Zone",IF(15&lt;=$I$4,IF(OR('TRANSPORT DASHBOARD'!$C$4="",ISNUMBER(SEARCH('TRANSPORT DASHBOARD'!$C$4,INDEX(MASTER_ZONES!$B:$B,16)))),15,""),""),""))</f>
        <v/>
      </c>
      <c r="G16">
        <f>IFERROR(SMALL($F$2:$F$1365,15),"")</f>
        <v/>
      </c>
      <c r="H16">
        <f>IF(G16="","",IF('TRANSPORT DASHBOARD'!$B$4="Area",INDEX(MASTER_AREAS!$B:$B,G16+1),INDEX(MASTER_ZONES!$B:$B,G16+1)))</f>
        <v/>
      </c>
    </row>
    <row r="17">
      <c r="A17">
        <f>IF('WSF DASHBOARD'!$B$4="Area",IF(16&lt;=$D$3,IF(OR('WSF DASHBOARD'!$C$4="",ISNUMBER(SEARCH('WSF DASHBOARD'!$C$4,INDEX(MASTER_AREAS!$B:$B,17)))),16,""),""),IF('WSF DASHBOARD'!$B$4="Zone",IF(16&lt;=$D$4,IF(OR('WSF DASHBOARD'!$C$4="",ISNUMBER(SEARCH('WSF DASHBOARD'!$C$4,INDEX(MASTER_ZONES!$B:$B,17)))),16,""),""),""))</f>
        <v/>
      </c>
      <c r="B17">
        <f>IFERROR(SMALL($A$2:$A$1365,16),"")</f>
        <v/>
      </c>
      <c r="C17">
        <f>IF(B17="","",IF('WSF DASHBOARD'!$B$4="Area",INDEX(MASTER_AREAS!$B:$B,B17+1),INDEX(MASTER_ZONES!$B:$B,B17+1)))</f>
        <v/>
      </c>
      <c r="F17">
        <f>IF('TRANSPORT DASHBOARD'!$B$4="Area",IF(16&lt;=$I$3,IF(OR('TRANSPORT DASHBOARD'!$C$4="",ISNUMBER(SEARCH('TRANSPORT DASHBOARD'!$C$4,INDEX(MASTER_AREAS!$B:$B,17)))),16,""),""),IF('TRANSPORT DASHBOARD'!$B$4="Zone",IF(16&lt;=$I$4,IF(OR('TRANSPORT DASHBOARD'!$C$4="",ISNUMBER(SEARCH('TRANSPORT DASHBOARD'!$C$4,INDEX(MASTER_ZONES!$B:$B,17)))),16,""),""),""))</f>
        <v/>
      </c>
      <c r="G17">
        <f>IFERROR(SMALL($F$2:$F$1365,16),"")</f>
        <v/>
      </c>
      <c r="H17">
        <f>IF(G17="","",IF('TRANSPORT DASHBOARD'!$B$4="Area",INDEX(MASTER_AREAS!$B:$B,G17+1),INDEX(MASTER_ZONES!$B:$B,G17+1)))</f>
        <v/>
      </c>
    </row>
    <row r="18">
      <c r="A18">
        <f>IF('WSF DASHBOARD'!$B$4="Area",IF(17&lt;=$D$3,IF(OR('WSF DASHBOARD'!$C$4="",ISNUMBER(SEARCH('WSF DASHBOARD'!$C$4,INDEX(MASTER_AREAS!$B:$B,18)))),17,""),""),IF('WSF DASHBOARD'!$B$4="Zone",IF(17&lt;=$D$4,IF(OR('WSF DASHBOARD'!$C$4="",ISNUMBER(SEARCH('WSF DASHBOARD'!$C$4,INDEX(MASTER_ZONES!$B:$B,18)))),17,""),""),""))</f>
        <v/>
      </c>
      <c r="B18">
        <f>IFERROR(SMALL($A$2:$A$1365,17),"")</f>
        <v/>
      </c>
      <c r="C18">
        <f>IF(B18="","",IF('WSF DASHBOARD'!$B$4="Area",INDEX(MASTER_AREAS!$B:$B,B18+1),INDEX(MASTER_ZONES!$B:$B,B18+1)))</f>
        <v/>
      </c>
      <c r="F18">
        <f>IF('TRANSPORT DASHBOARD'!$B$4="Area",IF(17&lt;=$I$3,IF(OR('TRANSPORT DASHBOARD'!$C$4="",ISNUMBER(SEARCH('TRANSPORT DASHBOARD'!$C$4,INDEX(MASTER_AREAS!$B:$B,18)))),17,""),""),IF('TRANSPORT DASHBOARD'!$B$4="Zone",IF(17&lt;=$I$4,IF(OR('TRANSPORT DASHBOARD'!$C$4="",ISNUMBER(SEARCH('TRANSPORT DASHBOARD'!$C$4,INDEX(MASTER_ZONES!$B:$B,18)))),17,""),""),""))</f>
        <v/>
      </c>
      <c r="G18">
        <f>IFERROR(SMALL($F$2:$F$1365,17),"")</f>
        <v/>
      </c>
      <c r="H18">
        <f>IF(G18="","",IF('TRANSPORT DASHBOARD'!$B$4="Area",INDEX(MASTER_AREAS!$B:$B,G18+1),INDEX(MASTER_ZONES!$B:$B,G18+1)))</f>
        <v/>
      </c>
    </row>
    <row r="19">
      <c r="A19">
        <f>IF('WSF DASHBOARD'!$B$4="Area",IF(18&lt;=$D$3,IF(OR('WSF DASHBOARD'!$C$4="",ISNUMBER(SEARCH('WSF DASHBOARD'!$C$4,INDEX(MASTER_AREAS!$B:$B,19)))),18,""),""),IF('WSF DASHBOARD'!$B$4="Zone",IF(18&lt;=$D$4,IF(OR('WSF DASHBOARD'!$C$4="",ISNUMBER(SEARCH('WSF DASHBOARD'!$C$4,INDEX(MASTER_ZONES!$B:$B,19)))),18,""),""),""))</f>
        <v/>
      </c>
      <c r="B19">
        <f>IFERROR(SMALL($A$2:$A$1365,18),"")</f>
        <v/>
      </c>
      <c r="C19">
        <f>IF(B19="","",IF('WSF DASHBOARD'!$B$4="Area",INDEX(MASTER_AREAS!$B:$B,B19+1),INDEX(MASTER_ZONES!$B:$B,B19+1)))</f>
        <v/>
      </c>
      <c r="F19">
        <f>IF('TRANSPORT DASHBOARD'!$B$4="Area",IF(18&lt;=$I$3,IF(OR('TRANSPORT DASHBOARD'!$C$4="",ISNUMBER(SEARCH('TRANSPORT DASHBOARD'!$C$4,INDEX(MASTER_AREAS!$B:$B,19)))),18,""),""),IF('TRANSPORT DASHBOARD'!$B$4="Zone",IF(18&lt;=$I$4,IF(OR('TRANSPORT DASHBOARD'!$C$4="",ISNUMBER(SEARCH('TRANSPORT DASHBOARD'!$C$4,INDEX(MASTER_ZONES!$B:$B,19)))),18,""),""),""))</f>
        <v/>
      </c>
      <c r="G19">
        <f>IFERROR(SMALL($F$2:$F$1365,18),"")</f>
        <v/>
      </c>
      <c r="H19">
        <f>IF(G19="","",IF('TRANSPORT DASHBOARD'!$B$4="Area",INDEX(MASTER_AREAS!$B:$B,G19+1),INDEX(MASTER_ZONES!$B:$B,G19+1)))</f>
        <v/>
      </c>
    </row>
    <row r="20">
      <c r="A20">
        <f>IF('WSF DASHBOARD'!$B$4="Area",IF(19&lt;=$D$3,IF(OR('WSF DASHBOARD'!$C$4="",ISNUMBER(SEARCH('WSF DASHBOARD'!$C$4,INDEX(MASTER_AREAS!$B:$B,20)))),19,""),""),IF('WSF DASHBOARD'!$B$4="Zone",IF(19&lt;=$D$4,IF(OR('WSF DASHBOARD'!$C$4="",ISNUMBER(SEARCH('WSF DASHBOARD'!$C$4,INDEX(MASTER_ZONES!$B:$B,20)))),19,""),""),""))</f>
        <v/>
      </c>
      <c r="B20">
        <f>IFERROR(SMALL($A$2:$A$1365,19),"")</f>
        <v/>
      </c>
      <c r="C20">
        <f>IF(B20="","",IF('WSF DASHBOARD'!$B$4="Area",INDEX(MASTER_AREAS!$B:$B,B20+1),INDEX(MASTER_ZONES!$B:$B,B20+1)))</f>
        <v/>
      </c>
      <c r="F20">
        <f>IF('TRANSPORT DASHBOARD'!$B$4="Area",IF(19&lt;=$I$3,IF(OR('TRANSPORT DASHBOARD'!$C$4="",ISNUMBER(SEARCH('TRANSPORT DASHBOARD'!$C$4,INDEX(MASTER_AREAS!$B:$B,20)))),19,""),""),IF('TRANSPORT DASHBOARD'!$B$4="Zone",IF(19&lt;=$I$4,IF(OR('TRANSPORT DASHBOARD'!$C$4="",ISNUMBER(SEARCH('TRANSPORT DASHBOARD'!$C$4,INDEX(MASTER_ZONES!$B:$B,20)))),19,""),""),""))</f>
        <v/>
      </c>
      <c r="G20">
        <f>IFERROR(SMALL($F$2:$F$1365,19),"")</f>
        <v/>
      </c>
      <c r="H20">
        <f>IF(G20="","",IF('TRANSPORT DASHBOARD'!$B$4="Area",INDEX(MASTER_AREAS!$B:$B,G20+1),INDEX(MASTER_ZONES!$B:$B,G20+1)))</f>
        <v/>
      </c>
    </row>
    <row r="21">
      <c r="A21">
        <f>IF('WSF DASHBOARD'!$B$4="Area",IF(20&lt;=$D$3,IF(OR('WSF DASHBOARD'!$C$4="",ISNUMBER(SEARCH('WSF DASHBOARD'!$C$4,INDEX(MASTER_AREAS!$B:$B,21)))),20,""),""),IF('WSF DASHBOARD'!$B$4="Zone",IF(20&lt;=$D$4,IF(OR('WSF DASHBOARD'!$C$4="",ISNUMBER(SEARCH('WSF DASHBOARD'!$C$4,INDEX(MASTER_ZONES!$B:$B,21)))),20,""),""),""))</f>
        <v/>
      </c>
      <c r="B21">
        <f>IFERROR(SMALL($A$2:$A$1365,20),"")</f>
        <v/>
      </c>
      <c r="C21">
        <f>IF(B21="","",IF('WSF DASHBOARD'!$B$4="Area",INDEX(MASTER_AREAS!$B:$B,B21+1),INDEX(MASTER_ZONES!$B:$B,B21+1)))</f>
        <v/>
      </c>
      <c r="F21">
        <f>IF('TRANSPORT DASHBOARD'!$B$4="Area",IF(20&lt;=$I$3,IF(OR('TRANSPORT DASHBOARD'!$C$4="",ISNUMBER(SEARCH('TRANSPORT DASHBOARD'!$C$4,INDEX(MASTER_AREAS!$B:$B,21)))),20,""),""),IF('TRANSPORT DASHBOARD'!$B$4="Zone",IF(20&lt;=$I$4,IF(OR('TRANSPORT DASHBOARD'!$C$4="",ISNUMBER(SEARCH('TRANSPORT DASHBOARD'!$C$4,INDEX(MASTER_ZONES!$B:$B,21)))),20,""),""),""))</f>
        <v/>
      </c>
      <c r="G21">
        <f>IFERROR(SMALL($F$2:$F$1365,20),"")</f>
        <v/>
      </c>
      <c r="H21">
        <f>IF(G21="","",IF('TRANSPORT DASHBOARD'!$B$4="Area",INDEX(MASTER_AREAS!$B:$B,G21+1),INDEX(MASTER_ZONES!$B:$B,G21+1)))</f>
        <v/>
      </c>
    </row>
    <row r="22">
      <c r="A22">
        <f>IF('WSF DASHBOARD'!$B$4="Area",IF(21&lt;=$D$3,IF(OR('WSF DASHBOARD'!$C$4="",ISNUMBER(SEARCH('WSF DASHBOARD'!$C$4,INDEX(MASTER_AREAS!$B:$B,22)))),21,""),""),IF('WSF DASHBOARD'!$B$4="Zone",IF(21&lt;=$D$4,IF(OR('WSF DASHBOARD'!$C$4="",ISNUMBER(SEARCH('WSF DASHBOARD'!$C$4,INDEX(MASTER_ZONES!$B:$B,22)))),21,""),""),""))</f>
        <v/>
      </c>
      <c r="B22">
        <f>IFERROR(SMALL($A$2:$A$1365,21),"")</f>
        <v/>
      </c>
      <c r="C22">
        <f>IF(B22="","",IF('WSF DASHBOARD'!$B$4="Area",INDEX(MASTER_AREAS!$B:$B,B22+1),INDEX(MASTER_ZONES!$B:$B,B22+1)))</f>
        <v/>
      </c>
      <c r="F22">
        <f>IF('TRANSPORT DASHBOARD'!$B$4="Area",IF(21&lt;=$I$3,IF(OR('TRANSPORT DASHBOARD'!$C$4="",ISNUMBER(SEARCH('TRANSPORT DASHBOARD'!$C$4,INDEX(MASTER_AREAS!$B:$B,22)))),21,""),""),IF('TRANSPORT DASHBOARD'!$B$4="Zone",IF(21&lt;=$I$4,IF(OR('TRANSPORT DASHBOARD'!$C$4="",ISNUMBER(SEARCH('TRANSPORT DASHBOARD'!$C$4,INDEX(MASTER_ZONES!$B:$B,22)))),21,""),""),""))</f>
        <v/>
      </c>
      <c r="G22">
        <f>IFERROR(SMALL($F$2:$F$1365,21),"")</f>
        <v/>
      </c>
      <c r="H22">
        <f>IF(G22="","",IF('TRANSPORT DASHBOARD'!$B$4="Area",INDEX(MASTER_AREAS!$B:$B,G22+1),INDEX(MASTER_ZONES!$B:$B,G22+1)))</f>
        <v/>
      </c>
    </row>
    <row r="23">
      <c r="A23">
        <f>IF('WSF DASHBOARD'!$B$4="Area",IF(22&lt;=$D$3,IF(OR('WSF DASHBOARD'!$C$4="",ISNUMBER(SEARCH('WSF DASHBOARD'!$C$4,INDEX(MASTER_AREAS!$B:$B,23)))),22,""),""),IF('WSF DASHBOARD'!$B$4="Zone",IF(22&lt;=$D$4,IF(OR('WSF DASHBOARD'!$C$4="",ISNUMBER(SEARCH('WSF DASHBOARD'!$C$4,INDEX(MASTER_ZONES!$B:$B,23)))),22,""),""),""))</f>
        <v/>
      </c>
      <c r="B23">
        <f>IFERROR(SMALL($A$2:$A$1365,22),"")</f>
        <v/>
      </c>
      <c r="C23">
        <f>IF(B23="","",IF('WSF DASHBOARD'!$B$4="Area",INDEX(MASTER_AREAS!$B:$B,B23+1),INDEX(MASTER_ZONES!$B:$B,B23+1)))</f>
        <v/>
      </c>
      <c r="F23">
        <f>IF('TRANSPORT DASHBOARD'!$B$4="Area",IF(22&lt;=$I$3,IF(OR('TRANSPORT DASHBOARD'!$C$4="",ISNUMBER(SEARCH('TRANSPORT DASHBOARD'!$C$4,INDEX(MASTER_AREAS!$B:$B,23)))),22,""),""),IF('TRANSPORT DASHBOARD'!$B$4="Zone",IF(22&lt;=$I$4,IF(OR('TRANSPORT DASHBOARD'!$C$4="",ISNUMBER(SEARCH('TRANSPORT DASHBOARD'!$C$4,INDEX(MASTER_ZONES!$B:$B,23)))),22,""),""),""))</f>
        <v/>
      </c>
      <c r="G23">
        <f>IFERROR(SMALL($F$2:$F$1365,22),"")</f>
        <v/>
      </c>
      <c r="H23">
        <f>IF(G23="","",IF('TRANSPORT DASHBOARD'!$B$4="Area",INDEX(MASTER_AREAS!$B:$B,G23+1),INDEX(MASTER_ZONES!$B:$B,G23+1)))</f>
        <v/>
      </c>
    </row>
    <row r="24">
      <c r="A24">
        <f>IF('WSF DASHBOARD'!$B$4="Area",IF(23&lt;=$D$3,IF(OR('WSF DASHBOARD'!$C$4="",ISNUMBER(SEARCH('WSF DASHBOARD'!$C$4,INDEX(MASTER_AREAS!$B:$B,24)))),23,""),""),IF('WSF DASHBOARD'!$B$4="Zone",IF(23&lt;=$D$4,IF(OR('WSF DASHBOARD'!$C$4="",ISNUMBER(SEARCH('WSF DASHBOARD'!$C$4,INDEX(MASTER_ZONES!$B:$B,24)))),23,""),""),""))</f>
        <v/>
      </c>
      <c r="B24">
        <f>IFERROR(SMALL($A$2:$A$1365,23),"")</f>
        <v/>
      </c>
      <c r="C24">
        <f>IF(B24="","",IF('WSF DASHBOARD'!$B$4="Area",INDEX(MASTER_AREAS!$B:$B,B24+1),INDEX(MASTER_ZONES!$B:$B,B24+1)))</f>
        <v/>
      </c>
      <c r="F24">
        <f>IF('TRANSPORT DASHBOARD'!$B$4="Area",IF(23&lt;=$I$3,IF(OR('TRANSPORT DASHBOARD'!$C$4="",ISNUMBER(SEARCH('TRANSPORT DASHBOARD'!$C$4,INDEX(MASTER_AREAS!$B:$B,24)))),23,""),""),IF('TRANSPORT DASHBOARD'!$B$4="Zone",IF(23&lt;=$I$4,IF(OR('TRANSPORT DASHBOARD'!$C$4="",ISNUMBER(SEARCH('TRANSPORT DASHBOARD'!$C$4,INDEX(MASTER_ZONES!$B:$B,24)))),23,""),""),""))</f>
        <v/>
      </c>
      <c r="G24">
        <f>IFERROR(SMALL($F$2:$F$1365,23),"")</f>
        <v/>
      </c>
      <c r="H24">
        <f>IF(G24="","",IF('TRANSPORT DASHBOARD'!$B$4="Area",INDEX(MASTER_AREAS!$B:$B,G24+1),INDEX(MASTER_ZONES!$B:$B,G24+1)))</f>
        <v/>
      </c>
    </row>
    <row r="25">
      <c r="A25">
        <f>IF('WSF DASHBOARD'!$B$4="Area",IF(24&lt;=$D$3,IF(OR('WSF DASHBOARD'!$C$4="",ISNUMBER(SEARCH('WSF DASHBOARD'!$C$4,INDEX(MASTER_AREAS!$B:$B,25)))),24,""),""),IF('WSF DASHBOARD'!$B$4="Zone",IF(24&lt;=$D$4,IF(OR('WSF DASHBOARD'!$C$4="",ISNUMBER(SEARCH('WSF DASHBOARD'!$C$4,INDEX(MASTER_ZONES!$B:$B,25)))),24,""),""),""))</f>
        <v/>
      </c>
      <c r="B25">
        <f>IFERROR(SMALL($A$2:$A$1365,24),"")</f>
        <v/>
      </c>
      <c r="C25">
        <f>IF(B25="","",IF('WSF DASHBOARD'!$B$4="Area",INDEX(MASTER_AREAS!$B:$B,B25+1),INDEX(MASTER_ZONES!$B:$B,B25+1)))</f>
        <v/>
      </c>
      <c r="F25">
        <f>IF('TRANSPORT DASHBOARD'!$B$4="Area",IF(24&lt;=$I$3,IF(OR('TRANSPORT DASHBOARD'!$C$4="",ISNUMBER(SEARCH('TRANSPORT DASHBOARD'!$C$4,INDEX(MASTER_AREAS!$B:$B,25)))),24,""),""),IF('TRANSPORT DASHBOARD'!$B$4="Zone",IF(24&lt;=$I$4,IF(OR('TRANSPORT DASHBOARD'!$C$4="",ISNUMBER(SEARCH('TRANSPORT DASHBOARD'!$C$4,INDEX(MASTER_ZONES!$B:$B,25)))),24,""),""),""))</f>
        <v/>
      </c>
      <c r="G25">
        <f>IFERROR(SMALL($F$2:$F$1365,24),"")</f>
        <v/>
      </c>
      <c r="H25">
        <f>IF(G25="","",IF('TRANSPORT DASHBOARD'!$B$4="Area",INDEX(MASTER_AREAS!$B:$B,G25+1),INDEX(MASTER_ZONES!$B:$B,G25+1)))</f>
        <v/>
      </c>
    </row>
    <row r="26">
      <c r="A26">
        <f>IF('WSF DASHBOARD'!$B$4="Area",IF(25&lt;=$D$3,IF(OR('WSF DASHBOARD'!$C$4="",ISNUMBER(SEARCH('WSF DASHBOARD'!$C$4,INDEX(MASTER_AREAS!$B:$B,26)))),25,""),""),IF('WSF DASHBOARD'!$B$4="Zone",IF(25&lt;=$D$4,IF(OR('WSF DASHBOARD'!$C$4="",ISNUMBER(SEARCH('WSF DASHBOARD'!$C$4,INDEX(MASTER_ZONES!$B:$B,26)))),25,""),""),""))</f>
        <v/>
      </c>
      <c r="B26">
        <f>IFERROR(SMALL($A$2:$A$1365,25),"")</f>
        <v/>
      </c>
      <c r="C26">
        <f>IF(B26="","",IF('WSF DASHBOARD'!$B$4="Area",INDEX(MASTER_AREAS!$B:$B,B26+1),INDEX(MASTER_ZONES!$B:$B,B26+1)))</f>
        <v/>
      </c>
      <c r="F26">
        <f>IF('TRANSPORT DASHBOARD'!$B$4="Area",IF(25&lt;=$I$3,IF(OR('TRANSPORT DASHBOARD'!$C$4="",ISNUMBER(SEARCH('TRANSPORT DASHBOARD'!$C$4,INDEX(MASTER_AREAS!$B:$B,26)))),25,""),""),IF('TRANSPORT DASHBOARD'!$B$4="Zone",IF(25&lt;=$I$4,IF(OR('TRANSPORT DASHBOARD'!$C$4="",ISNUMBER(SEARCH('TRANSPORT DASHBOARD'!$C$4,INDEX(MASTER_ZONES!$B:$B,26)))),25,""),""),""))</f>
        <v/>
      </c>
      <c r="G26">
        <f>IFERROR(SMALL($F$2:$F$1365,25),"")</f>
        <v/>
      </c>
      <c r="H26">
        <f>IF(G26="","",IF('TRANSPORT DASHBOARD'!$B$4="Area",INDEX(MASTER_AREAS!$B:$B,G26+1),INDEX(MASTER_ZONES!$B:$B,G26+1)))</f>
        <v/>
      </c>
    </row>
    <row r="27">
      <c r="A27">
        <f>IF('WSF DASHBOARD'!$B$4="Area",IF(26&lt;=$D$3,IF(OR('WSF DASHBOARD'!$C$4="",ISNUMBER(SEARCH('WSF DASHBOARD'!$C$4,INDEX(MASTER_AREAS!$B:$B,27)))),26,""),""),IF('WSF DASHBOARD'!$B$4="Zone",IF(26&lt;=$D$4,IF(OR('WSF DASHBOARD'!$C$4="",ISNUMBER(SEARCH('WSF DASHBOARD'!$C$4,INDEX(MASTER_ZONES!$B:$B,27)))),26,""),""),""))</f>
        <v/>
      </c>
      <c r="B27">
        <f>IFERROR(SMALL($A$2:$A$1365,26),"")</f>
        <v/>
      </c>
      <c r="C27">
        <f>IF(B27="","",IF('WSF DASHBOARD'!$B$4="Area",INDEX(MASTER_AREAS!$B:$B,B27+1),INDEX(MASTER_ZONES!$B:$B,B27+1)))</f>
        <v/>
      </c>
      <c r="F27">
        <f>IF('TRANSPORT DASHBOARD'!$B$4="Area",IF(26&lt;=$I$3,IF(OR('TRANSPORT DASHBOARD'!$C$4="",ISNUMBER(SEARCH('TRANSPORT DASHBOARD'!$C$4,INDEX(MASTER_AREAS!$B:$B,27)))),26,""),""),IF('TRANSPORT DASHBOARD'!$B$4="Zone",IF(26&lt;=$I$4,IF(OR('TRANSPORT DASHBOARD'!$C$4="",ISNUMBER(SEARCH('TRANSPORT DASHBOARD'!$C$4,INDEX(MASTER_ZONES!$B:$B,27)))),26,""),""),""))</f>
        <v/>
      </c>
      <c r="G27">
        <f>IFERROR(SMALL($F$2:$F$1365,26),"")</f>
        <v/>
      </c>
      <c r="H27">
        <f>IF(G27="","",IF('TRANSPORT DASHBOARD'!$B$4="Area",INDEX(MASTER_AREAS!$B:$B,G27+1),INDEX(MASTER_ZONES!$B:$B,G27+1)))</f>
        <v/>
      </c>
    </row>
    <row r="28">
      <c r="A28">
        <f>IF('WSF DASHBOARD'!$B$4="Area",IF(27&lt;=$D$3,IF(OR('WSF DASHBOARD'!$C$4="",ISNUMBER(SEARCH('WSF DASHBOARD'!$C$4,INDEX(MASTER_AREAS!$B:$B,28)))),27,""),""),IF('WSF DASHBOARD'!$B$4="Zone",IF(27&lt;=$D$4,IF(OR('WSF DASHBOARD'!$C$4="",ISNUMBER(SEARCH('WSF DASHBOARD'!$C$4,INDEX(MASTER_ZONES!$B:$B,28)))),27,""),""),""))</f>
        <v/>
      </c>
      <c r="B28">
        <f>IFERROR(SMALL($A$2:$A$1365,27),"")</f>
        <v/>
      </c>
      <c r="C28">
        <f>IF(B28="","",IF('WSF DASHBOARD'!$B$4="Area",INDEX(MASTER_AREAS!$B:$B,B28+1),INDEX(MASTER_ZONES!$B:$B,B28+1)))</f>
        <v/>
      </c>
      <c r="F28">
        <f>IF('TRANSPORT DASHBOARD'!$B$4="Area",IF(27&lt;=$I$3,IF(OR('TRANSPORT DASHBOARD'!$C$4="",ISNUMBER(SEARCH('TRANSPORT DASHBOARD'!$C$4,INDEX(MASTER_AREAS!$B:$B,28)))),27,""),""),IF('TRANSPORT DASHBOARD'!$B$4="Zone",IF(27&lt;=$I$4,IF(OR('TRANSPORT DASHBOARD'!$C$4="",ISNUMBER(SEARCH('TRANSPORT DASHBOARD'!$C$4,INDEX(MASTER_ZONES!$B:$B,28)))),27,""),""),""))</f>
        <v/>
      </c>
      <c r="G28">
        <f>IFERROR(SMALL($F$2:$F$1365,27),"")</f>
        <v/>
      </c>
      <c r="H28">
        <f>IF(G28="","",IF('TRANSPORT DASHBOARD'!$B$4="Area",INDEX(MASTER_AREAS!$B:$B,G28+1),INDEX(MASTER_ZONES!$B:$B,G28+1)))</f>
        <v/>
      </c>
    </row>
    <row r="29">
      <c r="A29">
        <f>IF('WSF DASHBOARD'!$B$4="Area",IF(28&lt;=$D$3,IF(OR('WSF DASHBOARD'!$C$4="",ISNUMBER(SEARCH('WSF DASHBOARD'!$C$4,INDEX(MASTER_AREAS!$B:$B,29)))),28,""),""),IF('WSF DASHBOARD'!$B$4="Zone",IF(28&lt;=$D$4,IF(OR('WSF DASHBOARD'!$C$4="",ISNUMBER(SEARCH('WSF DASHBOARD'!$C$4,INDEX(MASTER_ZONES!$B:$B,29)))),28,""),""),""))</f>
        <v/>
      </c>
      <c r="B29">
        <f>IFERROR(SMALL($A$2:$A$1365,28),"")</f>
        <v/>
      </c>
      <c r="C29">
        <f>IF(B29="","",IF('WSF DASHBOARD'!$B$4="Area",INDEX(MASTER_AREAS!$B:$B,B29+1),INDEX(MASTER_ZONES!$B:$B,B29+1)))</f>
        <v/>
      </c>
      <c r="F29">
        <f>IF('TRANSPORT DASHBOARD'!$B$4="Area",IF(28&lt;=$I$3,IF(OR('TRANSPORT DASHBOARD'!$C$4="",ISNUMBER(SEARCH('TRANSPORT DASHBOARD'!$C$4,INDEX(MASTER_AREAS!$B:$B,29)))),28,""),""),IF('TRANSPORT DASHBOARD'!$B$4="Zone",IF(28&lt;=$I$4,IF(OR('TRANSPORT DASHBOARD'!$C$4="",ISNUMBER(SEARCH('TRANSPORT DASHBOARD'!$C$4,INDEX(MASTER_ZONES!$B:$B,29)))),28,""),""),""))</f>
        <v/>
      </c>
      <c r="G29">
        <f>IFERROR(SMALL($F$2:$F$1365,28),"")</f>
        <v/>
      </c>
      <c r="H29">
        <f>IF(G29="","",IF('TRANSPORT DASHBOARD'!$B$4="Area",INDEX(MASTER_AREAS!$B:$B,G29+1),INDEX(MASTER_ZONES!$B:$B,G29+1)))</f>
        <v/>
      </c>
    </row>
    <row r="30">
      <c r="A30">
        <f>IF('WSF DASHBOARD'!$B$4="Area",IF(29&lt;=$D$3,IF(OR('WSF DASHBOARD'!$C$4="",ISNUMBER(SEARCH('WSF DASHBOARD'!$C$4,INDEX(MASTER_AREAS!$B:$B,30)))),29,""),""),IF('WSF DASHBOARD'!$B$4="Zone",IF(29&lt;=$D$4,IF(OR('WSF DASHBOARD'!$C$4="",ISNUMBER(SEARCH('WSF DASHBOARD'!$C$4,INDEX(MASTER_ZONES!$B:$B,30)))),29,""),""),""))</f>
        <v/>
      </c>
      <c r="B30">
        <f>IFERROR(SMALL($A$2:$A$1365,29),"")</f>
        <v/>
      </c>
      <c r="C30">
        <f>IF(B30="","",IF('WSF DASHBOARD'!$B$4="Area",INDEX(MASTER_AREAS!$B:$B,B30+1),INDEX(MASTER_ZONES!$B:$B,B30+1)))</f>
        <v/>
      </c>
      <c r="F30">
        <f>IF('TRANSPORT DASHBOARD'!$B$4="Area",IF(29&lt;=$I$3,IF(OR('TRANSPORT DASHBOARD'!$C$4="",ISNUMBER(SEARCH('TRANSPORT DASHBOARD'!$C$4,INDEX(MASTER_AREAS!$B:$B,30)))),29,""),""),IF('TRANSPORT DASHBOARD'!$B$4="Zone",IF(29&lt;=$I$4,IF(OR('TRANSPORT DASHBOARD'!$C$4="",ISNUMBER(SEARCH('TRANSPORT DASHBOARD'!$C$4,INDEX(MASTER_ZONES!$B:$B,30)))),29,""),""),""))</f>
        <v/>
      </c>
      <c r="G30">
        <f>IFERROR(SMALL($F$2:$F$1365,29),"")</f>
        <v/>
      </c>
      <c r="H30">
        <f>IF(G30="","",IF('TRANSPORT DASHBOARD'!$B$4="Area",INDEX(MASTER_AREAS!$B:$B,G30+1),INDEX(MASTER_ZONES!$B:$B,G30+1)))</f>
        <v/>
      </c>
    </row>
    <row r="31">
      <c r="A31">
        <f>IF('WSF DASHBOARD'!$B$4="Area",IF(30&lt;=$D$3,IF(OR('WSF DASHBOARD'!$C$4="",ISNUMBER(SEARCH('WSF DASHBOARD'!$C$4,INDEX(MASTER_AREAS!$B:$B,31)))),30,""),""),IF('WSF DASHBOARD'!$B$4="Zone",IF(30&lt;=$D$4,IF(OR('WSF DASHBOARD'!$C$4="",ISNUMBER(SEARCH('WSF DASHBOARD'!$C$4,INDEX(MASTER_ZONES!$B:$B,31)))),30,""),""),""))</f>
        <v/>
      </c>
      <c r="B31">
        <f>IFERROR(SMALL($A$2:$A$1365,30),"")</f>
        <v/>
      </c>
      <c r="C31">
        <f>IF(B31="","",IF('WSF DASHBOARD'!$B$4="Area",INDEX(MASTER_AREAS!$B:$B,B31+1),INDEX(MASTER_ZONES!$B:$B,B31+1)))</f>
        <v/>
      </c>
      <c r="F31">
        <f>IF('TRANSPORT DASHBOARD'!$B$4="Area",IF(30&lt;=$I$3,IF(OR('TRANSPORT DASHBOARD'!$C$4="",ISNUMBER(SEARCH('TRANSPORT DASHBOARD'!$C$4,INDEX(MASTER_AREAS!$B:$B,31)))),30,""),""),IF('TRANSPORT DASHBOARD'!$B$4="Zone",IF(30&lt;=$I$4,IF(OR('TRANSPORT DASHBOARD'!$C$4="",ISNUMBER(SEARCH('TRANSPORT DASHBOARD'!$C$4,INDEX(MASTER_ZONES!$B:$B,31)))),30,""),""),""))</f>
        <v/>
      </c>
      <c r="G31">
        <f>IFERROR(SMALL($F$2:$F$1365,30),"")</f>
        <v/>
      </c>
      <c r="H31">
        <f>IF(G31="","",IF('TRANSPORT DASHBOARD'!$B$4="Area",INDEX(MASTER_AREAS!$B:$B,G31+1),INDEX(MASTER_ZONES!$B:$B,G31+1)))</f>
        <v/>
      </c>
    </row>
    <row r="32">
      <c r="A32">
        <f>IF('WSF DASHBOARD'!$B$4="Area",IF(31&lt;=$D$3,IF(OR('WSF DASHBOARD'!$C$4="",ISNUMBER(SEARCH('WSF DASHBOARD'!$C$4,INDEX(MASTER_AREAS!$B:$B,32)))),31,""),""),IF('WSF DASHBOARD'!$B$4="Zone",IF(31&lt;=$D$4,IF(OR('WSF DASHBOARD'!$C$4="",ISNUMBER(SEARCH('WSF DASHBOARD'!$C$4,INDEX(MASTER_ZONES!$B:$B,32)))),31,""),""),""))</f>
        <v/>
      </c>
      <c r="B32">
        <f>IFERROR(SMALL($A$2:$A$1365,31),"")</f>
        <v/>
      </c>
      <c r="C32">
        <f>IF(B32="","",IF('WSF DASHBOARD'!$B$4="Area",INDEX(MASTER_AREAS!$B:$B,B32+1),INDEX(MASTER_ZONES!$B:$B,B32+1)))</f>
        <v/>
      </c>
      <c r="F32">
        <f>IF('TRANSPORT DASHBOARD'!$B$4="Area",IF(31&lt;=$I$3,IF(OR('TRANSPORT DASHBOARD'!$C$4="",ISNUMBER(SEARCH('TRANSPORT DASHBOARD'!$C$4,INDEX(MASTER_AREAS!$B:$B,32)))),31,""),""),IF('TRANSPORT DASHBOARD'!$B$4="Zone",IF(31&lt;=$I$4,IF(OR('TRANSPORT DASHBOARD'!$C$4="",ISNUMBER(SEARCH('TRANSPORT DASHBOARD'!$C$4,INDEX(MASTER_ZONES!$B:$B,32)))),31,""),""),""))</f>
        <v/>
      </c>
      <c r="G32">
        <f>IFERROR(SMALL($F$2:$F$1365,31),"")</f>
        <v/>
      </c>
      <c r="H32">
        <f>IF(G32="","",IF('TRANSPORT DASHBOARD'!$B$4="Area",INDEX(MASTER_AREAS!$B:$B,G32+1),INDEX(MASTER_ZONES!$B:$B,G32+1)))</f>
        <v/>
      </c>
    </row>
    <row r="33">
      <c r="A33">
        <f>IF('WSF DASHBOARD'!$B$4="Area",IF(32&lt;=$D$3,IF(OR('WSF DASHBOARD'!$C$4="",ISNUMBER(SEARCH('WSF DASHBOARD'!$C$4,INDEX(MASTER_AREAS!$B:$B,33)))),32,""),""),IF('WSF DASHBOARD'!$B$4="Zone",IF(32&lt;=$D$4,IF(OR('WSF DASHBOARD'!$C$4="",ISNUMBER(SEARCH('WSF DASHBOARD'!$C$4,INDEX(MASTER_ZONES!$B:$B,33)))),32,""),""),""))</f>
        <v/>
      </c>
      <c r="B33">
        <f>IFERROR(SMALL($A$2:$A$1365,32),"")</f>
        <v/>
      </c>
      <c r="C33">
        <f>IF(B33="","",IF('WSF DASHBOARD'!$B$4="Area",INDEX(MASTER_AREAS!$B:$B,B33+1),INDEX(MASTER_ZONES!$B:$B,B33+1)))</f>
        <v/>
      </c>
      <c r="F33">
        <f>IF('TRANSPORT DASHBOARD'!$B$4="Area",IF(32&lt;=$I$3,IF(OR('TRANSPORT DASHBOARD'!$C$4="",ISNUMBER(SEARCH('TRANSPORT DASHBOARD'!$C$4,INDEX(MASTER_AREAS!$B:$B,33)))),32,""),""),IF('TRANSPORT DASHBOARD'!$B$4="Zone",IF(32&lt;=$I$4,IF(OR('TRANSPORT DASHBOARD'!$C$4="",ISNUMBER(SEARCH('TRANSPORT DASHBOARD'!$C$4,INDEX(MASTER_ZONES!$B:$B,33)))),32,""),""),""))</f>
        <v/>
      </c>
      <c r="G33">
        <f>IFERROR(SMALL($F$2:$F$1365,32),"")</f>
        <v/>
      </c>
      <c r="H33">
        <f>IF(G33="","",IF('TRANSPORT DASHBOARD'!$B$4="Area",INDEX(MASTER_AREAS!$B:$B,G33+1),INDEX(MASTER_ZONES!$B:$B,G33+1)))</f>
        <v/>
      </c>
    </row>
    <row r="34">
      <c r="A34">
        <f>IF('WSF DASHBOARD'!$B$4="Area",IF(33&lt;=$D$3,IF(OR('WSF DASHBOARD'!$C$4="",ISNUMBER(SEARCH('WSF DASHBOARD'!$C$4,INDEX(MASTER_AREAS!$B:$B,34)))),33,""),""),IF('WSF DASHBOARD'!$B$4="Zone",IF(33&lt;=$D$4,IF(OR('WSF DASHBOARD'!$C$4="",ISNUMBER(SEARCH('WSF DASHBOARD'!$C$4,INDEX(MASTER_ZONES!$B:$B,34)))),33,""),""),""))</f>
        <v/>
      </c>
      <c r="B34">
        <f>IFERROR(SMALL($A$2:$A$1365,33),"")</f>
        <v/>
      </c>
      <c r="C34">
        <f>IF(B34="","",IF('WSF DASHBOARD'!$B$4="Area",INDEX(MASTER_AREAS!$B:$B,B34+1),INDEX(MASTER_ZONES!$B:$B,B34+1)))</f>
        <v/>
      </c>
      <c r="F34">
        <f>IF('TRANSPORT DASHBOARD'!$B$4="Area",IF(33&lt;=$I$3,IF(OR('TRANSPORT DASHBOARD'!$C$4="",ISNUMBER(SEARCH('TRANSPORT DASHBOARD'!$C$4,INDEX(MASTER_AREAS!$B:$B,34)))),33,""),""),IF('TRANSPORT DASHBOARD'!$B$4="Zone",IF(33&lt;=$I$4,IF(OR('TRANSPORT DASHBOARD'!$C$4="",ISNUMBER(SEARCH('TRANSPORT DASHBOARD'!$C$4,INDEX(MASTER_ZONES!$B:$B,34)))),33,""),""),""))</f>
        <v/>
      </c>
      <c r="G34">
        <f>IFERROR(SMALL($F$2:$F$1365,33),"")</f>
        <v/>
      </c>
      <c r="H34">
        <f>IF(G34="","",IF('TRANSPORT DASHBOARD'!$B$4="Area",INDEX(MASTER_AREAS!$B:$B,G34+1),INDEX(MASTER_ZONES!$B:$B,G34+1)))</f>
        <v/>
      </c>
    </row>
    <row r="35">
      <c r="A35">
        <f>IF('WSF DASHBOARD'!$B$4="Area",IF(34&lt;=$D$3,IF(OR('WSF DASHBOARD'!$C$4="",ISNUMBER(SEARCH('WSF DASHBOARD'!$C$4,INDEX(MASTER_AREAS!$B:$B,35)))),34,""),""),IF('WSF DASHBOARD'!$B$4="Zone",IF(34&lt;=$D$4,IF(OR('WSF DASHBOARD'!$C$4="",ISNUMBER(SEARCH('WSF DASHBOARD'!$C$4,INDEX(MASTER_ZONES!$B:$B,35)))),34,""),""),""))</f>
        <v/>
      </c>
      <c r="B35">
        <f>IFERROR(SMALL($A$2:$A$1365,34),"")</f>
        <v/>
      </c>
      <c r="C35">
        <f>IF(B35="","",IF('WSF DASHBOARD'!$B$4="Area",INDEX(MASTER_AREAS!$B:$B,B35+1),INDEX(MASTER_ZONES!$B:$B,B35+1)))</f>
        <v/>
      </c>
      <c r="F35">
        <f>IF('TRANSPORT DASHBOARD'!$B$4="Area",IF(34&lt;=$I$3,IF(OR('TRANSPORT DASHBOARD'!$C$4="",ISNUMBER(SEARCH('TRANSPORT DASHBOARD'!$C$4,INDEX(MASTER_AREAS!$B:$B,35)))),34,""),""),IF('TRANSPORT DASHBOARD'!$B$4="Zone",IF(34&lt;=$I$4,IF(OR('TRANSPORT DASHBOARD'!$C$4="",ISNUMBER(SEARCH('TRANSPORT DASHBOARD'!$C$4,INDEX(MASTER_ZONES!$B:$B,35)))),34,""),""),""))</f>
        <v/>
      </c>
      <c r="G35">
        <f>IFERROR(SMALL($F$2:$F$1365,34),"")</f>
        <v/>
      </c>
      <c r="H35">
        <f>IF(G35="","",IF('TRANSPORT DASHBOARD'!$B$4="Area",INDEX(MASTER_AREAS!$B:$B,G35+1),INDEX(MASTER_ZONES!$B:$B,G35+1)))</f>
        <v/>
      </c>
    </row>
    <row r="36">
      <c r="A36">
        <f>IF('WSF DASHBOARD'!$B$4="Area",IF(35&lt;=$D$3,IF(OR('WSF DASHBOARD'!$C$4="",ISNUMBER(SEARCH('WSF DASHBOARD'!$C$4,INDEX(MASTER_AREAS!$B:$B,36)))),35,""),""),IF('WSF DASHBOARD'!$B$4="Zone",IF(35&lt;=$D$4,IF(OR('WSF DASHBOARD'!$C$4="",ISNUMBER(SEARCH('WSF DASHBOARD'!$C$4,INDEX(MASTER_ZONES!$B:$B,36)))),35,""),""),""))</f>
        <v/>
      </c>
      <c r="B36">
        <f>IFERROR(SMALL($A$2:$A$1365,35),"")</f>
        <v/>
      </c>
      <c r="C36">
        <f>IF(B36="","",IF('WSF DASHBOARD'!$B$4="Area",INDEX(MASTER_AREAS!$B:$B,B36+1),INDEX(MASTER_ZONES!$B:$B,B36+1)))</f>
        <v/>
      </c>
      <c r="F36">
        <f>IF('TRANSPORT DASHBOARD'!$B$4="Area",IF(35&lt;=$I$3,IF(OR('TRANSPORT DASHBOARD'!$C$4="",ISNUMBER(SEARCH('TRANSPORT DASHBOARD'!$C$4,INDEX(MASTER_AREAS!$B:$B,36)))),35,""),""),IF('TRANSPORT DASHBOARD'!$B$4="Zone",IF(35&lt;=$I$4,IF(OR('TRANSPORT DASHBOARD'!$C$4="",ISNUMBER(SEARCH('TRANSPORT DASHBOARD'!$C$4,INDEX(MASTER_ZONES!$B:$B,36)))),35,""),""),""))</f>
        <v/>
      </c>
      <c r="G36">
        <f>IFERROR(SMALL($F$2:$F$1365,35),"")</f>
        <v/>
      </c>
      <c r="H36">
        <f>IF(G36="","",IF('TRANSPORT DASHBOARD'!$B$4="Area",INDEX(MASTER_AREAS!$B:$B,G36+1),INDEX(MASTER_ZONES!$B:$B,G36+1)))</f>
        <v/>
      </c>
    </row>
    <row r="37">
      <c r="A37">
        <f>IF('WSF DASHBOARD'!$B$4="Area",IF(36&lt;=$D$3,IF(OR('WSF DASHBOARD'!$C$4="",ISNUMBER(SEARCH('WSF DASHBOARD'!$C$4,INDEX(MASTER_AREAS!$B:$B,37)))),36,""),""),IF('WSF DASHBOARD'!$B$4="Zone",IF(36&lt;=$D$4,IF(OR('WSF DASHBOARD'!$C$4="",ISNUMBER(SEARCH('WSF DASHBOARD'!$C$4,INDEX(MASTER_ZONES!$B:$B,37)))),36,""),""),""))</f>
        <v/>
      </c>
      <c r="B37">
        <f>IFERROR(SMALL($A$2:$A$1365,36),"")</f>
        <v/>
      </c>
      <c r="C37">
        <f>IF(B37="","",IF('WSF DASHBOARD'!$B$4="Area",INDEX(MASTER_AREAS!$B:$B,B37+1),INDEX(MASTER_ZONES!$B:$B,B37+1)))</f>
        <v/>
      </c>
      <c r="F37">
        <f>IF('TRANSPORT DASHBOARD'!$B$4="Area",IF(36&lt;=$I$3,IF(OR('TRANSPORT DASHBOARD'!$C$4="",ISNUMBER(SEARCH('TRANSPORT DASHBOARD'!$C$4,INDEX(MASTER_AREAS!$B:$B,37)))),36,""),""),IF('TRANSPORT DASHBOARD'!$B$4="Zone",IF(36&lt;=$I$4,IF(OR('TRANSPORT DASHBOARD'!$C$4="",ISNUMBER(SEARCH('TRANSPORT DASHBOARD'!$C$4,INDEX(MASTER_ZONES!$B:$B,37)))),36,""),""),""))</f>
        <v/>
      </c>
      <c r="G37">
        <f>IFERROR(SMALL($F$2:$F$1365,36),"")</f>
        <v/>
      </c>
      <c r="H37">
        <f>IF(G37="","",IF('TRANSPORT DASHBOARD'!$B$4="Area",INDEX(MASTER_AREAS!$B:$B,G37+1),INDEX(MASTER_ZONES!$B:$B,G37+1)))</f>
        <v/>
      </c>
    </row>
    <row r="38">
      <c r="A38">
        <f>IF('WSF DASHBOARD'!$B$4="Area",IF(37&lt;=$D$3,IF(OR('WSF DASHBOARD'!$C$4="",ISNUMBER(SEARCH('WSF DASHBOARD'!$C$4,INDEX(MASTER_AREAS!$B:$B,38)))),37,""),""),IF('WSF DASHBOARD'!$B$4="Zone",IF(37&lt;=$D$4,IF(OR('WSF DASHBOARD'!$C$4="",ISNUMBER(SEARCH('WSF DASHBOARD'!$C$4,INDEX(MASTER_ZONES!$B:$B,38)))),37,""),""),""))</f>
        <v/>
      </c>
      <c r="B38">
        <f>IFERROR(SMALL($A$2:$A$1365,37),"")</f>
        <v/>
      </c>
      <c r="C38">
        <f>IF(B38="","",IF('WSF DASHBOARD'!$B$4="Area",INDEX(MASTER_AREAS!$B:$B,B38+1),INDEX(MASTER_ZONES!$B:$B,B38+1)))</f>
        <v/>
      </c>
      <c r="F38">
        <f>IF('TRANSPORT DASHBOARD'!$B$4="Area",IF(37&lt;=$I$3,IF(OR('TRANSPORT DASHBOARD'!$C$4="",ISNUMBER(SEARCH('TRANSPORT DASHBOARD'!$C$4,INDEX(MASTER_AREAS!$B:$B,38)))),37,""),""),IF('TRANSPORT DASHBOARD'!$B$4="Zone",IF(37&lt;=$I$4,IF(OR('TRANSPORT DASHBOARD'!$C$4="",ISNUMBER(SEARCH('TRANSPORT DASHBOARD'!$C$4,INDEX(MASTER_ZONES!$B:$B,38)))),37,""),""),""))</f>
        <v/>
      </c>
      <c r="G38">
        <f>IFERROR(SMALL($F$2:$F$1365,37),"")</f>
        <v/>
      </c>
      <c r="H38">
        <f>IF(G38="","",IF('TRANSPORT DASHBOARD'!$B$4="Area",INDEX(MASTER_AREAS!$B:$B,G38+1),INDEX(MASTER_ZONES!$B:$B,G38+1)))</f>
        <v/>
      </c>
    </row>
    <row r="39">
      <c r="A39">
        <f>IF('WSF DASHBOARD'!$B$4="Area",IF(38&lt;=$D$3,IF(OR('WSF DASHBOARD'!$C$4="",ISNUMBER(SEARCH('WSF DASHBOARD'!$C$4,INDEX(MASTER_AREAS!$B:$B,39)))),38,""),""),IF('WSF DASHBOARD'!$B$4="Zone",IF(38&lt;=$D$4,IF(OR('WSF DASHBOARD'!$C$4="",ISNUMBER(SEARCH('WSF DASHBOARD'!$C$4,INDEX(MASTER_ZONES!$B:$B,39)))),38,""),""),""))</f>
        <v/>
      </c>
      <c r="B39">
        <f>IFERROR(SMALL($A$2:$A$1365,38),"")</f>
        <v/>
      </c>
      <c r="C39">
        <f>IF(B39="","",IF('WSF DASHBOARD'!$B$4="Area",INDEX(MASTER_AREAS!$B:$B,B39+1),INDEX(MASTER_ZONES!$B:$B,B39+1)))</f>
        <v/>
      </c>
      <c r="F39">
        <f>IF('TRANSPORT DASHBOARD'!$B$4="Area",IF(38&lt;=$I$3,IF(OR('TRANSPORT DASHBOARD'!$C$4="",ISNUMBER(SEARCH('TRANSPORT DASHBOARD'!$C$4,INDEX(MASTER_AREAS!$B:$B,39)))),38,""),""),IF('TRANSPORT DASHBOARD'!$B$4="Zone",IF(38&lt;=$I$4,IF(OR('TRANSPORT DASHBOARD'!$C$4="",ISNUMBER(SEARCH('TRANSPORT DASHBOARD'!$C$4,INDEX(MASTER_ZONES!$B:$B,39)))),38,""),""),""))</f>
        <v/>
      </c>
      <c r="G39">
        <f>IFERROR(SMALL($F$2:$F$1365,38),"")</f>
        <v/>
      </c>
      <c r="H39">
        <f>IF(G39="","",IF('TRANSPORT DASHBOARD'!$B$4="Area",INDEX(MASTER_AREAS!$B:$B,G39+1),INDEX(MASTER_ZONES!$B:$B,G39+1)))</f>
        <v/>
      </c>
    </row>
    <row r="40">
      <c r="A40">
        <f>IF('WSF DASHBOARD'!$B$4="Area",IF(39&lt;=$D$3,IF(OR('WSF DASHBOARD'!$C$4="",ISNUMBER(SEARCH('WSF DASHBOARD'!$C$4,INDEX(MASTER_AREAS!$B:$B,40)))),39,""),""),IF('WSF DASHBOARD'!$B$4="Zone",IF(39&lt;=$D$4,IF(OR('WSF DASHBOARD'!$C$4="",ISNUMBER(SEARCH('WSF DASHBOARD'!$C$4,INDEX(MASTER_ZONES!$B:$B,40)))),39,""),""),""))</f>
        <v/>
      </c>
      <c r="B40">
        <f>IFERROR(SMALL($A$2:$A$1365,39),"")</f>
        <v/>
      </c>
      <c r="C40">
        <f>IF(B40="","",IF('WSF DASHBOARD'!$B$4="Area",INDEX(MASTER_AREAS!$B:$B,B40+1),INDEX(MASTER_ZONES!$B:$B,B40+1)))</f>
        <v/>
      </c>
      <c r="F40">
        <f>IF('TRANSPORT DASHBOARD'!$B$4="Area",IF(39&lt;=$I$3,IF(OR('TRANSPORT DASHBOARD'!$C$4="",ISNUMBER(SEARCH('TRANSPORT DASHBOARD'!$C$4,INDEX(MASTER_AREAS!$B:$B,40)))),39,""),""),IF('TRANSPORT DASHBOARD'!$B$4="Zone",IF(39&lt;=$I$4,IF(OR('TRANSPORT DASHBOARD'!$C$4="",ISNUMBER(SEARCH('TRANSPORT DASHBOARD'!$C$4,INDEX(MASTER_ZONES!$B:$B,40)))),39,""),""),""))</f>
        <v/>
      </c>
      <c r="G40">
        <f>IFERROR(SMALL($F$2:$F$1365,39),"")</f>
        <v/>
      </c>
      <c r="H40">
        <f>IF(G40="","",IF('TRANSPORT DASHBOARD'!$B$4="Area",INDEX(MASTER_AREAS!$B:$B,G40+1),INDEX(MASTER_ZONES!$B:$B,G40+1)))</f>
        <v/>
      </c>
    </row>
    <row r="41">
      <c r="A41">
        <f>IF('WSF DASHBOARD'!$B$4="Area",IF(40&lt;=$D$3,IF(OR('WSF DASHBOARD'!$C$4="",ISNUMBER(SEARCH('WSF DASHBOARD'!$C$4,INDEX(MASTER_AREAS!$B:$B,41)))),40,""),""),IF('WSF DASHBOARD'!$B$4="Zone",IF(40&lt;=$D$4,IF(OR('WSF DASHBOARD'!$C$4="",ISNUMBER(SEARCH('WSF DASHBOARD'!$C$4,INDEX(MASTER_ZONES!$B:$B,41)))),40,""),""),""))</f>
        <v/>
      </c>
      <c r="B41">
        <f>IFERROR(SMALL($A$2:$A$1365,40),"")</f>
        <v/>
      </c>
      <c r="C41">
        <f>IF(B41="","",IF('WSF DASHBOARD'!$B$4="Area",INDEX(MASTER_AREAS!$B:$B,B41+1),INDEX(MASTER_ZONES!$B:$B,B41+1)))</f>
        <v/>
      </c>
      <c r="F41">
        <f>IF('TRANSPORT DASHBOARD'!$B$4="Area",IF(40&lt;=$I$3,IF(OR('TRANSPORT DASHBOARD'!$C$4="",ISNUMBER(SEARCH('TRANSPORT DASHBOARD'!$C$4,INDEX(MASTER_AREAS!$B:$B,41)))),40,""),""),IF('TRANSPORT DASHBOARD'!$B$4="Zone",IF(40&lt;=$I$4,IF(OR('TRANSPORT DASHBOARD'!$C$4="",ISNUMBER(SEARCH('TRANSPORT DASHBOARD'!$C$4,INDEX(MASTER_ZONES!$B:$B,41)))),40,""),""),""))</f>
        <v/>
      </c>
      <c r="G41">
        <f>IFERROR(SMALL($F$2:$F$1365,40),"")</f>
        <v/>
      </c>
      <c r="H41">
        <f>IF(G41="","",IF('TRANSPORT DASHBOARD'!$B$4="Area",INDEX(MASTER_AREAS!$B:$B,G41+1),INDEX(MASTER_ZONES!$B:$B,G41+1)))</f>
        <v/>
      </c>
    </row>
    <row r="42">
      <c r="A42">
        <f>IF('WSF DASHBOARD'!$B$4="Area",IF(41&lt;=$D$3,IF(OR('WSF DASHBOARD'!$C$4="",ISNUMBER(SEARCH('WSF DASHBOARD'!$C$4,INDEX(MASTER_AREAS!$B:$B,42)))),41,""),""),IF('WSF DASHBOARD'!$B$4="Zone",IF(41&lt;=$D$4,IF(OR('WSF DASHBOARD'!$C$4="",ISNUMBER(SEARCH('WSF DASHBOARD'!$C$4,INDEX(MASTER_ZONES!$B:$B,42)))),41,""),""),""))</f>
        <v/>
      </c>
      <c r="B42">
        <f>IFERROR(SMALL($A$2:$A$1365,41),"")</f>
        <v/>
      </c>
      <c r="C42">
        <f>IF(B42="","",IF('WSF DASHBOARD'!$B$4="Area",INDEX(MASTER_AREAS!$B:$B,B42+1),INDEX(MASTER_ZONES!$B:$B,B42+1)))</f>
        <v/>
      </c>
      <c r="F42">
        <f>IF('TRANSPORT DASHBOARD'!$B$4="Area",IF(41&lt;=$I$3,IF(OR('TRANSPORT DASHBOARD'!$C$4="",ISNUMBER(SEARCH('TRANSPORT DASHBOARD'!$C$4,INDEX(MASTER_AREAS!$B:$B,42)))),41,""),""),IF('TRANSPORT DASHBOARD'!$B$4="Zone",IF(41&lt;=$I$4,IF(OR('TRANSPORT DASHBOARD'!$C$4="",ISNUMBER(SEARCH('TRANSPORT DASHBOARD'!$C$4,INDEX(MASTER_ZONES!$B:$B,42)))),41,""),""),""))</f>
        <v/>
      </c>
      <c r="G42">
        <f>IFERROR(SMALL($F$2:$F$1365,41),"")</f>
        <v/>
      </c>
      <c r="H42">
        <f>IF(G42="","",IF('TRANSPORT DASHBOARD'!$B$4="Area",INDEX(MASTER_AREAS!$B:$B,G42+1),INDEX(MASTER_ZONES!$B:$B,G42+1)))</f>
        <v/>
      </c>
    </row>
    <row r="43">
      <c r="A43">
        <f>IF('WSF DASHBOARD'!$B$4="Area",IF(42&lt;=$D$3,IF(OR('WSF DASHBOARD'!$C$4="",ISNUMBER(SEARCH('WSF DASHBOARD'!$C$4,INDEX(MASTER_AREAS!$B:$B,43)))),42,""),""),IF('WSF DASHBOARD'!$B$4="Zone",IF(42&lt;=$D$4,IF(OR('WSF DASHBOARD'!$C$4="",ISNUMBER(SEARCH('WSF DASHBOARD'!$C$4,INDEX(MASTER_ZONES!$B:$B,43)))),42,""),""),""))</f>
        <v/>
      </c>
      <c r="B43">
        <f>IFERROR(SMALL($A$2:$A$1365,42),"")</f>
        <v/>
      </c>
      <c r="C43">
        <f>IF(B43="","",IF('WSF DASHBOARD'!$B$4="Area",INDEX(MASTER_AREAS!$B:$B,B43+1),INDEX(MASTER_ZONES!$B:$B,B43+1)))</f>
        <v/>
      </c>
      <c r="F43">
        <f>IF('TRANSPORT DASHBOARD'!$B$4="Area",IF(42&lt;=$I$3,IF(OR('TRANSPORT DASHBOARD'!$C$4="",ISNUMBER(SEARCH('TRANSPORT DASHBOARD'!$C$4,INDEX(MASTER_AREAS!$B:$B,43)))),42,""),""),IF('TRANSPORT DASHBOARD'!$B$4="Zone",IF(42&lt;=$I$4,IF(OR('TRANSPORT DASHBOARD'!$C$4="",ISNUMBER(SEARCH('TRANSPORT DASHBOARD'!$C$4,INDEX(MASTER_ZONES!$B:$B,43)))),42,""),""),""))</f>
        <v/>
      </c>
      <c r="G43">
        <f>IFERROR(SMALL($F$2:$F$1365,42),"")</f>
        <v/>
      </c>
      <c r="H43">
        <f>IF(G43="","",IF('TRANSPORT DASHBOARD'!$B$4="Area",INDEX(MASTER_AREAS!$B:$B,G43+1),INDEX(MASTER_ZONES!$B:$B,G43+1)))</f>
        <v/>
      </c>
    </row>
    <row r="44">
      <c r="A44">
        <f>IF('WSF DASHBOARD'!$B$4="Area",IF(43&lt;=$D$3,IF(OR('WSF DASHBOARD'!$C$4="",ISNUMBER(SEARCH('WSF DASHBOARD'!$C$4,INDEX(MASTER_AREAS!$B:$B,44)))),43,""),""),IF('WSF DASHBOARD'!$B$4="Zone",IF(43&lt;=$D$4,IF(OR('WSF DASHBOARD'!$C$4="",ISNUMBER(SEARCH('WSF DASHBOARD'!$C$4,INDEX(MASTER_ZONES!$B:$B,44)))),43,""),""),""))</f>
        <v/>
      </c>
      <c r="B44">
        <f>IFERROR(SMALL($A$2:$A$1365,43),"")</f>
        <v/>
      </c>
      <c r="C44">
        <f>IF(B44="","",IF('WSF DASHBOARD'!$B$4="Area",INDEX(MASTER_AREAS!$B:$B,B44+1),INDEX(MASTER_ZONES!$B:$B,B44+1)))</f>
        <v/>
      </c>
      <c r="F44">
        <f>IF('TRANSPORT DASHBOARD'!$B$4="Area",IF(43&lt;=$I$3,IF(OR('TRANSPORT DASHBOARD'!$C$4="",ISNUMBER(SEARCH('TRANSPORT DASHBOARD'!$C$4,INDEX(MASTER_AREAS!$B:$B,44)))),43,""),""),IF('TRANSPORT DASHBOARD'!$B$4="Zone",IF(43&lt;=$I$4,IF(OR('TRANSPORT DASHBOARD'!$C$4="",ISNUMBER(SEARCH('TRANSPORT DASHBOARD'!$C$4,INDEX(MASTER_ZONES!$B:$B,44)))),43,""),""),""))</f>
        <v/>
      </c>
      <c r="G44">
        <f>IFERROR(SMALL($F$2:$F$1365,43),"")</f>
        <v/>
      </c>
      <c r="H44">
        <f>IF(G44="","",IF('TRANSPORT DASHBOARD'!$B$4="Area",INDEX(MASTER_AREAS!$B:$B,G44+1),INDEX(MASTER_ZONES!$B:$B,G44+1)))</f>
        <v/>
      </c>
    </row>
    <row r="45">
      <c r="A45">
        <f>IF('WSF DASHBOARD'!$B$4="Area",IF(44&lt;=$D$3,IF(OR('WSF DASHBOARD'!$C$4="",ISNUMBER(SEARCH('WSF DASHBOARD'!$C$4,INDEX(MASTER_AREAS!$B:$B,45)))),44,""),""),IF('WSF DASHBOARD'!$B$4="Zone",IF(44&lt;=$D$4,IF(OR('WSF DASHBOARD'!$C$4="",ISNUMBER(SEARCH('WSF DASHBOARD'!$C$4,INDEX(MASTER_ZONES!$B:$B,45)))),44,""),""),""))</f>
        <v/>
      </c>
      <c r="B45">
        <f>IFERROR(SMALL($A$2:$A$1365,44),"")</f>
        <v/>
      </c>
      <c r="C45">
        <f>IF(B45="","",IF('WSF DASHBOARD'!$B$4="Area",INDEX(MASTER_AREAS!$B:$B,B45+1),INDEX(MASTER_ZONES!$B:$B,B45+1)))</f>
        <v/>
      </c>
      <c r="F45">
        <f>IF('TRANSPORT DASHBOARD'!$B$4="Area",IF(44&lt;=$I$3,IF(OR('TRANSPORT DASHBOARD'!$C$4="",ISNUMBER(SEARCH('TRANSPORT DASHBOARD'!$C$4,INDEX(MASTER_AREAS!$B:$B,45)))),44,""),""),IF('TRANSPORT DASHBOARD'!$B$4="Zone",IF(44&lt;=$I$4,IF(OR('TRANSPORT DASHBOARD'!$C$4="",ISNUMBER(SEARCH('TRANSPORT DASHBOARD'!$C$4,INDEX(MASTER_ZONES!$B:$B,45)))),44,""),""),""))</f>
        <v/>
      </c>
      <c r="G45">
        <f>IFERROR(SMALL($F$2:$F$1365,44),"")</f>
        <v/>
      </c>
      <c r="H45">
        <f>IF(G45="","",IF('TRANSPORT DASHBOARD'!$B$4="Area",INDEX(MASTER_AREAS!$B:$B,G45+1),INDEX(MASTER_ZONES!$B:$B,G45+1)))</f>
        <v/>
      </c>
    </row>
    <row r="46">
      <c r="A46">
        <f>IF('WSF DASHBOARD'!$B$4="Area",IF(45&lt;=$D$3,IF(OR('WSF DASHBOARD'!$C$4="",ISNUMBER(SEARCH('WSF DASHBOARD'!$C$4,INDEX(MASTER_AREAS!$B:$B,46)))),45,""),""),IF('WSF DASHBOARD'!$B$4="Zone",IF(45&lt;=$D$4,IF(OR('WSF DASHBOARD'!$C$4="",ISNUMBER(SEARCH('WSF DASHBOARD'!$C$4,INDEX(MASTER_ZONES!$B:$B,46)))),45,""),""),""))</f>
        <v/>
      </c>
      <c r="B46">
        <f>IFERROR(SMALL($A$2:$A$1365,45),"")</f>
        <v/>
      </c>
      <c r="C46">
        <f>IF(B46="","",IF('WSF DASHBOARD'!$B$4="Area",INDEX(MASTER_AREAS!$B:$B,B46+1),INDEX(MASTER_ZONES!$B:$B,B46+1)))</f>
        <v/>
      </c>
      <c r="F46">
        <f>IF('TRANSPORT DASHBOARD'!$B$4="Area",IF(45&lt;=$I$3,IF(OR('TRANSPORT DASHBOARD'!$C$4="",ISNUMBER(SEARCH('TRANSPORT DASHBOARD'!$C$4,INDEX(MASTER_AREAS!$B:$B,46)))),45,""),""),IF('TRANSPORT DASHBOARD'!$B$4="Zone",IF(45&lt;=$I$4,IF(OR('TRANSPORT DASHBOARD'!$C$4="",ISNUMBER(SEARCH('TRANSPORT DASHBOARD'!$C$4,INDEX(MASTER_ZONES!$B:$B,46)))),45,""),""),""))</f>
        <v/>
      </c>
      <c r="G46">
        <f>IFERROR(SMALL($F$2:$F$1365,45),"")</f>
        <v/>
      </c>
      <c r="H46">
        <f>IF(G46="","",IF('TRANSPORT DASHBOARD'!$B$4="Area",INDEX(MASTER_AREAS!$B:$B,G46+1),INDEX(MASTER_ZONES!$B:$B,G46+1)))</f>
        <v/>
      </c>
    </row>
    <row r="47">
      <c r="A47">
        <f>IF('WSF DASHBOARD'!$B$4="Area",IF(46&lt;=$D$3,IF(OR('WSF DASHBOARD'!$C$4="",ISNUMBER(SEARCH('WSF DASHBOARD'!$C$4,INDEX(MASTER_AREAS!$B:$B,47)))),46,""),""),IF('WSF DASHBOARD'!$B$4="Zone",IF(46&lt;=$D$4,IF(OR('WSF DASHBOARD'!$C$4="",ISNUMBER(SEARCH('WSF DASHBOARD'!$C$4,INDEX(MASTER_ZONES!$B:$B,47)))),46,""),""),""))</f>
        <v/>
      </c>
      <c r="B47">
        <f>IFERROR(SMALL($A$2:$A$1365,46),"")</f>
        <v/>
      </c>
      <c r="C47">
        <f>IF(B47="","",IF('WSF DASHBOARD'!$B$4="Area",INDEX(MASTER_AREAS!$B:$B,B47+1),INDEX(MASTER_ZONES!$B:$B,B47+1)))</f>
        <v/>
      </c>
      <c r="F47">
        <f>IF('TRANSPORT DASHBOARD'!$B$4="Area",IF(46&lt;=$I$3,IF(OR('TRANSPORT DASHBOARD'!$C$4="",ISNUMBER(SEARCH('TRANSPORT DASHBOARD'!$C$4,INDEX(MASTER_AREAS!$B:$B,47)))),46,""),""),IF('TRANSPORT DASHBOARD'!$B$4="Zone",IF(46&lt;=$I$4,IF(OR('TRANSPORT DASHBOARD'!$C$4="",ISNUMBER(SEARCH('TRANSPORT DASHBOARD'!$C$4,INDEX(MASTER_ZONES!$B:$B,47)))),46,""),""),""))</f>
        <v/>
      </c>
      <c r="G47">
        <f>IFERROR(SMALL($F$2:$F$1365,46),"")</f>
        <v/>
      </c>
      <c r="H47">
        <f>IF(G47="","",IF('TRANSPORT DASHBOARD'!$B$4="Area",INDEX(MASTER_AREAS!$B:$B,G47+1),INDEX(MASTER_ZONES!$B:$B,G47+1)))</f>
        <v/>
      </c>
    </row>
    <row r="48">
      <c r="A48">
        <f>IF('WSF DASHBOARD'!$B$4="Area",IF(47&lt;=$D$3,IF(OR('WSF DASHBOARD'!$C$4="",ISNUMBER(SEARCH('WSF DASHBOARD'!$C$4,INDEX(MASTER_AREAS!$B:$B,48)))),47,""),""),IF('WSF DASHBOARD'!$B$4="Zone",IF(47&lt;=$D$4,IF(OR('WSF DASHBOARD'!$C$4="",ISNUMBER(SEARCH('WSF DASHBOARD'!$C$4,INDEX(MASTER_ZONES!$B:$B,48)))),47,""),""),""))</f>
        <v/>
      </c>
      <c r="B48">
        <f>IFERROR(SMALL($A$2:$A$1365,47),"")</f>
        <v/>
      </c>
      <c r="C48">
        <f>IF(B48="","",IF('WSF DASHBOARD'!$B$4="Area",INDEX(MASTER_AREAS!$B:$B,B48+1),INDEX(MASTER_ZONES!$B:$B,B48+1)))</f>
        <v/>
      </c>
      <c r="F48">
        <f>IF('TRANSPORT DASHBOARD'!$B$4="Area",IF(47&lt;=$I$3,IF(OR('TRANSPORT DASHBOARD'!$C$4="",ISNUMBER(SEARCH('TRANSPORT DASHBOARD'!$C$4,INDEX(MASTER_AREAS!$B:$B,48)))),47,""),""),IF('TRANSPORT DASHBOARD'!$B$4="Zone",IF(47&lt;=$I$4,IF(OR('TRANSPORT DASHBOARD'!$C$4="",ISNUMBER(SEARCH('TRANSPORT DASHBOARD'!$C$4,INDEX(MASTER_ZONES!$B:$B,48)))),47,""),""),""))</f>
        <v/>
      </c>
      <c r="G48">
        <f>IFERROR(SMALL($F$2:$F$1365,47),"")</f>
        <v/>
      </c>
      <c r="H48">
        <f>IF(G48="","",IF('TRANSPORT DASHBOARD'!$B$4="Area",INDEX(MASTER_AREAS!$B:$B,G48+1),INDEX(MASTER_ZONES!$B:$B,G48+1)))</f>
        <v/>
      </c>
    </row>
    <row r="49">
      <c r="A49">
        <f>IF('WSF DASHBOARD'!$B$4="Area",IF(48&lt;=$D$3,IF(OR('WSF DASHBOARD'!$C$4="",ISNUMBER(SEARCH('WSF DASHBOARD'!$C$4,INDEX(MASTER_AREAS!$B:$B,49)))),48,""),""),IF('WSF DASHBOARD'!$B$4="Zone",IF(48&lt;=$D$4,IF(OR('WSF DASHBOARD'!$C$4="",ISNUMBER(SEARCH('WSF DASHBOARD'!$C$4,INDEX(MASTER_ZONES!$B:$B,49)))),48,""),""),""))</f>
        <v/>
      </c>
      <c r="B49">
        <f>IFERROR(SMALL($A$2:$A$1365,48),"")</f>
        <v/>
      </c>
      <c r="C49">
        <f>IF(B49="","",IF('WSF DASHBOARD'!$B$4="Area",INDEX(MASTER_AREAS!$B:$B,B49+1),INDEX(MASTER_ZONES!$B:$B,B49+1)))</f>
        <v/>
      </c>
      <c r="F49">
        <f>IF('TRANSPORT DASHBOARD'!$B$4="Area",IF(48&lt;=$I$3,IF(OR('TRANSPORT DASHBOARD'!$C$4="",ISNUMBER(SEARCH('TRANSPORT DASHBOARD'!$C$4,INDEX(MASTER_AREAS!$B:$B,49)))),48,""),""),IF('TRANSPORT DASHBOARD'!$B$4="Zone",IF(48&lt;=$I$4,IF(OR('TRANSPORT DASHBOARD'!$C$4="",ISNUMBER(SEARCH('TRANSPORT DASHBOARD'!$C$4,INDEX(MASTER_ZONES!$B:$B,49)))),48,""),""),""))</f>
        <v/>
      </c>
      <c r="G49">
        <f>IFERROR(SMALL($F$2:$F$1365,48),"")</f>
        <v/>
      </c>
      <c r="H49">
        <f>IF(G49="","",IF('TRANSPORT DASHBOARD'!$B$4="Area",INDEX(MASTER_AREAS!$B:$B,G49+1),INDEX(MASTER_ZONES!$B:$B,G49+1)))</f>
        <v/>
      </c>
    </row>
    <row r="50">
      <c r="A50">
        <f>IF('WSF DASHBOARD'!$B$4="Area",IF(49&lt;=$D$3,IF(OR('WSF DASHBOARD'!$C$4="",ISNUMBER(SEARCH('WSF DASHBOARD'!$C$4,INDEX(MASTER_AREAS!$B:$B,50)))),49,""),""),IF('WSF DASHBOARD'!$B$4="Zone",IF(49&lt;=$D$4,IF(OR('WSF DASHBOARD'!$C$4="",ISNUMBER(SEARCH('WSF DASHBOARD'!$C$4,INDEX(MASTER_ZONES!$B:$B,50)))),49,""),""),""))</f>
        <v/>
      </c>
      <c r="B50">
        <f>IFERROR(SMALL($A$2:$A$1365,49),"")</f>
        <v/>
      </c>
      <c r="C50">
        <f>IF(B50="","",IF('WSF DASHBOARD'!$B$4="Area",INDEX(MASTER_AREAS!$B:$B,B50+1),INDEX(MASTER_ZONES!$B:$B,B50+1)))</f>
        <v/>
      </c>
      <c r="F50">
        <f>IF('TRANSPORT DASHBOARD'!$B$4="Area",IF(49&lt;=$I$3,IF(OR('TRANSPORT DASHBOARD'!$C$4="",ISNUMBER(SEARCH('TRANSPORT DASHBOARD'!$C$4,INDEX(MASTER_AREAS!$B:$B,50)))),49,""),""),IF('TRANSPORT DASHBOARD'!$B$4="Zone",IF(49&lt;=$I$4,IF(OR('TRANSPORT DASHBOARD'!$C$4="",ISNUMBER(SEARCH('TRANSPORT DASHBOARD'!$C$4,INDEX(MASTER_ZONES!$B:$B,50)))),49,""),""),""))</f>
        <v/>
      </c>
      <c r="G50">
        <f>IFERROR(SMALL($F$2:$F$1365,49),"")</f>
        <v/>
      </c>
      <c r="H50">
        <f>IF(G50="","",IF('TRANSPORT DASHBOARD'!$B$4="Area",INDEX(MASTER_AREAS!$B:$B,G50+1),INDEX(MASTER_ZONES!$B:$B,G50+1)))</f>
        <v/>
      </c>
    </row>
    <row r="51">
      <c r="A51">
        <f>IF('WSF DASHBOARD'!$B$4="Area",IF(50&lt;=$D$3,IF(OR('WSF DASHBOARD'!$C$4="",ISNUMBER(SEARCH('WSF DASHBOARD'!$C$4,INDEX(MASTER_AREAS!$B:$B,51)))),50,""),""),IF('WSF DASHBOARD'!$B$4="Zone",IF(50&lt;=$D$4,IF(OR('WSF DASHBOARD'!$C$4="",ISNUMBER(SEARCH('WSF DASHBOARD'!$C$4,INDEX(MASTER_ZONES!$B:$B,51)))),50,""),""),""))</f>
        <v/>
      </c>
      <c r="B51">
        <f>IFERROR(SMALL($A$2:$A$1365,50),"")</f>
        <v/>
      </c>
      <c r="C51">
        <f>IF(B51="","",IF('WSF DASHBOARD'!$B$4="Area",INDEX(MASTER_AREAS!$B:$B,B51+1),INDEX(MASTER_ZONES!$B:$B,B51+1)))</f>
        <v/>
      </c>
      <c r="F51">
        <f>IF('TRANSPORT DASHBOARD'!$B$4="Area",IF(50&lt;=$I$3,IF(OR('TRANSPORT DASHBOARD'!$C$4="",ISNUMBER(SEARCH('TRANSPORT DASHBOARD'!$C$4,INDEX(MASTER_AREAS!$B:$B,51)))),50,""),""),IF('TRANSPORT DASHBOARD'!$B$4="Zone",IF(50&lt;=$I$4,IF(OR('TRANSPORT DASHBOARD'!$C$4="",ISNUMBER(SEARCH('TRANSPORT DASHBOARD'!$C$4,INDEX(MASTER_ZONES!$B:$B,51)))),50,""),""),""))</f>
        <v/>
      </c>
      <c r="G51">
        <f>IFERROR(SMALL($F$2:$F$1365,50),"")</f>
        <v/>
      </c>
      <c r="H51">
        <f>IF(G51="","",IF('TRANSPORT DASHBOARD'!$B$4="Area",INDEX(MASTER_AREAS!$B:$B,G51+1),INDEX(MASTER_ZONES!$B:$B,G51+1)))</f>
        <v/>
      </c>
    </row>
    <row r="52">
      <c r="A52">
        <f>IF('WSF DASHBOARD'!$B$4="Area",IF(51&lt;=$D$3,IF(OR('WSF DASHBOARD'!$C$4="",ISNUMBER(SEARCH('WSF DASHBOARD'!$C$4,INDEX(MASTER_AREAS!$B:$B,52)))),51,""),""),IF('WSF DASHBOARD'!$B$4="Zone",IF(51&lt;=$D$4,IF(OR('WSF DASHBOARD'!$C$4="",ISNUMBER(SEARCH('WSF DASHBOARD'!$C$4,INDEX(MASTER_ZONES!$B:$B,52)))),51,""),""),""))</f>
        <v/>
      </c>
      <c r="B52">
        <f>IFERROR(SMALL($A$2:$A$1365,51),"")</f>
        <v/>
      </c>
      <c r="C52">
        <f>IF(B52="","",IF('WSF DASHBOARD'!$B$4="Area",INDEX(MASTER_AREAS!$B:$B,B52+1),INDEX(MASTER_ZONES!$B:$B,B52+1)))</f>
        <v/>
      </c>
      <c r="F52">
        <f>IF('TRANSPORT DASHBOARD'!$B$4="Area",IF(51&lt;=$I$3,IF(OR('TRANSPORT DASHBOARD'!$C$4="",ISNUMBER(SEARCH('TRANSPORT DASHBOARD'!$C$4,INDEX(MASTER_AREAS!$B:$B,52)))),51,""),""),IF('TRANSPORT DASHBOARD'!$B$4="Zone",IF(51&lt;=$I$4,IF(OR('TRANSPORT DASHBOARD'!$C$4="",ISNUMBER(SEARCH('TRANSPORT DASHBOARD'!$C$4,INDEX(MASTER_ZONES!$B:$B,52)))),51,""),""),""))</f>
        <v/>
      </c>
      <c r="G52">
        <f>IFERROR(SMALL($F$2:$F$1365,51),"")</f>
        <v/>
      </c>
      <c r="H52">
        <f>IF(G52="","",IF('TRANSPORT DASHBOARD'!$B$4="Area",INDEX(MASTER_AREAS!$B:$B,G52+1),INDEX(MASTER_ZONES!$B:$B,G52+1)))</f>
        <v/>
      </c>
    </row>
    <row r="53">
      <c r="A53">
        <f>IF('WSF DASHBOARD'!$B$4="Area",IF(52&lt;=$D$3,IF(OR('WSF DASHBOARD'!$C$4="",ISNUMBER(SEARCH('WSF DASHBOARD'!$C$4,INDEX(MASTER_AREAS!$B:$B,53)))),52,""),""),IF('WSF DASHBOARD'!$B$4="Zone",IF(52&lt;=$D$4,IF(OR('WSF DASHBOARD'!$C$4="",ISNUMBER(SEARCH('WSF DASHBOARD'!$C$4,INDEX(MASTER_ZONES!$B:$B,53)))),52,""),""),""))</f>
        <v/>
      </c>
      <c r="B53">
        <f>IFERROR(SMALL($A$2:$A$1365,52),"")</f>
        <v/>
      </c>
      <c r="C53">
        <f>IF(B53="","",IF('WSF DASHBOARD'!$B$4="Area",INDEX(MASTER_AREAS!$B:$B,B53+1),INDEX(MASTER_ZONES!$B:$B,B53+1)))</f>
        <v/>
      </c>
      <c r="F53">
        <f>IF('TRANSPORT DASHBOARD'!$B$4="Area",IF(52&lt;=$I$3,IF(OR('TRANSPORT DASHBOARD'!$C$4="",ISNUMBER(SEARCH('TRANSPORT DASHBOARD'!$C$4,INDEX(MASTER_AREAS!$B:$B,53)))),52,""),""),IF('TRANSPORT DASHBOARD'!$B$4="Zone",IF(52&lt;=$I$4,IF(OR('TRANSPORT DASHBOARD'!$C$4="",ISNUMBER(SEARCH('TRANSPORT DASHBOARD'!$C$4,INDEX(MASTER_ZONES!$B:$B,53)))),52,""),""),""))</f>
        <v/>
      </c>
      <c r="G53">
        <f>IFERROR(SMALL($F$2:$F$1365,52),"")</f>
        <v/>
      </c>
      <c r="H53">
        <f>IF(G53="","",IF('TRANSPORT DASHBOARD'!$B$4="Area",INDEX(MASTER_AREAS!$B:$B,G53+1),INDEX(MASTER_ZONES!$B:$B,G53+1)))</f>
        <v/>
      </c>
    </row>
    <row r="54">
      <c r="A54">
        <f>IF('WSF DASHBOARD'!$B$4="Area",IF(53&lt;=$D$3,IF(OR('WSF DASHBOARD'!$C$4="",ISNUMBER(SEARCH('WSF DASHBOARD'!$C$4,INDEX(MASTER_AREAS!$B:$B,54)))),53,""),""),IF('WSF DASHBOARD'!$B$4="Zone",IF(53&lt;=$D$4,IF(OR('WSF DASHBOARD'!$C$4="",ISNUMBER(SEARCH('WSF DASHBOARD'!$C$4,INDEX(MASTER_ZONES!$B:$B,54)))),53,""),""),""))</f>
        <v/>
      </c>
      <c r="B54">
        <f>IFERROR(SMALL($A$2:$A$1365,53),"")</f>
        <v/>
      </c>
      <c r="C54">
        <f>IF(B54="","",IF('WSF DASHBOARD'!$B$4="Area",INDEX(MASTER_AREAS!$B:$B,B54+1),INDEX(MASTER_ZONES!$B:$B,B54+1)))</f>
        <v/>
      </c>
      <c r="F54">
        <f>IF('TRANSPORT DASHBOARD'!$B$4="Area",IF(53&lt;=$I$3,IF(OR('TRANSPORT DASHBOARD'!$C$4="",ISNUMBER(SEARCH('TRANSPORT DASHBOARD'!$C$4,INDEX(MASTER_AREAS!$B:$B,54)))),53,""),""),IF('TRANSPORT DASHBOARD'!$B$4="Zone",IF(53&lt;=$I$4,IF(OR('TRANSPORT DASHBOARD'!$C$4="",ISNUMBER(SEARCH('TRANSPORT DASHBOARD'!$C$4,INDEX(MASTER_ZONES!$B:$B,54)))),53,""),""),""))</f>
        <v/>
      </c>
      <c r="G54">
        <f>IFERROR(SMALL($F$2:$F$1365,53),"")</f>
        <v/>
      </c>
      <c r="H54">
        <f>IF(G54="","",IF('TRANSPORT DASHBOARD'!$B$4="Area",INDEX(MASTER_AREAS!$B:$B,G54+1),INDEX(MASTER_ZONES!$B:$B,G54+1)))</f>
        <v/>
      </c>
    </row>
    <row r="55">
      <c r="A55">
        <f>IF('WSF DASHBOARD'!$B$4="Area",IF(54&lt;=$D$3,IF(OR('WSF DASHBOARD'!$C$4="",ISNUMBER(SEARCH('WSF DASHBOARD'!$C$4,INDEX(MASTER_AREAS!$B:$B,55)))),54,""),""),IF('WSF DASHBOARD'!$B$4="Zone",IF(54&lt;=$D$4,IF(OR('WSF DASHBOARD'!$C$4="",ISNUMBER(SEARCH('WSF DASHBOARD'!$C$4,INDEX(MASTER_ZONES!$B:$B,55)))),54,""),""),""))</f>
        <v/>
      </c>
      <c r="B55">
        <f>IFERROR(SMALL($A$2:$A$1365,54),"")</f>
        <v/>
      </c>
      <c r="C55">
        <f>IF(B55="","",IF('WSF DASHBOARD'!$B$4="Area",INDEX(MASTER_AREAS!$B:$B,B55+1),INDEX(MASTER_ZONES!$B:$B,B55+1)))</f>
        <v/>
      </c>
      <c r="F55">
        <f>IF('TRANSPORT DASHBOARD'!$B$4="Area",IF(54&lt;=$I$3,IF(OR('TRANSPORT DASHBOARD'!$C$4="",ISNUMBER(SEARCH('TRANSPORT DASHBOARD'!$C$4,INDEX(MASTER_AREAS!$B:$B,55)))),54,""),""),IF('TRANSPORT DASHBOARD'!$B$4="Zone",IF(54&lt;=$I$4,IF(OR('TRANSPORT DASHBOARD'!$C$4="",ISNUMBER(SEARCH('TRANSPORT DASHBOARD'!$C$4,INDEX(MASTER_ZONES!$B:$B,55)))),54,""),""),""))</f>
        <v/>
      </c>
      <c r="G55">
        <f>IFERROR(SMALL($F$2:$F$1365,54),"")</f>
        <v/>
      </c>
      <c r="H55">
        <f>IF(G55="","",IF('TRANSPORT DASHBOARD'!$B$4="Area",INDEX(MASTER_AREAS!$B:$B,G55+1),INDEX(MASTER_ZONES!$B:$B,G55+1)))</f>
        <v/>
      </c>
    </row>
    <row r="56">
      <c r="A56">
        <f>IF('WSF DASHBOARD'!$B$4="Area",IF(55&lt;=$D$3,IF(OR('WSF DASHBOARD'!$C$4="",ISNUMBER(SEARCH('WSF DASHBOARD'!$C$4,INDEX(MASTER_AREAS!$B:$B,56)))),55,""),""),IF('WSF DASHBOARD'!$B$4="Zone",IF(55&lt;=$D$4,IF(OR('WSF DASHBOARD'!$C$4="",ISNUMBER(SEARCH('WSF DASHBOARD'!$C$4,INDEX(MASTER_ZONES!$B:$B,56)))),55,""),""),""))</f>
        <v/>
      </c>
      <c r="B56">
        <f>IFERROR(SMALL($A$2:$A$1365,55),"")</f>
        <v/>
      </c>
      <c r="C56">
        <f>IF(B56="","",IF('WSF DASHBOARD'!$B$4="Area",INDEX(MASTER_AREAS!$B:$B,B56+1),INDEX(MASTER_ZONES!$B:$B,B56+1)))</f>
        <v/>
      </c>
      <c r="F56">
        <f>IF('TRANSPORT DASHBOARD'!$B$4="Area",IF(55&lt;=$I$3,IF(OR('TRANSPORT DASHBOARD'!$C$4="",ISNUMBER(SEARCH('TRANSPORT DASHBOARD'!$C$4,INDEX(MASTER_AREAS!$B:$B,56)))),55,""),""),IF('TRANSPORT DASHBOARD'!$B$4="Zone",IF(55&lt;=$I$4,IF(OR('TRANSPORT DASHBOARD'!$C$4="",ISNUMBER(SEARCH('TRANSPORT DASHBOARD'!$C$4,INDEX(MASTER_ZONES!$B:$B,56)))),55,""),""),""))</f>
        <v/>
      </c>
      <c r="G56">
        <f>IFERROR(SMALL($F$2:$F$1365,55),"")</f>
        <v/>
      </c>
      <c r="H56">
        <f>IF(G56="","",IF('TRANSPORT DASHBOARD'!$B$4="Area",INDEX(MASTER_AREAS!$B:$B,G56+1),INDEX(MASTER_ZONES!$B:$B,G56+1)))</f>
        <v/>
      </c>
    </row>
    <row r="57">
      <c r="A57">
        <f>IF('WSF DASHBOARD'!$B$4="Area",IF(56&lt;=$D$3,IF(OR('WSF DASHBOARD'!$C$4="",ISNUMBER(SEARCH('WSF DASHBOARD'!$C$4,INDEX(MASTER_AREAS!$B:$B,57)))),56,""),""),IF('WSF DASHBOARD'!$B$4="Zone",IF(56&lt;=$D$4,IF(OR('WSF DASHBOARD'!$C$4="",ISNUMBER(SEARCH('WSF DASHBOARD'!$C$4,INDEX(MASTER_ZONES!$B:$B,57)))),56,""),""),""))</f>
        <v/>
      </c>
      <c r="B57">
        <f>IFERROR(SMALL($A$2:$A$1365,56),"")</f>
        <v/>
      </c>
      <c r="C57">
        <f>IF(B57="","",IF('WSF DASHBOARD'!$B$4="Area",INDEX(MASTER_AREAS!$B:$B,B57+1),INDEX(MASTER_ZONES!$B:$B,B57+1)))</f>
        <v/>
      </c>
      <c r="F57">
        <f>IF('TRANSPORT DASHBOARD'!$B$4="Area",IF(56&lt;=$I$3,IF(OR('TRANSPORT DASHBOARD'!$C$4="",ISNUMBER(SEARCH('TRANSPORT DASHBOARD'!$C$4,INDEX(MASTER_AREAS!$B:$B,57)))),56,""),""),IF('TRANSPORT DASHBOARD'!$B$4="Zone",IF(56&lt;=$I$4,IF(OR('TRANSPORT DASHBOARD'!$C$4="",ISNUMBER(SEARCH('TRANSPORT DASHBOARD'!$C$4,INDEX(MASTER_ZONES!$B:$B,57)))),56,""),""),""))</f>
        <v/>
      </c>
      <c r="G57">
        <f>IFERROR(SMALL($F$2:$F$1365,56),"")</f>
        <v/>
      </c>
      <c r="H57">
        <f>IF(G57="","",IF('TRANSPORT DASHBOARD'!$B$4="Area",INDEX(MASTER_AREAS!$B:$B,G57+1),INDEX(MASTER_ZONES!$B:$B,G57+1)))</f>
        <v/>
      </c>
    </row>
    <row r="58">
      <c r="A58">
        <f>IF('WSF DASHBOARD'!$B$4="Area",IF(57&lt;=$D$3,IF(OR('WSF DASHBOARD'!$C$4="",ISNUMBER(SEARCH('WSF DASHBOARD'!$C$4,INDEX(MASTER_AREAS!$B:$B,58)))),57,""),""),IF('WSF DASHBOARD'!$B$4="Zone",IF(57&lt;=$D$4,IF(OR('WSF DASHBOARD'!$C$4="",ISNUMBER(SEARCH('WSF DASHBOARD'!$C$4,INDEX(MASTER_ZONES!$B:$B,58)))),57,""),""),""))</f>
        <v/>
      </c>
      <c r="B58">
        <f>IFERROR(SMALL($A$2:$A$1365,57),"")</f>
        <v/>
      </c>
      <c r="C58">
        <f>IF(B58="","",IF('WSF DASHBOARD'!$B$4="Area",INDEX(MASTER_AREAS!$B:$B,B58+1),INDEX(MASTER_ZONES!$B:$B,B58+1)))</f>
        <v/>
      </c>
      <c r="F58">
        <f>IF('TRANSPORT DASHBOARD'!$B$4="Area",IF(57&lt;=$I$3,IF(OR('TRANSPORT DASHBOARD'!$C$4="",ISNUMBER(SEARCH('TRANSPORT DASHBOARD'!$C$4,INDEX(MASTER_AREAS!$B:$B,58)))),57,""),""),IF('TRANSPORT DASHBOARD'!$B$4="Zone",IF(57&lt;=$I$4,IF(OR('TRANSPORT DASHBOARD'!$C$4="",ISNUMBER(SEARCH('TRANSPORT DASHBOARD'!$C$4,INDEX(MASTER_ZONES!$B:$B,58)))),57,""),""),""))</f>
        <v/>
      </c>
      <c r="G58">
        <f>IFERROR(SMALL($F$2:$F$1365,57),"")</f>
        <v/>
      </c>
      <c r="H58">
        <f>IF(G58="","",IF('TRANSPORT DASHBOARD'!$B$4="Area",INDEX(MASTER_AREAS!$B:$B,G58+1),INDEX(MASTER_ZONES!$B:$B,G58+1)))</f>
        <v/>
      </c>
    </row>
    <row r="59">
      <c r="A59">
        <f>IF('WSF DASHBOARD'!$B$4="Area",IF(58&lt;=$D$3,IF(OR('WSF DASHBOARD'!$C$4="",ISNUMBER(SEARCH('WSF DASHBOARD'!$C$4,INDEX(MASTER_AREAS!$B:$B,59)))),58,""),""),IF('WSF DASHBOARD'!$B$4="Zone",IF(58&lt;=$D$4,IF(OR('WSF DASHBOARD'!$C$4="",ISNUMBER(SEARCH('WSF DASHBOARD'!$C$4,INDEX(MASTER_ZONES!$B:$B,59)))),58,""),""),""))</f>
        <v/>
      </c>
      <c r="B59">
        <f>IFERROR(SMALL($A$2:$A$1365,58),"")</f>
        <v/>
      </c>
      <c r="C59">
        <f>IF(B59="","",IF('WSF DASHBOARD'!$B$4="Area",INDEX(MASTER_AREAS!$B:$B,B59+1),INDEX(MASTER_ZONES!$B:$B,B59+1)))</f>
        <v/>
      </c>
      <c r="F59">
        <f>IF('TRANSPORT DASHBOARD'!$B$4="Area",IF(58&lt;=$I$3,IF(OR('TRANSPORT DASHBOARD'!$C$4="",ISNUMBER(SEARCH('TRANSPORT DASHBOARD'!$C$4,INDEX(MASTER_AREAS!$B:$B,59)))),58,""),""),IF('TRANSPORT DASHBOARD'!$B$4="Zone",IF(58&lt;=$I$4,IF(OR('TRANSPORT DASHBOARD'!$C$4="",ISNUMBER(SEARCH('TRANSPORT DASHBOARD'!$C$4,INDEX(MASTER_ZONES!$B:$B,59)))),58,""),""),""))</f>
        <v/>
      </c>
      <c r="G59">
        <f>IFERROR(SMALL($F$2:$F$1365,58),"")</f>
        <v/>
      </c>
      <c r="H59">
        <f>IF(G59="","",IF('TRANSPORT DASHBOARD'!$B$4="Area",INDEX(MASTER_AREAS!$B:$B,G59+1),INDEX(MASTER_ZONES!$B:$B,G59+1)))</f>
        <v/>
      </c>
    </row>
    <row r="60">
      <c r="A60">
        <f>IF('WSF DASHBOARD'!$B$4="Area",IF(59&lt;=$D$3,IF(OR('WSF DASHBOARD'!$C$4="",ISNUMBER(SEARCH('WSF DASHBOARD'!$C$4,INDEX(MASTER_AREAS!$B:$B,60)))),59,""),""),IF('WSF DASHBOARD'!$B$4="Zone",IF(59&lt;=$D$4,IF(OR('WSF DASHBOARD'!$C$4="",ISNUMBER(SEARCH('WSF DASHBOARD'!$C$4,INDEX(MASTER_ZONES!$B:$B,60)))),59,""),""),""))</f>
        <v/>
      </c>
      <c r="B60">
        <f>IFERROR(SMALL($A$2:$A$1365,59),"")</f>
        <v/>
      </c>
      <c r="C60">
        <f>IF(B60="","",IF('WSF DASHBOARD'!$B$4="Area",INDEX(MASTER_AREAS!$B:$B,B60+1),INDEX(MASTER_ZONES!$B:$B,B60+1)))</f>
        <v/>
      </c>
      <c r="F60">
        <f>IF('TRANSPORT DASHBOARD'!$B$4="Area",IF(59&lt;=$I$3,IF(OR('TRANSPORT DASHBOARD'!$C$4="",ISNUMBER(SEARCH('TRANSPORT DASHBOARD'!$C$4,INDEX(MASTER_AREAS!$B:$B,60)))),59,""),""),IF('TRANSPORT DASHBOARD'!$B$4="Zone",IF(59&lt;=$I$4,IF(OR('TRANSPORT DASHBOARD'!$C$4="",ISNUMBER(SEARCH('TRANSPORT DASHBOARD'!$C$4,INDEX(MASTER_ZONES!$B:$B,60)))),59,""),""),""))</f>
        <v/>
      </c>
      <c r="G60">
        <f>IFERROR(SMALL($F$2:$F$1365,59),"")</f>
        <v/>
      </c>
      <c r="H60">
        <f>IF(G60="","",IF('TRANSPORT DASHBOARD'!$B$4="Area",INDEX(MASTER_AREAS!$B:$B,G60+1),INDEX(MASTER_ZONES!$B:$B,G60+1)))</f>
        <v/>
      </c>
    </row>
    <row r="61">
      <c r="A61">
        <f>IF('WSF DASHBOARD'!$B$4="Area",IF(60&lt;=$D$3,IF(OR('WSF DASHBOARD'!$C$4="",ISNUMBER(SEARCH('WSF DASHBOARD'!$C$4,INDEX(MASTER_AREAS!$B:$B,61)))),60,""),""),IF('WSF DASHBOARD'!$B$4="Zone",IF(60&lt;=$D$4,IF(OR('WSF DASHBOARD'!$C$4="",ISNUMBER(SEARCH('WSF DASHBOARD'!$C$4,INDEX(MASTER_ZONES!$B:$B,61)))),60,""),""),""))</f>
        <v/>
      </c>
      <c r="B61">
        <f>IFERROR(SMALL($A$2:$A$1365,60),"")</f>
        <v/>
      </c>
      <c r="C61">
        <f>IF(B61="","",IF('WSF DASHBOARD'!$B$4="Area",INDEX(MASTER_AREAS!$B:$B,B61+1),INDEX(MASTER_ZONES!$B:$B,B61+1)))</f>
        <v/>
      </c>
      <c r="F61">
        <f>IF('TRANSPORT DASHBOARD'!$B$4="Area",IF(60&lt;=$I$3,IF(OR('TRANSPORT DASHBOARD'!$C$4="",ISNUMBER(SEARCH('TRANSPORT DASHBOARD'!$C$4,INDEX(MASTER_AREAS!$B:$B,61)))),60,""),""),IF('TRANSPORT DASHBOARD'!$B$4="Zone",IF(60&lt;=$I$4,IF(OR('TRANSPORT DASHBOARD'!$C$4="",ISNUMBER(SEARCH('TRANSPORT DASHBOARD'!$C$4,INDEX(MASTER_ZONES!$B:$B,61)))),60,""),""),""))</f>
        <v/>
      </c>
      <c r="G61">
        <f>IFERROR(SMALL($F$2:$F$1365,60),"")</f>
        <v/>
      </c>
      <c r="H61">
        <f>IF(G61="","",IF('TRANSPORT DASHBOARD'!$B$4="Area",INDEX(MASTER_AREAS!$B:$B,G61+1),INDEX(MASTER_ZONES!$B:$B,G61+1)))</f>
        <v/>
      </c>
    </row>
    <row r="62">
      <c r="A62">
        <f>IF('WSF DASHBOARD'!$B$4="Area",IF(61&lt;=$D$3,IF(OR('WSF DASHBOARD'!$C$4="",ISNUMBER(SEARCH('WSF DASHBOARD'!$C$4,INDEX(MASTER_AREAS!$B:$B,62)))),61,""),""),IF('WSF DASHBOARD'!$B$4="Zone",IF(61&lt;=$D$4,IF(OR('WSF DASHBOARD'!$C$4="",ISNUMBER(SEARCH('WSF DASHBOARD'!$C$4,INDEX(MASTER_ZONES!$B:$B,62)))),61,""),""),""))</f>
        <v/>
      </c>
      <c r="B62">
        <f>IFERROR(SMALL($A$2:$A$1365,61),"")</f>
        <v/>
      </c>
      <c r="C62">
        <f>IF(B62="","",IF('WSF DASHBOARD'!$B$4="Area",INDEX(MASTER_AREAS!$B:$B,B62+1),INDEX(MASTER_ZONES!$B:$B,B62+1)))</f>
        <v/>
      </c>
      <c r="F62">
        <f>IF('TRANSPORT DASHBOARD'!$B$4="Area",IF(61&lt;=$I$3,IF(OR('TRANSPORT DASHBOARD'!$C$4="",ISNUMBER(SEARCH('TRANSPORT DASHBOARD'!$C$4,INDEX(MASTER_AREAS!$B:$B,62)))),61,""),""),IF('TRANSPORT DASHBOARD'!$B$4="Zone",IF(61&lt;=$I$4,IF(OR('TRANSPORT DASHBOARD'!$C$4="",ISNUMBER(SEARCH('TRANSPORT DASHBOARD'!$C$4,INDEX(MASTER_ZONES!$B:$B,62)))),61,""),""),""))</f>
        <v/>
      </c>
      <c r="G62">
        <f>IFERROR(SMALL($F$2:$F$1365,61),"")</f>
        <v/>
      </c>
      <c r="H62">
        <f>IF(G62="","",IF('TRANSPORT DASHBOARD'!$B$4="Area",INDEX(MASTER_AREAS!$B:$B,G62+1),INDEX(MASTER_ZONES!$B:$B,G62+1)))</f>
        <v/>
      </c>
    </row>
    <row r="63">
      <c r="A63">
        <f>IF('WSF DASHBOARD'!$B$4="Area",IF(62&lt;=$D$3,IF(OR('WSF DASHBOARD'!$C$4="",ISNUMBER(SEARCH('WSF DASHBOARD'!$C$4,INDEX(MASTER_AREAS!$B:$B,63)))),62,""),""),IF('WSF DASHBOARD'!$B$4="Zone",IF(62&lt;=$D$4,IF(OR('WSF DASHBOARD'!$C$4="",ISNUMBER(SEARCH('WSF DASHBOARD'!$C$4,INDEX(MASTER_ZONES!$B:$B,63)))),62,""),""),""))</f>
        <v/>
      </c>
      <c r="B63">
        <f>IFERROR(SMALL($A$2:$A$1365,62),"")</f>
        <v/>
      </c>
      <c r="C63">
        <f>IF(B63="","",IF('WSF DASHBOARD'!$B$4="Area",INDEX(MASTER_AREAS!$B:$B,B63+1),INDEX(MASTER_ZONES!$B:$B,B63+1)))</f>
        <v/>
      </c>
      <c r="F63">
        <f>IF('TRANSPORT DASHBOARD'!$B$4="Area",IF(62&lt;=$I$3,IF(OR('TRANSPORT DASHBOARD'!$C$4="",ISNUMBER(SEARCH('TRANSPORT DASHBOARD'!$C$4,INDEX(MASTER_AREAS!$B:$B,63)))),62,""),""),IF('TRANSPORT DASHBOARD'!$B$4="Zone",IF(62&lt;=$I$4,IF(OR('TRANSPORT DASHBOARD'!$C$4="",ISNUMBER(SEARCH('TRANSPORT DASHBOARD'!$C$4,INDEX(MASTER_ZONES!$B:$B,63)))),62,""),""),""))</f>
        <v/>
      </c>
      <c r="G63">
        <f>IFERROR(SMALL($F$2:$F$1365,62),"")</f>
        <v/>
      </c>
      <c r="H63">
        <f>IF(G63="","",IF('TRANSPORT DASHBOARD'!$B$4="Area",INDEX(MASTER_AREAS!$B:$B,G63+1),INDEX(MASTER_ZONES!$B:$B,G63+1)))</f>
        <v/>
      </c>
    </row>
    <row r="64">
      <c r="A64">
        <f>IF('WSF DASHBOARD'!$B$4="Area",IF(63&lt;=$D$3,IF(OR('WSF DASHBOARD'!$C$4="",ISNUMBER(SEARCH('WSF DASHBOARD'!$C$4,INDEX(MASTER_AREAS!$B:$B,64)))),63,""),""),IF('WSF DASHBOARD'!$B$4="Zone",IF(63&lt;=$D$4,IF(OR('WSF DASHBOARD'!$C$4="",ISNUMBER(SEARCH('WSF DASHBOARD'!$C$4,INDEX(MASTER_ZONES!$B:$B,64)))),63,""),""),""))</f>
        <v/>
      </c>
      <c r="B64">
        <f>IFERROR(SMALL($A$2:$A$1365,63),"")</f>
        <v/>
      </c>
      <c r="C64">
        <f>IF(B64="","",IF('WSF DASHBOARD'!$B$4="Area",INDEX(MASTER_AREAS!$B:$B,B64+1),INDEX(MASTER_ZONES!$B:$B,B64+1)))</f>
        <v/>
      </c>
      <c r="F64">
        <f>IF('TRANSPORT DASHBOARD'!$B$4="Area",IF(63&lt;=$I$3,IF(OR('TRANSPORT DASHBOARD'!$C$4="",ISNUMBER(SEARCH('TRANSPORT DASHBOARD'!$C$4,INDEX(MASTER_AREAS!$B:$B,64)))),63,""),""),IF('TRANSPORT DASHBOARD'!$B$4="Zone",IF(63&lt;=$I$4,IF(OR('TRANSPORT DASHBOARD'!$C$4="",ISNUMBER(SEARCH('TRANSPORT DASHBOARD'!$C$4,INDEX(MASTER_ZONES!$B:$B,64)))),63,""),""),""))</f>
        <v/>
      </c>
      <c r="G64">
        <f>IFERROR(SMALL($F$2:$F$1365,63),"")</f>
        <v/>
      </c>
      <c r="H64">
        <f>IF(G64="","",IF('TRANSPORT DASHBOARD'!$B$4="Area",INDEX(MASTER_AREAS!$B:$B,G64+1),INDEX(MASTER_ZONES!$B:$B,G64+1)))</f>
        <v/>
      </c>
    </row>
    <row r="65">
      <c r="A65">
        <f>IF('WSF DASHBOARD'!$B$4="Area",IF(64&lt;=$D$3,IF(OR('WSF DASHBOARD'!$C$4="",ISNUMBER(SEARCH('WSF DASHBOARD'!$C$4,INDEX(MASTER_AREAS!$B:$B,65)))),64,""),""),IF('WSF DASHBOARD'!$B$4="Zone",IF(64&lt;=$D$4,IF(OR('WSF DASHBOARD'!$C$4="",ISNUMBER(SEARCH('WSF DASHBOARD'!$C$4,INDEX(MASTER_ZONES!$B:$B,65)))),64,""),""),""))</f>
        <v/>
      </c>
      <c r="B65">
        <f>IFERROR(SMALL($A$2:$A$1365,64),"")</f>
        <v/>
      </c>
      <c r="C65">
        <f>IF(B65="","",IF('WSF DASHBOARD'!$B$4="Area",INDEX(MASTER_AREAS!$B:$B,B65+1),INDEX(MASTER_ZONES!$B:$B,B65+1)))</f>
        <v/>
      </c>
      <c r="F65">
        <f>IF('TRANSPORT DASHBOARD'!$B$4="Area",IF(64&lt;=$I$3,IF(OR('TRANSPORT DASHBOARD'!$C$4="",ISNUMBER(SEARCH('TRANSPORT DASHBOARD'!$C$4,INDEX(MASTER_AREAS!$B:$B,65)))),64,""),""),IF('TRANSPORT DASHBOARD'!$B$4="Zone",IF(64&lt;=$I$4,IF(OR('TRANSPORT DASHBOARD'!$C$4="",ISNUMBER(SEARCH('TRANSPORT DASHBOARD'!$C$4,INDEX(MASTER_ZONES!$B:$B,65)))),64,""),""),""))</f>
        <v/>
      </c>
      <c r="G65">
        <f>IFERROR(SMALL($F$2:$F$1365,64),"")</f>
        <v/>
      </c>
      <c r="H65">
        <f>IF(G65="","",IF('TRANSPORT DASHBOARD'!$B$4="Area",INDEX(MASTER_AREAS!$B:$B,G65+1),INDEX(MASTER_ZONES!$B:$B,G65+1)))</f>
        <v/>
      </c>
    </row>
    <row r="66">
      <c r="A66">
        <f>IF('WSF DASHBOARD'!$B$4="Area",IF(65&lt;=$D$3,IF(OR('WSF DASHBOARD'!$C$4="",ISNUMBER(SEARCH('WSF DASHBOARD'!$C$4,INDEX(MASTER_AREAS!$B:$B,66)))),65,""),""),IF('WSF DASHBOARD'!$B$4="Zone",IF(65&lt;=$D$4,IF(OR('WSF DASHBOARD'!$C$4="",ISNUMBER(SEARCH('WSF DASHBOARD'!$C$4,INDEX(MASTER_ZONES!$B:$B,66)))),65,""),""),""))</f>
        <v/>
      </c>
      <c r="B66">
        <f>IFERROR(SMALL($A$2:$A$1365,65),"")</f>
        <v/>
      </c>
      <c r="C66">
        <f>IF(B66="","",IF('WSF DASHBOARD'!$B$4="Area",INDEX(MASTER_AREAS!$B:$B,B66+1),INDEX(MASTER_ZONES!$B:$B,B66+1)))</f>
        <v/>
      </c>
      <c r="F66">
        <f>IF('TRANSPORT DASHBOARD'!$B$4="Area",IF(65&lt;=$I$3,IF(OR('TRANSPORT DASHBOARD'!$C$4="",ISNUMBER(SEARCH('TRANSPORT DASHBOARD'!$C$4,INDEX(MASTER_AREAS!$B:$B,66)))),65,""),""),IF('TRANSPORT DASHBOARD'!$B$4="Zone",IF(65&lt;=$I$4,IF(OR('TRANSPORT DASHBOARD'!$C$4="",ISNUMBER(SEARCH('TRANSPORT DASHBOARD'!$C$4,INDEX(MASTER_ZONES!$B:$B,66)))),65,""),""),""))</f>
        <v/>
      </c>
      <c r="G66">
        <f>IFERROR(SMALL($F$2:$F$1365,65),"")</f>
        <v/>
      </c>
      <c r="H66">
        <f>IF(G66="","",IF('TRANSPORT DASHBOARD'!$B$4="Area",INDEX(MASTER_AREAS!$B:$B,G66+1),INDEX(MASTER_ZONES!$B:$B,G66+1)))</f>
        <v/>
      </c>
    </row>
    <row r="67">
      <c r="A67">
        <f>IF('WSF DASHBOARD'!$B$4="Area",IF(66&lt;=$D$3,IF(OR('WSF DASHBOARD'!$C$4="",ISNUMBER(SEARCH('WSF DASHBOARD'!$C$4,INDEX(MASTER_AREAS!$B:$B,67)))),66,""),""),IF('WSF DASHBOARD'!$B$4="Zone",IF(66&lt;=$D$4,IF(OR('WSF DASHBOARD'!$C$4="",ISNUMBER(SEARCH('WSF DASHBOARD'!$C$4,INDEX(MASTER_ZONES!$B:$B,67)))),66,""),""),""))</f>
        <v/>
      </c>
      <c r="B67">
        <f>IFERROR(SMALL($A$2:$A$1365,66),"")</f>
        <v/>
      </c>
      <c r="C67">
        <f>IF(B67="","",IF('WSF DASHBOARD'!$B$4="Area",INDEX(MASTER_AREAS!$B:$B,B67+1),INDEX(MASTER_ZONES!$B:$B,B67+1)))</f>
        <v/>
      </c>
      <c r="F67">
        <f>IF('TRANSPORT DASHBOARD'!$B$4="Area",IF(66&lt;=$I$3,IF(OR('TRANSPORT DASHBOARD'!$C$4="",ISNUMBER(SEARCH('TRANSPORT DASHBOARD'!$C$4,INDEX(MASTER_AREAS!$B:$B,67)))),66,""),""),IF('TRANSPORT DASHBOARD'!$B$4="Zone",IF(66&lt;=$I$4,IF(OR('TRANSPORT DASHBOARD'!$C$4="",ISNUMBER(SEARCH('TRANSPORT DASHBOARD'!$C$4,INDEX(MASTER_ZONES!$B:$B,67)))),66,""),""),""))</f>
        <v/>
      </c>
      <c r="G67">
        <f>IFERROR(SMALL($F$2:$F$1365,66),"")</f>
        <v/>
      </c>
      <c r="H67">
        <f>IF(G67="","",IF('TRANSPORT DASHBOARD'!$B$4="Area",INDEX(MASTER_AREAS!$B:$B,G67+1),INDEX(MASTER_ZONES!$B:$B,G67+1)))</f>
        <v/>
      </c>
    </row>
    <row r="68">
      <c r="A68">
        <f>IF('WSF DASHBOARD'!$B$4="Area",IF(67&lt;=$D$3,IF(OR('WSF DASHBOARD'!$C$4="",ISNUMBER(SEARCH('WSF DASHBOARD'!$C$4,INDEX(MASTER_AREAS!$B:$B,68)))),67,""),""),IF('WSF DASHBOARD'!$B$4="Zone",IF(67&lt;=$D$4,IF(OR('WSF DASHBOARD'!$C$4="",ISNUMBER(SEARCH('WSF DASHBOARD'!$C$4,INDEX(MASTER_ZONES!$B:$B,68)))),67,""),""),""))</f>
        <v/>
      </c>
      <c r="B68">
        <f>IFERROR(SMALL($A$2:$A$1365,67),"")</f>
        <v/>
      </c>
      <c r="C68">
        <f>IF(B68="","",IF('WSF DASHBOARD'!$B$4="Area",INDEX(MASTER_AREAS!$B:$B,B68+1),INDEX(MASTER_ZONES!$B:$B,B68+1)))</f>
        <v/>
      </c>
      <c r="F68">
        <f>IF('TRANSPORT DASHBOARD'!$B$4="Area",IF(67&lt;=$I$3,IF(OR('TRANSPORT DASHBOARD'!$C$4="",ISNUMBER(SEARCH('TRANSPORT DASHBOARD'!$C$4,INDEX(MASTER_AREAS!$B:$B,68)))),67,""),""),IF('TRANSPORT DASHBOARD'!$B$4="Zone",IF(67&lt;=$I$4,IF(OR('TRANSPORT DASHBOARD'!$C$4="",ISNUMBER(SEARCH('TRANSPORT DASHBOARD'!$C$4,INDEX(MASTER_ZONES!$B:$B,68)))),67,""),""),""))</f>
        <v/>
      </c>
      <c r="G68">
        <f>IFERROR(SMALL($F$2:$F$1365,67),"")</f>
        <v/>
      </c>
      <c r="H68">
        <f>IF(G68="","",IF('TRANSPORT DASHBOARD'!$B$4="Area",INDEX(MASTER_AREAS!$B:$B,G68+1),INDEX(MASTER_ZONES!$B:$B,G68+1)))</f>
        <v/>
      </c>
    </row>
    <row r="69">
      <c r="A69">
        <f>IF('WSF DASHBOARD'!$B$4="Area",IF(68&lt;=$D$3,IF(OR('WSF DASHBOARD'!$C$4="",ISNUMBER(SEARCH('WSF DASHBOARD'!$C$4,INDEX(MASTER_AREAS!$B:$B,69)))),68,""),""),IF('WSF DASHBOARD'!$B$4="Zone",IF(68&lt;=$D$4,IF(OR('WSF DASHBOARD'!$C$4="",ISNUMBER(SEARCH('WSF DASHBOARD'!$C$4,INDEX(MASTER_ZONES!$B:$B,69)))),68,""),""),""))</f>
        <v/>
      </c>
      <c r="B69">
        <f>IFERROR(SMALL($A$2:$A$1365,68),"")</f>
        <v/>
      </c>
      <c r="C69">
        <f>IF(B69="","",IF('WSF DASHBOARD'!$B$4="Area",INDEX(MASTER_AREAS!$B:$B,B69+1),INDEX(MASTER_ZONES!$B:$B,B69+1)))</f>
        <v/>
      </c>
      <c r="F69">
        <f>IF('TRANSPORT DASHBOARD'!$B$4="Area",IF(68&lt;=$I$3,IF(OR('TRANSPORT DASHBOARD'!$C$4="",ISNUMBER(SEARCH('TRANSPORT DASHBOARD'!$C$4,INDEX(MASTER_AREAS!$B:$B,69)))),68,""),""),IF('TRANSPORT DASHBOARD'!$B$4="Zone",IF(68&lt;=$I$4,IF(OR('TRANSPORT DASHBOARD'!$C$4="",ISNUMBER(SEARCH('TRANSPORT DASHBOARD'!$C$4,INDEX(MASTER_ZONES!$B:$B,69)))),68,""),""),""))</f>
        <v/>
      </c>
      <c r="G69">
        <f>IFERROR(SMALL($F$2:$F$1365,68),"")</f>
        <v/>
      </c>
      <c r="H69">
        <f>IF(G69="","",IF('TRANSPORT DASHBOARD'!$B$4="Area",INDEX(MASTER_AREAS!$B:$B,G69+1),INDEX(MASTER_ZONES!$B:$B,G69+1)))</f>
        <v/>
      </c>
    </row>
    <row r="70">
      <c r="A70">
        <f>IF('WSF DASHBOARD'!$B$4="Area",IF(69&lt;=$D$3,IF(OR('WSF DASHBOARD'!$C$4="",ISNUMBER(SEARCH('WSF DASHBOARD'!$C$4,INDEX(MASTER_AREAS!$B:$B,70)))),69,""),""),IF('WSF DASHBOARD'!$B$4="Zone",IF(69&lt;=$D$4,IF(OR('WSF DASHBOARD'!$C$4="",ISNUMBER(SEARCH('WSF DASHBOARD'!$C$4,INDEX(MASTER_ZONES!$B:$B,70)))),69,""),""),""))</f>
        <v/>
      </c>
      <c r="B70">
        <f>IFERROR(SMALL($A$2:$A$1365,69),"")</f>
        <v/>
      </c>
      <c r="C70">
        <f>IF(B70="","",IF('WSF DASHBOARD'!$B$4="Area",INDEX(MASTER_AREAS!$B:$B,B70+1),INDEX(MASTER_ZONES!$B:$B,B70+1)))</f>
        <v/>
      </c>
      <c r="F70">
        <f>IF('TRANSPORT DASHBOARD'!$B$4="Area",IF(69&lt;=$I$3,IF(OR('TRANSPORT DASHBOARD'!$C$4="",ISNUMBER(SEARCH('TRANSPORT DASHBOARD'!$C$4,INDEX(MASTER_AREAS!$B:$B,70)))),69,""),""),IF('TRANSPORT DASHBOARD'!$B$4="Zone",IF(69&lt;=$I$4,IF(OR('TRANSPORT DASHBOARD'!$C$4="",ISNUMBER(SEARCH('TRANSPORT DASHBOARD'!$C$4,INDEX(MASTER_ZONES!$B:$B,70)))),69,""),""),""))</f>
        <v/>
      </c>
      <c r="G70">
        <f>IFERROR(SMALL($F$2:$F$1365,69),"")</f>
        <v/>
      </c>
      <c r="H70">
        <f>IF(G70="","",IF('TRANSPORT DASHBOARD'!$B$4="Area",INDEX(MASTER_AREAS!$B:$B,G70+1),INDEX(MASTER_ZONES!$B:$B,G70+1)))</f>
        <v/>
      </c>
    </row>
    <row r="71">
      <c r="A71">
        <f>IF('WSF DASHBOARD'!$B$4="Area",IF(70&lt;=$D$3,IF(OR('WSF DASHBOARD'!$C$4="",ISNUMBER(SEARCH('WSF DASHBOARD'!$C$4,INDEX(MASTER_AREAS!$B:$B,71)))),70,""),""),IF('WSF DASHBOARD'!$B$4="Zone",IF(70&lt;=$D$4,IF(OR('WSF DASHBOARD'!$C$4="",ISNUMBER(SEARCH('WSF DASHBOARD'!$C$4,INDEX(MASTER_ZONES!$B:$B,71)))),70,""),""),""))</f>
        <v/>
      </c>
      <c r="B71">
        <f>IFERROR(SMALL($A$2:$A$1365,70),"")</f>
        <v/>
      </c>
      <c r="C71">
        <f>IF(B71="","",IF('WSF DASHBOARD'!$B$4="Area",INDEX(MASTER_AREAS!$B:$B,B71+1),INDEX(MASTER_ZONES!$B:$B,B71+1)))</f>
        <v/>
      </c>
      <c r="F71">
        <f>IF('TRANSPORT DASHBOARD'!$B$4="Area",IF(70&lt;=$I$3,IF(OR('TRANSPORT DASHBOARD'!$C$4="",ISNUMBER(SEARCH('TRANSPORT DASHBOARD'!$C$4,INDEX(MASTER_AREAS!$B:$B,71)))),70,""),""),IF('TRANSPORT DASHBOARD'!$B$4="Zone",IF(70&lt;=$I$4,IF(OR('TRANSPORT DASHBOARD'!$C$4="",ISNUMBER(SEARCH('TRANSPORT DASHBOARD'!$C$4,INDEX(MASTER_ZONES!$B:$B,71)))),70,""),""),""))</f>
        <v/>
      </c>
      <c r="G71">
        <f>IFERROR(SMALL($F$2:$F$1365,70),"")</f>
        <v/>
      </c>
      <c r="H71">
        <f>IF(G71="","",IF('TRANSPORT DASHBOARD'!$B$4="Area",INDEX(MASTER_AREAS!$B:$B,G71+1),INDEX(MASTER_ZONES!$B:$B,G71+1)))</f>
        <v/>
      </c>
    </row>
    <row r="72">
      <c r="A72">
        <f>IF('WSF DASHBOARD'!$B$4="Area",IF(71&lt;=$D$3,IF(OR('WSF DASHBOARD'!$C$4="",ISNUMBER(SEARCH('WSF DASHBOARD'!$C$4,INDEX(MASTER_AREAS!$B:$B,72)))),71,""),""),IF('WSF DASHBOARD'!$B$4="Zone",IF(71&lt;=$D$4,IF(OR('WSF DASHBOARD'!$C$4="",ISNUMBER(SEARCH('WSF DASHBOARD'!$C$4,INDEX(MASTER_ZONES!$B:$B,72)))),71,""),""),""))</f>
        <v/>
      </c>
      <c r="B72">
        <f>IFERROR(SMALL($A$2:$A$1365,71),"")</f>
        <v/>
      </c>
      <c r="C72">
        <f>IF(B72="","",IF('WSF DASHBOARD'!$B$4="Area",INDEX(MASTER_AREAS!$B:$B,B72+1),INDEX(MASTER_ZONES!$B:$B,B72+1)))</f>
        <v/>
      </c>
      <c r="F72">
        <f>IF('TRANSPORT DASHBOARD'!$B$4="Area",IF(71&lt;=$I$3,IF(OR('TRANSPORT DASHBOARD'!$C$4="",ISNUMBER(SEARCH('TRANSPORT DASHBOARD'!$C$4,INDEX(MASTER_AREAS!$B:$B,72)))),71,""),""),IF('TRANSPORT DASHBOARD'!$B$4="Zone",IF(71&lt;=$I$4,IF(OR('TRANSPORT DASHBOARD'!$C$4="",ISNUMBER(SEARCH('TRANSPORT DASHBOARD'!$C$4,INDEX(MASTER_ZONES!$B:$B,72)))),71,""),""),""))</f>
        <v/>
      </c>
      <c r="G72">
        <f>IFERROR(SMALL($F$2:$F$1365,71),"")</f>
        <v/>
      </c>
      <c r="H72">
        <f>IF(G72="","",IF('TRANSPORT DASHBOARD'!$B$4="Area",INDEX(MASTER_AREAS!$B:$B,G72+1),INDEX(MASTER_ZONES!$B:$B,G72+1)))</f>
        <v/>
      </c>
    </row>
    <row r="73">
      <c r="A73">
        <f>IF('WSF DASHBOARD'!$B$4="Area",IF(72&lt;=$D$3,IF(OR('WSF DASHBOARD'!$C$4="",ISNUMBER(SEARCH('WSF DASHBOARD'!$C$4,INDEX(MASTER_AREAS!$B:$B,73)))),72,""),""),IF('WSF DASHBOARD'!$B$4="Zone",IF(72&lt;=$D$4,IF(OR('WSF DASHBOARD'!$C$4="",ISNUMBER(SEARCH('WSF DASHBOARD'!$C$4,INDEX(MASTER_ZONES!$B:$B,73)))),72,""),""),""))</f>
        <v/>
      </c>
      <c r="B73">
        <f>IFERROR(SMALL($A$2:$A$1365,72),"")</f>
        <v/>
      </c>
      <c r="C73">
        <f>IF(B73="","",IF('WSF DASHBOARD'!$B$4="Area",INDEX(MASTER_AREAS!$B:$B,B73+1),INDEX(MASTER_ZONES!$B:$B,B73+1)))</f>
        <v/>
      </c>
      <c r="F73">
        <f>IF('TRANSPORT DASHBOARD'!$B$4="Area",IF(72&lt;=$I$3,IF(OR('TRANSPORT DASHBOARD'!$C$4="",ISNUMBER(SEARCH('TRANSPORT DASHBOARD'!$C$4,INDEX(MASTER_AREAS!$B:$B,73)))),72,""),""),IF('TRANSPORT DASHBOARD'!$B$4="Zone",IF(72&lt;=$I$4,IF(OR('TRANSPORT DASHBOARD'!$C$4="",ISNUMBER(SEARCH('TRANSPORT DASHBOARD'!$C$4,INDEX(MASTER_ZONES!$B:$B,73)))),72,""),""),""))</f>
        <v/>
      </c>
      <c r="G73">
        <f>IFERROR(SMALL($F$2:$F$1365,72),"")</f>
        <v/>
      </c>
      <c r="H73">
        <f>IF(G73="","",IF('TRANSPORT DASHBOARD'!$B$4="Area",INDEX(MASTER_AREAS!$B:$B,G73+1),INDEX(MASTER_ZONES!$B:$B,G73+1)))</f>
        <v/>
      </c>
    </row>
    <row r="74">
      <c r="A74">
        <f>IF('WSF DASHBOARD'!$B$4="Area",IF(73&lt;=$D$3,IF(OR('WSF DASHBOARD'!$C$4="",ISNUMBER(SEARCH('WSF DASHBOARD'!$C$4,INDEX(MASTER_AREAS!$B:$B,74)))),73,""),""),IF('WSF DASHBOARD'!$B$4="Zone",IF(73&lt;=$D$4,IF(OR('WSF DASHBOARD'!$C$4="",ISNUMBER(SEARCH('WSF DASHBOARD'!$C$4,INDEX(MASTER_ZONES!$B:$B,74)))),73,""),""),""))</f>
        <v/>
      </c>
      <c r="B74">
        <f>IFERROR(SMALL($A$2:$A$1365,73),"")</f>
        <v/>
      </c>
      <c r="C74">
        <f>IF(B74="","",IF('WSF DASHBOARD'!$B$4="Area",INDEX(MASTER_AREAS!$B:$B,B74+1),INDEX(MASTER_ZONES!$B:$B,B74+1)))</f>
        <v/>
      </c>
      <c r="F74">
        <f>IF('TRANSPORT DASHBOARD'!$B$4="Area",IF(73&lt;=$I$3,IF(OR('TRANSPORT DASHBOARD'!$C$4="",ISNUMBER(SEARCH('TRANSPORT DASHBOARD'!$C$4,INDEX(MASTER_AREAS!$B:$B,74)))),73,""),""),IF('TRANSPORT DASHBOARD'!$B$4="Zone",IF(73&lt;=$I$4,IF(OR('TRANSPORT DASHBOARD'!$C$4="",ISNUMBER(SEARCH('TRANSPORT DASHBOARD'!$C$4,INDEX(MASTER_ZONES!$B:$B,74)))),73,""),""),""))</f>
        <v/>
      </c>
      <c r="G74">
        <f>IFERROR(SMALL($F$2:$F$1365,73),"")</f>
        <v/>
      </c>
      <c r="H74">
        <f>IF(G74="","",IF('TRANSPORT DASHBOARD'!$B$4="Area",INDEX(MASTER_AREAS!$B:$B,G74+1),INDEX(MASTER_ZONES!$B:$B,G74+1)))</f>
        <v/>
      </c>
    </row>
    <row r="75">
      <c r="A75">
        <f>IF('WSF DASHBOARD'!$B$4="Area",IF(74&lt;=$D$3,IF(OR('WSF DASHBOARD'!$C$4="",ISNUMBER(SEARCH('WSF DASHBOARD'!$C$4,INDEX(MASTER_AREAS!$B:$B,75)))),74,""),""),IF('WSF DASHBOARD'!$B$4="Zone",IF(74&lt;=$D$4,IF(OR('WSF DASHBOARD'!$C$4="",ISNUMBER(SEARCH('WSF DASHBOARD'!$C$4,INDEX(MASTER_ZONES!$B:$B,75)))),74,""),""),""))</f>
        <v/>
      </c>
      <c r="B75">
        <f>IFERROR(SMALL($A$2:$A$1365,74),"")</f>
        <v/>
      </c>
      <c r="C75">
        <f>IF(B75="","",IF('WSF DASHBOARD'!$B$4="Area",INDEX(MASTER_AREAS!$B:$B,B75+1),INDEX(MASTER_ZONES!$B:$B,B75+1)))</f>
        <v/>
      </c>
      <c r="F75">
        <f>IF('TRANSPORT DASHBOARD'!$B$4="Area",IF(74&lt;=$I$3,IF(OR('TRANSPORT DASHBOARD'!$C$4="",ISNUMBER(SEARCH('TRANSPORT DASHBOARD'!$C$4,INDEX(MASTER_AREAS!$B:$B,75)))),74,""),""),IF('TRANSPORT DASHBOARD'!$B$4="Zone",IF(74&lt;=$I$4,IF(OR('TRANSPORT DASHBOARD'!$C$4="",ISNUMBER(SEARCH('TRANSPORT DASHBOARD'!$C$4,INDEX(MASTER_ZONES!$B:$B,75)))),74,""),""),""))</f>
        <v/>
      </c>
      <c r="G75">
        <f>IFERROR(SMALL($F$2:$F$1365,74),"")</f>
        <v/>
      </c>
      <c r="H75">
        <f>IF(G75="","",IF('TRANSPORT DASHBOARD'!$B$4="Area",INDEX(MASTER_AREAS!$B:$B,G75+1),INDEX(MASTER_ZONES!$B:$B,G75+1)))</f>
        <v/>
      </c>
    </row>
    <row r="76">
      <c r="A76">
        <f>IF('WSF DASHBOARD'!$B$4="Area",IF(75&lt;=$D$3,IF(OR('WSF DASHBOARD'!$C$4="",ISNUMBER(SEARCH('WSF DASHBOARD'!$C$4,INDEX(MASTER_AREAS!$B:$B,76)))),75,""),""),IF('WSF DASHBOARD'!$B$4="Zone",IF(75&lt;=$D$4,IF(OR('WSF DASHBOARD'!$C$4="",ISNUMBER(SEARCH('WSF DASHBOARD'!$C$4,INDEX(MASTER_ZONES!$B:$B,76)))),75,""),""),""))</f>
        <v/>
      </c>
      <c r="B76">
        <f>IFERROR(SMALL($A$2:$A$1365,75),"")</f>
        <v/>
      </c>
      <c r="C76">
        <f>IF(B76="","",IF('WSF DASHBOARD'!$B$4="Area",INDEX(MASTER_AREAS!$B:$B,B76+1),INDEX(MASTER_ZONES!$B:$B,B76+1)))</f>
        <v/>
      </c>
      <c r="F76">
        <f>IF('TRANSPORT DASHBOARD'!$B$4="Area",IF(75&lt;=$I$3,IF(OR('TRANSPORT DASHBOARD'!$C$4="",ISNUMBER(SEARCH('TRANSPORT DASHBOARD'!$C$4,INDEX(MASTER_AREAS!$B:$B,76)))),75,""),""),IF('TRANSPORT DASHBOARD'!$B$4="Zone",IF(75&lt;=$I$4,IF(OR('TRANSPORT DASHBOARD'!$C$4="",ISNUMBER(SEARCH('TRANSPORT DASHBOARD'!$C$4,INDEX(MASTER_ZONES!$B:$B,76)))),75,""),""),""))</f>
        <v/>
      </c>
      <c r="G76">
        <f>IFERROR(SMALL($F$2:$F$1365,75),"")</f>
        <v/>
      </c>
      <c r="H76">
        <f>IF(G76="","",IF('TRANSPORT DASHBOARD'!$B$4="Area",INDEX(MASTER_AREAS!$B:$B,G76+1),INDEX(MASTER_ZONES!$B:$B,G76+1)))</f>
        <v/>
      </c>
    </row>
    <row r="77">
      <c r="A77">
        <f>IF('WSF DASHBOARD'!$B$4="Area",IF(76&lt;=$D$3,IF(OR('WSF DASHBOARD'!$C$4="",ISNUMBER(SEARCH('WSF DASHBOARD'!$C$4,INDEX(MASTER_AREAS!$B:$B,77)))),76,""),""),IF('WSF DASHBOARD'!$B$4="Zone",IF(76&lt;=$D$4,IF(OR('WSF DASHBOARD'!$C$4="",ISNUMBER(SEARCH('WSF DASHBOARD'!$C$4,INDEX(MASTER_ZONES!$B:$B,77)))),76,""),""),""))</f>
        <v/>
      </c>
      <c r="B77">
        <f>IFERROR(SMALL($A$2:$A$1365,76),"")</f>
        <v/>
      </c>
      <c r="C77">
        <f>IF(B77="","",IF('WSF DASHBOARD'!$B$4="Area",INDEX(MASTER_AREAS!$B:$B,B77+1),INDEX(MASTER_ZONES!$B:$B,B77+1)))</f>
        <v/>
      </c>
      <c r="F77">
        <f>IF('TRANSPORT DASHBOARD'!$B$4="Area",IF(76&lt;=$I$3,IF(OR('TRANSPORT DASHBOARD'!$C$4="",ISNUMBER(SEARCH('TRANSPORT DASHBOARD'!$C$4,INDEX(MASTER_AREAS!$B:$B,77)))),76,""),""),IF('TRANSPORT DASHBOARD'!$B$4="Zone",IF(76&lt;=$I$4,IF(OR('TRANSPORT DASHBOARD'!$C$4="",ISNUMBER(SEARCH('TRANSPORT DASHBOARD'!$C$4,INDEX(MASTER_ZONES!$B:$B,77)))),76,""),""),""))</f>
        <v/>
      </c>
      <c r="G77">
        <f>IFERROR(SMALL($F$2:$F$1365,76),"")</f>
        <v/>
      </c>
      <c r="H77">
        <f>IF(G77="","",IF('TRANSPORT DASHBOARD'!$B$4="Area",INDEX(MASTER_AREAS!$B:$B,G77+1),INDEX(MASTER_ZONES!$B:$B,G77+1)))</f>
        <v/>
      </c>
    </row>
    <row r="78">
      <c r="A78">
        <f>IF('WSF DASHBOARD'!$B$4="Area",IF(77&lt;=$D$3,IF(OR('WSF DASHBOARD'!$C$4="",ISNUMBER(SEARCH('WSF DASHBOARD'!$C$4,INDEX(MASTER_AREAS!$B:$B,78)))),77,""),""),IF('WSF DASHBOARD'!$B$4="Zone",IF(77&lt;=$D$4,IF(OR('WSF DASHBOARD'!$C$4="",ISNUMBER(SEARCH('WSF DASHBOARD'!$C$4,INDEX(MASTER_ZONES!$B:$B,78)))),77,""),""),""))</f>
        <v/>
      </c>
      <c r="B78">
        <f>IFERROR(SMALL($A$2:$A$1365,77),"")</f>
        <v/>
      </c>
      <c r="C78">
        <f>IF(B78="","",IF('WSF DASHBOARD'!$B$4="Area",INDEX(MASTER_AREAS!$B:$B,B78+1),INDEX(MASTER_ZONES!$B:$B,B78+1)))</f>
        <v/>
      </c>
      <c r="F78">
        <f>IF('TRANSPORT DASHBOARD'!$B$4="Area",IF(77&lt;=$I$3,IF(OR('TRANSPORT DASHBOARD'!$C$4="",ISNUMBER(SEARCH('TRANSPORT DASHBOARD'!$C$4,INDEX(MASTER_AREAS!$B:$B,78)))),77,""),""),IF('TRANSPORT DASHBOARD'!$B$4="Zone",IF(77&lt;=$I$4,IF(OR('TRANSPORT DASHBOARD'!$C$4="",ISNUMBER(SEARCH('TRANSPORT DASHBOARD'!$C$4,INDEX(MASTER_ZONES!$B:$B,78)))),77,""),""),""))</f>
        <v/>
      </c>
      <c r="G78">
        <f>IFERROR(SMALL($F$2:$F$1365,77),"")</f>
        <v/>
      </c>
      <c r="H78">
        <f>IF(G78="","",IF('TRANSPORT DASHBOARD'!$B$4="Area",INDEX(MASTER_AREAS!$B:$B,G78+1),INDEX(MASTER_ZONES!$B:$B,G78+1)))</f>
        <v/>
      </c>
    </row>
    <row r="79">
      <c r="A79">
        <f>IF('WSF DASHBOARD'!$B$4="Area",IF(78&lt;=$D$3,IF(OR('WSF DASHBOARD'!$C$4="",ISNUMBER(SEARCH('WSF DASHBOARD'!$C$4,INDEX(MASTER_AREAS!$B:$B,79)))),78,""),""),IF('WSF DASHBOARD'!$B$4="Zone",IF(78&lt;=$D$4,IF(OR('WSF DASHBOARD'!$C$4="",ISNUMBER(SEARCH('WSF DASHBOARD'!$C$4,INDEX(MASTER_ZONES!$B:$B,79)))),78,""),""),""))</f>
        <v/>
      </c>
      <c r="B79">
        <f>IFERROR(SMALL($A$2:$A$1365,78),"")</f>
        <v/>
      </c>
      <c r="C79">
        <f>IF(B79="","",IF('WSF DASHBOARD'!$B$4="Area",INDEX(MASTER_AREAS!$B:$B,B79+1),INDEX(MASTER_ZONES!$B:$B,B79+1)))</f>
        <v/>
      </c>
      <c r="F79">
        <f>IF('TRANSPORT DASHBOARD'!$B$4="Area",IF(78&lt;=$I$3,IF(OR('TRANSPORT DASHBOARD'!$C$4="",ISNUMBER(SEARCH('TRANSPORT DASHBOARD'!$C$4,INDEX(MASTER_AREAS!$B:$B,79)))),78,""),""),IF('TRANSPORT DASHBOARD'!$B$4="Zone",IF(78&lt;=$I$4,IF(OR('TRANSPORT DASHBOARD'!$C$4="",ISNUMBER(SEARCH('TRANSPORT DASHBOARD'!$C$4,INDEX(MASTER_ZONES!$B:$B,79)))),78,""),""),""))</f>
        <v/>
      </c>
      <c r="G79">
        <f>IFERROR(SMALL($F$2:$F$1365,78),"")</f>
        <v/>
      </c>
      <c r="H79">
        <f>IF(G79="","",IF('TRANSPORT DASHBOARD'!$B$4="Area",INDEX(MASTER_AREAS!$B:$B,G79+1),INDEX(MASTER_ZONES!$B:$B,G79+1)))</f>
        <v/>
      </c>
    </row>
    <row r="80">
      <c r="A80">
        <f>IF('WSF DASHBOARD'!$B$4="Area",IF(79&lt;=$D$3,IF(OR('WSF DASHBOARD'!$C$4="",ISNUMBER(SEARCH('WSF DASHBOARD'!$C$4,INDEX(MASTER_AREAS!$B:$B,80)))),79,""),""),IF('WSF DASHBOARD'!$B$4="Zone",IF(79&lt;=$D$4,IF(OR('WSF DASHBOARD'!$C$4="",ISNUMBER(SEARCH('WSF DASHBOARD'!$C$4,INDEX(MASTER_ZONES!$B:$B,80)))),79,""),""),""))</f>
        <v/>
      </c>
      <c r="B80">
        <f>IFERROR(SMALL($A$2:$A$1365,79),"")</f>
        <v/>
      </c>
      <c r="C80">
        <f>IF(B80="","",IF('WSF DASHBOARD'!$B$4="Area",INDEX(MASTER_AREAS!$B:$B,B80+1),INDEX(MASTER_ZONES!$B:$B,B80+1)))</f>
        <v/>
      </c>
      <c r="F80">
        <f>IF('TRANSPORT DASHBOARD'!$B$4="Area",IF(79&lt;=$I$3,IF(OR('TRANSPORT DASHBOARD'!$C$4="",ISNUMBER(SEARCH('TRANSPORT DASHBOARD'!$C$4,INDEX(MASTER_AREAS!$B:$B,80)))),79,""),""),IF('TRANSPORT DASHBOARD'!$B$4="Zone",IF(79&lt;=$I$4,IF(OR('TRANSPORT DASHBOARD'!$C$4="",ISNUMBER(SEARCH('TRANSPORT DASHBOARD'!$C$4,INDEX(MASTER_ZONES!$B:$B,80)))),79,""),""),""))</f>
        <v/>
      </c>
      <c r="G80">
        <f>IFERROR(SMALL($F$2:$F$1365,79),"")</f>
        <v/>
      </c>
      <c r="H80">
        <f>IF(G80="","",IF('TRANSPORT DASHBOARD'!$B$4="Area",INDEX(MASTER_AREAS!$B:$B,G80+1),INDEX(MASTER_ZONES!$B:$B,G80+1)))</f>
        <v/>
      </c>
    </row>
    <row r="81">
      <c r="A81">
        <f>IF('WSF DASHBOARD'!$B$4="Area",IF(80&lt;=$D$3,IF(OR('WSF DASHBOARD'!$C$4="",ISNUMBER(SEARCH('WSF DASHBOARD'!$C$4,INDEX(MASTER_AREAS!$B:$B,81)))),80,""),""),IF('WSF DASHBOARD'!$B$4="Zone",IF(80&lt;=$D$4,IF(OR('WSF DASHBOARD'!$C$4="",ISNUMBER(SEARCH('WSF DASHBOARD'!$C$4,INDEX(MASTER_ZONES!$B:$B,81)))),80,""),""),""))</f>
        <v/>
      </c>
      <c r="B81">
        <f>IFERROR(SMALL($A$2:$A$1365,80),"")</f>
        <v/>
      </c>
      <c r="C81">
        <f>IF(B81="","",IF('WSF DASHBOARD'!$B$4="Area",INDEX(MASTER_AREAS!$B:$B,B81+1),INDEX(MASTER_ZONES!$B:$B,B81+1)))</f>
        <v/>
      </c>
      <c r="F81">
        <f>IF('TRANSPORT DASHBOARD'!$B$4="Area",IF(80&lt;=$I$3,IF(OR('TRANSPORT DASHBOARD'!$C$4="",ISNUMBER(SEARCH('TRANSPORT DASHBOARD'!$C$4,INDEX(MASTER_AREAS!$B:$B,81)))),80,""),""),IF('TRANSPORT DASHBOARD'!$B$4="Zone",IF(80&lt;=$I$4,IF(OR('TRANSPORT DASHBOARD'!$C$4="",ISNUMBER(SEARCH('TRANSPORT DASHBOARD'!$C$4,INDEX(MASTER_ZONES!$B:$B,81)))),80,""),""),""))</f>
        <v/>
      </c>
      <c r="G81">
        <f>IFERROR(SMALL($F$2:$F$1365,80),"")</f>
        <v/>
      </c>
      <c r="H81">
        <f>IF(G81="","",IF('TRANSPORT DASHBOARD'!$B$4="Area",INDEX(MASTER_AREAS!$B:$B,G81+1),INDEX(MASTER_ZONES!$B:$B,G81+1)))</f>
        <v/>
      </c>
    </row>
    <row r="82">
      <c r="A82">
        <f>IF('WSF DASHBOARD'!$B$4="Area",IF(81&lt;=$D$3,IF(OR('WSF DASHBOARD'!$C$4="",ISNUMBER(SEARCH('WSF DASHBOARD'!$C$4,INDEX(MASTER_AREAS!$B:$B,82)))),81,""),""),IF('WSF DASHBOARD'!$B$4="Zone",IF(81&lt;=$D$4,IF(OR('WSF DASHBOARD'!$C$4="",ISNUMBER(SEARCH('WSF DASHBOARD'!$C$4,INDEX(MASTER_ZONES!$B:$B,82)))),81,""),""),""))</f>
        <v/>
      </c>
      <c r="B82">
        <f>IFERROR(SMALL($A$2:$A$1365,81),"")</f>
        <v/>
      </c>
      <c r="C82">
        <f>IF(B82="","",IF('WSF DASHBOARD'!$B$4="Area",INDEX(MASTER_AREAS!$B:$B,B82+1),INDEX(MASTER_ZONES!$B:$B,B82+1)))</f>
        <v/>
      </c>
      <c r="F82">
        <f>IF('TRANSPORT DASHBOARD'!$B$4="Area",IF(81&lt;=$I$3,IF(OR('TRANSPORT DASHBOARD'!$C$4="",ISNUMBER(SEARCH('TRANSPORT DASHBOARD'!$C$4,INDEX(MASTER_AREAS!$B:$B,82)))),81,""),""),IF('TRANSPORT DASHBOARD'!$B$4="Zone",IF(81&lt;=$I$4,IF(OR('TRANSPORT DASHBOARD'!$C$4="",ISNUMBER(SEARCH('TRANSPORT DASHBOARD'!$C$4,INDEX(MASTER_ZONES!$B:$B,82)))),81,""),""),""))</f>
        <v/>
      </c>
      <c r="G82">
        <f>IFERROR(SMALL($F$2:$F$1365,81),"")</f>
        <v/>
      </c>
      <c r="H82">
        <f>IF(G82="","",IF('TRANSPORT DASHBOARD'!$B$4="Area",INDEX(MASTER_AREAS!$B:$B,G82+1),INDEX(MASTER_ZONES!$B:$B,G82+1)))</f>
        <v/>
      </c>
    </row>
    <row r="83">
      <c r="A83">
        <f>IF('WSF DASHBOARD'!$B$4="Area",IF(82&lt;=$D$3,IF(OR('WSF DASHBOARD'!$C$4="",ISNUMBER(SEARCH('WSF DASHBOARD'!$C$4,INDEX(MASTER_AREAS!$B:$B,83)))),82,""),""),IF('WSF DASHBOARD'!$B$4="Zone",IF(82&lt;=$D$4,IF(OR('WSF DASHBOARD'!$C$4="",ISNUMBER(SEARCH('WSF DASHBOARD'!$C$4,INDEX(MASTER_ZONES!$B:$B,83)))),82,""),""),""))</f>
        <v/>
      </c>
      <c r="B83">
        <f>IFERROR(SMALL($A$2:$A$1365,82),"")</f>
        <v/>
      </c>
      <c r="C83">
        <f>IF(B83="","",IF('WSF DASHBOARD'!$B$4="Area",INDEX(MASTER_AREAS!$B:$B,B83+1),INDEX(MASTER_ZONES!$B:$B,B83+1)))</f>
        <v/>
      </c>
      <c r="F83">
        <f>IF('TRANSPORT DASHBOARD'!$B$4="Area",IF(82&lt;=$I$3,IF(OR('TRANSPORT DASHBOARD'!$C$4="",ISNUMBER(SEARCH('TRANSPORT DASHBOARD'!$C$4,INDEX(MASTER_AREAS!$B:$B,83)))),82,""),""),IF('TRANSPORT DASHBOARD'!$B$4="Zone",IF(82&lt;=$I$4,IF(OR('TRANSPORT DASHBOARD'!$C$4="",ISNUMBER(SEARCH('TRANSPORT DASHBOARD'!$C$4,INDEX(MASTER_ZONES!$B:$B,83)))),82,""),""),""))</f>
        <v/>
      </c>
      <c r="G83">
        <f>IFERROR(SMALL($F$2:$F$1365,82),"")</f>
        <v/>
      </c>
      <c r="H83">
        <f>IF(G83="","",IF('TRANSPORT DASHBOARD'!$B$4="Area",INDEX(MASTER_AREAS!$B:$B,G83+1),INDEX(MASTER_ZONES!$B:$B,G83+1)))</f>
        <v/>
      </c>
    </row>
    <row r="84">
      <c r="A84">
        <f>IF('WSF DASHBOARD'!$B$4="Area",IF(83&lt;=$D$3,IF(OR('WSF DASHBOARD'!$C$4="",ISNUMBER(SEARCH('WSF DASHBOARD'!$C$4,INDEX(MASTER_AREAS!$B:$B,84)))),83,""),""),IF('WSF DASHBOARD'!$B$4="Zone",IF(83&lt;=$D$4,IF(OR('WSF DASHBOARD'!$C$4="",ISNUMBER(SEARCH('WSF DASHBOARD'!$C$4,INDEX(MASTER_ZONES!$B:$B,84)))),83,""),""),""))</f>
        <v/>
      </c>
      <c r="B84">
        <f>IFERROR(SMALL($A$2:$A$1365,83),"")</f>
        <v/>
      </c>
      <c r="C84">
        <f>IF(B84="","",IF('WSF DASHBOARD'!$B$4="Area",INDEX(MASTER_AREAS!$B:$B,B84+1),INDEX(MASTER_ZONES!$B:$B,B84+1)))</f>
        <v/>
      </c>
      <c r="F84">
        <f>IF('TRANSPORT DASHBOARD'!$B$4="Area",IF(83&lt;=$I$3,IF(OR('TRANSPORT DASHBOARD'!$C$4="",ISNUMBER(SEARCH('TRANSPORT DASHBOARD'!$C$4,INDEX(MASTER_AREAS!$B:$B,84)))),83,""),""),IF('TRANSPORT DASHBOARD'!$B$4="Zone",IF(83&lt;=$I$4,IF(OR('TRANSPORT DASHBOARD'!$C$4="",ISNUMBER(SEARCH('TRANSPORT DASHBOARD'!$C$4,INDEX(MASTER_ZONES!$B:$B,84)))),83,""),""),""))</f>
        <v/>
      </c>
      <c r="G84">
        <f>IFERROR(SMALL($F$2:$F$1365,83),"")</f>
        <v/>
      </c>
      <c r="H84">
        <f>IF(G84="","",IF('TRANSPORT DASHBOARD'!$B$4="Area",INDEX(MASTER_AREAS!$B:$B,G84+1),INDEX(MASTER_ZONES!$B:$B,G84+1)))</f>
        <v/>
      </c>
    </row>
    <row r="85">
      <c r="A85">
        <f>IF('WSF DASHBOARD'!$B$4="Area",IF(84&lt;=$D$3,IF(OR('WSF DASHBOARD'!$C$4="",ISNUMBER(SEARCH('WSF DASHBOARD'!$C$4,INDEX(MASTER_AREAS!$B:$B,85)))),84,""),""),IF('WSF DASHBOARD'!$B$4="Zone",IF(84&lt;=$D$4,IF(OR('WSF DASHBOARD'!$C$4="",ISNUMBER(SEARCH('WSF DASHBOARD'!$C$4,INDEX(MASTER_ZONES!$B:$B,85)))),84,""),""),""))</f>
        <v/>
      </c>
      <c r="B85">
        <f>IFERROR(SMALL($A$2:$A$1365,84),"")</f>
        <v/>
      </c>
      <c r="C85">
        <f>IF(B85="","",IF('WSF DASHBOARD'!$B$4="Area",INDEX(MASTER_AREAS!$B:$B,B85+1),INDEX(MASTER_ZONES!$B:$B,B85+1)))</f>
        <v/>
      </c>
      <c r="F85">
        <f>IF('TRANSPORT DASHBOARD'!$B$4="Area",IF(84&lt;=$I$3,IF(OR('TRANSPORT DASHBOARD'!$C$4="",ISNUMBER(SEARCH('TRANSPORT DASHBOARD'!$C$4,INDEX(MASTER_AREAS!$B:$B,85)))),84,""),""),IF('TRANSPORT DASHBOARD'!$B$4="Zone",IF(84&lt;=$I$4,IF(OR('TRANSPORT DASHBOARD'!$C$4="",ISNUMBER(SEARCH('TRANSPORT DASHBOARD'!$C$4,INDEX(MASTER_ZONES!$B:$B,85)))),84,""),""),""))</f>
        <v/>
      </c>
      <c r="G85">
        <f>IFERROR(SMALL($F$2:$F$1365,84),"")</f>
        <v/>
      </c>
      <c r="H85">
        <f>IF(G85="","",IF('TRANSPORT DASHBOARD'!$B$4="Area",INDEX(MASTER_AREAS!$B:$B,G85+1),INDEX(MASTER_ZONES!$B:$B,G85+1)))</f>
        <v/>
      </c>
    </row>
    <row r="86">
      <c r="A86">
        <f>IF('WSF DASHBOARD'!$B$4="Area",IF(85&lt;=$D$3,IF(OR('WSF DASHBOARD'!$C$4="",ISNUMBER(SEARCH('WSF DASHBOARD'!$C$4,INDEX(MASTER_AREAS!$B:$B,86)))),85,""),""),IF('WSF DASHBOARD'!$B$4="Zone",IF(85&lt;=$D$4,IF(OR('WSF DASHBOARD'!$C$4="",ISNUMBER(SEARCH('WSF DASHBOARD'!$C$4,INDEX(MASTER_ZONES!$B:$B,86)))),85,""),""),""))</f>
        <v/>
      </c>
      <c r="B86">
        <f>IFERROR(SMALL($A$2:$A$1365,85),"")</f>
        <v/>
      </c>
      <c r="C86">
        <f>IF(B86="","",IF('WSF DASHBOARD'!$B$4="Area",INDEX(MASTER_AREAS!$B:$B,B86+1),INDEX(MASTER_ZONES!$B:$B,B86+1)))</f>
        <v/>
      </c>
      <c r="F86">
        <f>IF('TRANSPORT DASHBOARD'!$B$4="Area",IF(85&lt;=$I$3,IF(OR('TRANSPORT DASHBOARD'!$C$4="",ISNUMBER(SEARCH('TRANSPORT DASHBOARD'!$C$4,INDEX(MASTER_AREAS!$B:$B,86)))),85,""),""),IF('TRANSPORT DASHBOARD'!$B$4="Zone",IF(85&lt;=$I$4,IF(OR('TRANSPORT DASHBOARD'!$C$4="",ISNUMBER(SEARCH('TRANSPORT DASHBOARD'!$C$4,INDEX(MASTER_ZONES!$B:$B,86)))),85,""),""),""))</f>
        <v/>
      </c>
      <c r="G86">
        <f>IFERROR(SMALL($F$2:$F$1365,85),"")</f>
        <v/>
      </c>
      <c r="H86">
        <f>IF(G86="","",IF('TRANSPORT DASHBOARD'!$B$4="Area",INDEX(MASTER_AREAS!$B:$B,G86+1),INDEX(MASTER_ZONES!$B:$B,G86+1)))</f>
        <v/>
      </c>
    </row>
    <row r="87">
      <c r="A87">
        <f>IF('WSF DASHBOARD'!$B$4="Area",IF(86&lt;=$D$3,IF(OR('WSF DASHBOARD'!$C$4="",ISNUMBER(SEARCH('WSF DASHBOARD'!$C$4,INDEX(MASTER_AREAS!$B:$B,87)))),86,""),""),IF('WSF DASHBOARD'!$B$4="Zone",IF(86&lt;=$D$4,IF(OR('WSF DASHBOARD'!$C$4="",ISNUMBER(SEARCH('WSF DASHBOARD'!$C$4,INDEX(MASTER_ZONES!$B:$B,87)))),86,""),""),""))</f>
        <v/>
      </c>
      <c r="B87">
        <f>IFERROR(SMALL($A$2:$A$1365,86),"")</f>
        <v/>
      </c>
      <c r="C87">
        <f>IF(B87="","",IF('WSF DASHBOARD'!$B$4="Area",INDEX(MASTER_AREAS!$B:$B,B87+1),INDEX(MASTER_ZONES!$B:$B,B87+1)))</f>
        <v/>
      </c>
      <c r="F87">
        <f>IF('TRANSPORT DASHBOARD'!$B$4="Area",IF(86&lt;=$I$3,IF(OR('TRANSPORT DASHBOARD'!$C$4="",ISNUMBER(SEARCH('TRANSPORT DASHBOARD'!$C$4,INDEX(MASTER_AREAS!$B:$B,87)))),86,""),""),IF('TRANSPORT DASHBOARD'!$B$4="Zone",IF(86&lt;=$I$4,IF(OR('TRANSPORT DASHBOARD'!$C$4="",ISNUMBER(SEARCH('TRANSPORT DASHBOARD'!$C$4,INDEX(MASTER_ZONES!$B:$B,87)))),86,""),""),""))</f>
        <v/>
      </c>
      <c r="G87">
        <f>IFERROR(SMALL($F$2:$F$1365,86),"")</f>
        <v/>
      </c>
      <c r="H87">
        <f>IF(G87="","",IF('TRANSPORT DASHBOARD'!$B$4="Area",INDEX(MASTER_AREAS!$B:$B,G87+1),INDEX(MASTER_ZONES!$B:$B,G87+1)))</f>
        <v/>
      </c>
    </row>
    <row r="88">
      <c r="A88">
        <f>IF('WSF DASHBOARD'!$B$4="Area",IF(87&lt;=$D$3,IF(OR('WSF DASHBOARD'!$C$4="",ISNUMBER(SEARCH('WSF DASHBOARD'!$C$4,INDEX(MASTER_AREAS!$B:$B,88)))),87,""),""),IF('WSF DASHBOARD'!$B$4="Zone",IF(87&lt;=$D$4,IF(OR('WSF DASHBOARD'!$C$4="",ISNUMBER(SEARCH('WSF DASHBOARD'!$C$4,INDEX(MASTER_ZONES!$B:$B,88)))),87,""),""),""))</f>
        <v/>
      </c>
      <c r="B88">
        <f>IFERROR(SMALL($A$2:$A$1365,87),"")</f>
        <v/>
      </c>
      <c r="C88">
        <f>IF(B88="","",IF('WSF DASHBOARD'!$B$4="Area",INDEX(MASTER_AREAS!$B:$B,B88+1),INDEX(MASTER_ZONES!$B:$B,B88+1)))</f>
        <v/>
      </c>
      <c r="F88">
        <f>IF('TRANSPORT DASHBOARD'!$B$4="Area",IF(87&lt;=$I$3,IF(OR('TRANSPORT DASHBOARD'!$C$4="",ISNUMBER(SEARCH('TRANSPORT DASHBOARD'!$C$4,INDEX(MASTER_AREAS!$B:$B,88)))),87,""),""),IF('TRANSPORT DASHBOARD'!$B$4="Zone",IF(87&lt;=$I$4,IF(OR('TRANSPORT DASHBOARD'!$C$4="",ISNUMBER(SEARCH('TRANSPORT DASHBOARD'!$C$4,INDEX(MASTER_ZONES!$B:$B,88)))),87,""),""),""))</f>
        <v/>
      </c>
      <c r="G88">
        <f>IFERROR(SMALL($F$2:$F$1365,87),"")</f>
        <v/>
      </c>
      <c r="H88">
        <f>IF(G88="","",IF('TRANSPORT DASHBOARD'!$B$4="Area",INDEX(MASTER_AREAS!$B:$B,G88+1),INDEX(MASTER_ZONES!$B:$B,G88+1)))</f>
        <v/>
      </c>
    </row>
    <row r="89">
      <c r="A89">
        <f>IF('WSF DASHBOARD'!$B$4="Area",IF(88&lt;=$D$3,IF(OR('WSF DASHBOARD'!$C$4="",ISNUMBER(SEARCH('WSF DASHBOARD'!$C$4,INDEX(MASTER_AREAS!$B:$B,89)))),88,""),""),IF('WSF DASHBOARD'!$B$4="Zone",IF(88&lt;=$D$4,IF(OR('WSF DASHBOARD'!$C$4="",ISNUMBER(SEARCH('WSF DASHBOARD'!$C$4,INDEX(MASTER_ZONES!$B:$B,89)))),88,""),""),""))</f>
        <v/>
      </c>
      <c r="B89">
        <f>IFERROR(SMALL($A$2:$A$1365,88),"")</f>
        <v/>
      </c>
      <c r="C89">
        <f>IF(B89="","",IF('WSF DASHBOARD'!$B$4="Area",INDEX(MASTER_AREAS!$B:$B,B89+1),INDEX(MASTER_ZONES!$B:$B,B89+1)))</f>
        <v/>
      </c>
      <c r="F89">
        <f>IF('TRANSPORT DASHBOARD'!$B$4="Area",IF(88&lt;=$I$3,IF(OR('TRANSPORT DASHBOARD'!$C$4="",ISNUMBER(SEARCH('TRANSPORT DASHBOARD'!$C$4,INDEX(MASTER_AREAS!$B:$B,89)))),88,""),""),IF('TRANSPORT DASHBOARD'!$B$4="Zone",IF(88&lt;=$I$4,IF(OR('TRANSPORT DASHBOARD'!$C$4="",ISNUMBER(SEARCH('TRANSPORT DASHBOARD'!$C$4,INDEX(MASTER_ZONES!$B:$B,89)))),88,""),""),""))</f>
        <v/>
      </c>
      <c r="G89">
        <f>IFERROR(SMALL($F$2:$F$1365,88),"")</f>
        <v/>
      </c>
      <c r="H89">
        <f>IF(G89="","",IF('TRANSPORT DASHBOARD'!$B$4="Area",INDEX(MASTER_AREAS!$B:$B,G89+1),INDEX(MASTER_ZONES!$B:$B,G89+1)))</f>
        <v/>
      </c>
    </row>
    <row r="90">
      <c r="A90">
        <f>IF('WSF DASHBOARD'!$B$4="Area",IF(89&lt;=$D$3,IF(OR('WSF DASHBOARD'!$C$4="",ISNUMBER(SEARCH('WSF DASHBOARD'!$C$4,INDEX(MASTER_AREAS!$B:$B,90)))),89,""),""),IF('WSF DASHBOARD'!$B$4="Zone",IF(89&lt;=$D$4,IF(OR('WSF DASHBOARD'!$C$4="",ISNUMBER(SEARCH('WSF DASHBOARD'!$C$4,INDEX(MASTER_ZONES!$B:$B,90)))),89,""),""),""))</f>
        <v/>
      </c>
      <c r="B90">
        <f>IFERROR(SMALL($A$2:$A$1365,89),"")</f>
        <v/>
      </c>
      <c r="C90">
        <f>IF(B90="","",IF('WSF DASHBOARD'!$B$4="Area",INDEX(MASTER_AREAS!$B:$B,B90+1),INDEX(MASTER_ZONES!$B:$B,B90+1)))</f>
        <v/>
      </c>
      <c r="F90">
        <f>IF('TRANSPORT DASHBOARD'!$B$4="Area",IF(89&lt;=$I$3,IF(OR('TRANSPORT DASHBOARD'!$C$4="",ISNUMBER(SEARCH('TRANSPORT DASHBOARD'!$C$4,INDEX(MASTER_AREAS!$B:$B,90)))),89,""),""),IF('TRANSPORT DASHBOARD'!$B$4="Zone",IF(89&lt;=$I$4,IF(OR('TRANSPORT DASHBOARD'!$C$4="",ISNUMBER(SEARCH('TRANSPORT DASHBOARD'!$C$4,INDEX(MASTER_ZONES!$B:$B,90)))),89,""),""),""))</f>
        <v/>
      </c>
      <c r="G90">
        <f>IFERROR(SMALL($F$2:$F$1365,89),"")</f>
        <v/>
      </c>
      <c r="H90">
        <f>IF(G90="","",IF('TRANSPORT DASHBOARD'!$B$4="Area",INDEX(MASTER_AREAS!$B:$B,G90+1),INDEX(MASTER_ZONES!$B:$B,G90+1)))</f>
        <v/>
      </c>
    </row>
    <row r="91">
      <c r="A91">
        <f>IF('WSF DASHBOARD'!$B$4="Area",IF(90&lt;=$D$3,IF(OR('WSF DASHBOARD'!$C$4="",ISNUMBER(SEARCH('WSF DASHBOARD'!$C$4,INDEX(MASTER_AREAS!$B:$B,91)))),90,""),""),IF('WSF DASHBOARD'!$B$4="Zone",IF(90&lt;=$D$4,IF(OR('WSF DASHBOARD'!$C$4="",ISNUMBER(SEARCH('WSF DASHBOARD'!$C$4,INDEX(MASTER_ZONES!$B:$B,91)))),90,""),""),""))</f>
        <v/>
      </c>
      <c r="B91">
        <f>IFERROR(SMALL($A$2:$A$1365,90),"")</f>
        <v/>
      </c>
      <c r="C91">
        <f>IF(B91="","",IF('WSF DASHBOARD'!$B$4="Area",INDEX(MASTER_AREAS!$B:$B,B91+1),INDEX(MASTER_ZONES!$B:$B,B91+1)))</f>
        <v/>
      </c>
      <c r="F91">
        <f>IF('TRANSPORT DASHBOARD'!$B$4="Area",IF(90&lt;=$I$3,IF(OR('TRANSPORT DASHBOARD'!$C$4="",ISNUMBER(SEARCH('TRANSPORT DASHBOARD'!$C$4,INDEX(MASTER_AREAS!$B:$B,91)))),90,""),""),IF('TRANSPORT DASHBOARD'!$B$4="Zone",IF(90&lt;=$I$4,IF(OR('TRANSPORT DASHBOARD'!$C$4="",ISNUMBER(SEARCH('TRANSPORT DASHBOARD'!$C$4,INDEX(MASTER_ZONES!$B:$B,91)))),90,""),""),""))</f>
        <v/>
      </c>
      <c r="G91">
        <f>IFERROR(SMALL($F$2:$F$1365,90),"")</f>
        <v/>
      </c>
      <c r="H91">
        <f>IF(G91="","",IF('TRANSPORT DASHBOARD'!$B$4="Area",INDEX(MASTER_AREAS!$B:$B,G91+1),INDEX(MASTER_ZONES!$B:$B,G91+1)))</f>
        <v/>
      </c>
    </row>
    <row r="92">
      <c r="A92">
        <f>IF('WSF DASHBOARD'!$B$4="Area",IF(91&lt;=$D$3,IF(OR('WSF DASHBOARD'!$C$4="",ISNUMBER(SEARCH('WSF DASHBOARD'!$C$4,INDEX(MASTER_AREAS!$B:$B,92)))),91,""),""),IF('WSF DASHBOARD'!$B$4="Zone",IF(91&lt;=$D$4,IF(OR('WSF DASHBOARD'!$C$4="",ISNUMBER(SEARCH('WSF DASHBOARD'!$C$4,INDEX(MASTER_ZONES!$B:$B,92)))),91,""),""),""))</f>
        <v/>
      </c>
      <c r="B92">
        <f>IFERROR(SMALL($A$2:$A$1365,91),"")</f>
        <v/>
      </c>
      <c r="C92">
        <f>IF(B92="","",IF('WSF DASHBOARD'!$B$4="Area",INDEX(MASTER_AREAS!$B:$B,B92+1),INDEX(MASTER_ZONES!$B:$B,B92+1)))</f>
        <v/>
      </c>
      <c r="F92">
        <f>IF('TRANSPORT DASHBOARD'!$B$4="Area",IF(91&lt;=$I$3,IF(OR('TRANSPORT DASHBOARD'!$C$4="",ISNUMBER(SEARCH('TRANSPORT DASHBOARD'!$C$4,INDEX(MASTER_AREAS!$B:$B,92)))),91,""),""),IF('TRANSPORT DASHBOARD'!$B$4="Zone",IF(91&lt;=$I$4,IF(OR('TRANSPORT DASHBOARD'!$C$4="",ISNUMBER(SEARCH('TRANSPORT DASHBOARD'!$C$4,INDEX(MASTER_ZONES!$B:$B,92)))),91,""),""),""))</f>
        <v/>
      </c>
      <c r="G92">
        <f>IFERROR(SMALL($F$2:$F$1365,91),"")</f>
        <v/>
      </c>
      <c r="H92">
        <f>IF(G92="","",IF('TRANSPORT DASHBOARD'!$B$4="Area",INDEX(MASTER_AREAS!$B:$B,G92+1),INDEX(MASTER_ZONES!$B:$B,G92+1)))</f>
        <v/>
      </c>
    </row>
    <row r="93">
      <c r="A93">
        <f>IF('WSF DASHBOARD'!$B$4="Area",IF(92&lt;=$D$3,IF(OR('WSF DASHBOARD'!$C$4="",ISNUMBER(SEARCH('WSF DASHBOARD'!$C$4,INDEX(MASTER_AREAS!$B:$B,93)))),92,""),""),IF('WSF DASHBOARD'!$B$4="Zone",IF(92&lt;=$D$4,IF(OR('WSF DASHBOARD'!$C$4="",ISNUMBER(SEARCH('WSF DASHBOARD'!$C$4,INDEX(MASTER_ZONES!$B:$B,93)))),92,""),""),""))</f>
        <v/>
      </c>
      <c r="B93">
        <f>IFERROR(SMALL($A$2:$A$1365,92),"")</f>
        <v/>
      </c>
      <c r="C93">
        <f>IF(B93="","",IF('WSF DASHBOARD'!$B$4="Area",INDEX(MASTER_AREAS!$B:$B,B93+1),INDEX(MASTER_ZONES!$B:$B,B93+1)))</f>
        <v/>
      </c>
      <c r="F93">
        <f>IF('TRANSPORT DASHBOARD'!$B$4="Area",IF(92&lt;=$I$3,IF(OR('TRANSPORT DASHBOARD'!$C$4="",ISNUMBER(SEARCH('TRANSPORT DASHBOARD'!$C$4,INDEX(MASTER_AREAS!$B:$B,93)))),92,""),""),IF('TRANSPORT DASHBOARD'!$B$4="Zone",IF(92&lt;=$I$4,IF(OR('TRANSPORT DASHBOARD'!$C$4="",ISNUMBER(SEARCH('TRANSPORT DASHBOARD'!$C$4,INDEX(MASTER_ZONES!$B:$B,93)))),92,""),""),""))</f>
        <v/>
      </c>
      <c r="G93">
        <f>IFERROR(SMALL($F$2:$F$1365,92),"")</f>
        <v/>
      </c>
      <c r="H93">
        <f>IF(G93="","",IF('TRANSPORT DASHBOARD'!$B$4="Area",INDEX(MASTER_AREAS!$B:$B,G93+1),INDEX(MASTER_ZONES!$B:$B,G93+1)))</f>
        <v/>
      </c>
    </row>
    <row r="94">
      <c r="A94">
        <f>IF('WSF DASHBOARD'!$B$4="Area",IF(93&lt;=$D$3,IF(OR('WSF DASHBOARD'!$C$4="",ISNUMBER(SEARCH('WSF DASHBOARD'!$C$4,INDEX(MASTER_AREAS!$B:$B,94)))),93,""),""),IF('WSF DASHBOARD'!$B$4="Zone",IF(93&lt;=$D$4,IF(OR('WSF DASHBOARD'!$C$4="",ISNUMBER(SEARCH('WSF DASHBOARD'!$C$4,INDEX(MASTER_ZONES!$B:$B,94)))),93,""),""),""))</f>
        <v/>
      </c>
      <c r="B94">
        <f>IFERROR(SMALL($A$2:$A$1365,93),"")</f>
        <v/>
      </c>
      <c r="C94">
        <f>IF(B94="","",IF('WSF DASHBOARD'!$B$4="Area",INDEX(MASTER_AREAS!$B:$B,B94+1),INDEX(MASTER_ZONES!$B:$B,B94+1)))</f>
        <v/>
      </c>
      <c r="F94">
        <f>IF('TRANSPORT DASHBOARD'!$B$4="Area",IF(93&lt;=$I$3,IF(OR('TRANSPORT DASHBOARD'!$C$4="",ISNUMBER(SEARCH('TRANSPORT DASHBOARD'!$C$4,INDEX(MASTER_AREAS!$B:$B,94)))),93,""),""),IF('TRANSPORT DASHBOARD'!$B$4="Zone",IF(93&lt;=$I$4,IF(OR('TRANSPORT DASHBOARD'!$C$4="",ISNUMBER(SEARCH('TRANSPORT DASHBOARD'!$C$4,INDEX(MASTER_ZONES!$B:$B,94)))),93,""),""),""))</f>
        <v/>
      </c>
      <c r="G94">
        <f>IFERROR(SMALL($F$2:$F$1365,93),"")</f>
        <v/>
      </c>
      <c r="H94">
        <f>IF(G94="","",IF('TRANSPORT DASHBOARD'!$B$4="Area",INDEX(MASTER_AREAS!$B:$B,G94+1),INDEX(MASTER_ZONES!$B:$B,G94+1)))</f>
        <v/>
      </c>
    </row>
    <row r="95">
      <c r="A95">
        <f>IF('WSF DASHBOARD'!$B$4="Area",IF(94&lt;=$D$3,IF(OR('WSF DASHBOARD'!$C$4="",ISNUMBER(SEARCH('WSF DASHBOARD'!$C$4,INDEX(MASTER_AREAS!$B:$B,95)))),94,""),""),IF('WSF DASHBOARD'!$B$4="Zone",IF(94&lt;=$D$4,IF(OR('WSF DASHBOARD'!$C$4="",ISNUMBER(SEARCH('WSF DASHBOARD'!$C$4,INDEX(MASTER_ZONES!$B:$B,95)))),94,""),""),""))</f>
        <v/>
      </c>
      <c r="B95">
        <f>IFERROR(SMALL($A$2:$A$1365,94),"")</f>
        <v/>
      </c>
      <c r="C95">
        <f>IF(B95="","",IF('WSF DASHBOARD'!$B$4="Area",INDEX(MASTER_AREAS!$B:$B,B95+1),INDEX(MASTER_ZONES!$B:$B,B95+1)))</f>
        <v/>
      </c>
      <c r="F95">
        <f>IF('TRANSPORT DASHBOARD'!$B$4="Area",IF(94&lt;=$I$3,IF(OR('TRANSPORT DASHBOARD'!$C$4="",ISNUMBER(SEARCH('TRANSPORT DASHBOARD'!$C$4,INDEX(MASTER_AREAS!$B:$B,95)))),94,""),""),IF('TRANSPORT DASHBOARD'!$B$4="Zone",IF(94&lt;=$I$4,IF(OR('TRANSPORT DASHBOARD'!$C$4="",ISNUMBER(SEARCH('TRANSPORT DASHBOARD'!$C$4,INDEX(MASTER_ZONES!$B:$B,95)))),94,""),""),""))</f>
        <v/>
      </c>
      <c r="G95">
        <f>IFERROR(SMALL($F$2:$F$1365,94),"")</f>
        <v/>
      </c>
      <c r="H95">
        <f>IF(G95="","",IF('TRANSPORT DASHBOARD'!$B$4="Area",INDEX(MASTER_AREAS!$B:$B,G95+1),INDEX(MASTER_ZONES!$B:$B,G95+1)))</f>
        <v/>
      </c>
    </row>
    <row r="96">
      <c r="A96">
        <f>IF('WSF DASHBOARD'!$B$4="Area",IF(95&lt;=$D$3,IF(OR('WSF DASHBOARD'!$C$4="",ISNUMBER(SEARCH('WSF DASHBOARD'!$C$4,INDEX(MASTER_AREAS!$B:$B,96)))),95,""),""),IF('WSF DASHBOARD'!$B$4="Zone",IF(95&lt;=$D$4,IF(OR('WSF DASHBOARD'!$C$4="",ISNUMBER(SEARCH('WSF DASHBOARD'!$C$4,INDEX(MASTER_ZONES!$B:$B,96)))),95,""),""),""))</f>
        <v/>
      </c>
      <c r="B96">
        <f>IFERROR(SMALL($A$2:$A$1365,95),"")</f>
        <v/>
      </c>
      <c r="C96">
        <f>IF(B96="","",IF('WSF DASHBOARD'!$B$4="Area",INDEX(MASTER_AREAS!$B:$B,B96+1),INDEX(MASTER_ZONES!$B:$B,B96+1)))</f>
        <v/>
      </c>
      <c r="F96">
        <f>IF('TRANSPORT DASHBOARD'!$B$4="Area",IF(95&lt;=$I$3,IF(OR('TRANSPORT DASHBOARD'!$C$4="",ISNUMBER(SEARCH('TRANSPORT DASHBOARD'!$C$4,INDEX(MASTER_AREAS!$B:$B,96)))),95,""),""),IF('TRANSPORT DASHBOARD'!$B$4="Zone",IF(95&lt;=$I$4,IF(OR('TRANSPORT DASHBOARD'!$C$4="",ISNUMBER(SEARCH('TRANSPORT DASHBOARD'!$C$4,INDEX(MASTER_ZONES!$B:$B,96)))),95,""),""),""))</f>
        <v/>
      </c>
      <c r="G96">
        <f>IFERROR(SMALL($F$2:$F$1365,95),"")</f>
        <v/>
      </c>
      <c r="H96">
        <f>IF(G96="","",IF('TRANSPORT DASHBOARD'!$B$4="Area",INDEX(MASTER_AREAS!$B:$B,G96+1),INDEX(MASTER_ZONES!$B:$B,G96+1)))</f>
        <v/>
      </c>
    </row>
    <row r="97">
      <c r="A97">
        <f>IF('WSF DASHBOARD'!$B$4="Area",IF(96&lt;=$D$3,IF(OR('WSF DASHBOARD'!$C$4="",ISNUMBER(SEARCH('WSF DASHBOARD'!$C$4,INDEX(MASTER_AREAS!$B:$B,97)))),96,""),""),IF('WSF DASHBOARD'!$B$4="Zone",IF(96&lt;=$D$4,IF(OR('WSF DASHBOARD'!$C$4="",ISNUMBER(SEARCH('WSF DASHBOARD'!$C$4,INDEX(MASTER_ZONES!$B:$B,97)))),96,""),""),""))</f>
        <v/>
      </c>
      <c r="B97">
        <f>IFERROR(SMALL($A$2:$A$1365,96),"")</f>
        <v/>
      </c>
      <c r="C97">
        <f>IF(B97="","",IF('WSF DASHBOARD'!$B$4="Area",INDEX(MASTER_AREAS!$B:$B,B97+1),INDEX(MASTER_ZONES!$B:$B,B97+1)))</f>
        <v/>
      </c>
      <c r="F97">
        <f>IF('TRANSPORT DASHBOARD'!$B$4="Area",IF(96&lt;=$I$3,IF(OR('TRANSPORT DASHBOARD'!$C$4="",ISNUMBER(SEARCH('TRANSPORT DASHBOARD'!$C$4,INDEX(MASTER_AREAS!$B:$B,97)))),96,""),""),IF('TRANSPORT DASHBOARD'!$B$4="Zone",IF(96&lt;=$I$4,IF(OR('TRANSPORT DASHBOARD'!$C$4="",ISNUMBER(SEARCH('TRANSPORT DASHBOARD'!$C$4,INDEX(MASTER_ZONES!$B:$B,97)))),96,""),""),""))</f>
        <v/>
      </c>
      <c r="G97">
        <f>IFERROR(SMALL($F$2:$F$1365,96),"")</f>
        <v/>
      </c>
      <c r="H97">
        <f>IF(G97="","",IF('TRANSPORT DASHBOARD'!$B$4="Area",INDEX(MASTER_AREAS!$B:$B,G97+1),INDEX(MASTER_ZONES!$B:$B,G97+1)))</f>
        <v/>
      </c>
    </row>
    <row r="98">
      <c r="A98">
        <f>IF('WSF DASHBOARD'!$B$4="Area",IF(97&lt;=$D$3,IF(OR('WSF DASHBOARD'!$C$4="",ISNUMBER(SEARCH('WSF DASHBOARD'!$C$4,INDEX(MASTER_AREAS!$B:$B,98)))),97,""),""),IF('WSF DASHBOARD'!$B$4="Zone",IF(97&lt;=$D$4,IF(OR('WSF DASHBOARD'!$C$4="",ISNUMBER(SEARCH('WSF DASHBOARD'!$C$4,INDEX(MASTER_ZONES!$B:$B,98)))),97,""),""),""))</f>
        <v/>
      </c>
      <c r="B98">
        <f>IFERROR(SMALL($A$2:$A$1365,97),"")</f>
        <v/>
      </c>
      <c r="C98">
        <f>IF(B98="","",IF('WSF DASHBOARD'!$B$4="Area",INDEX(MASTER_AREAS!$B:$B,B98+1),INDEX(MASTER_ZONES!$B:$B,B98+1)))</f>
        <v/>
      </c>
      <c r="F98">
        <f>IF('TRANSPORT DASHBOARD'!$B$4="Area",IF(97&lt;=$I$3,IF(OR('TRANSPORT DASHBOARD'!$C$4="",ISNUMBER(SEARCH('TRANSPORT DASHBOARD'!$C$4,INDEX(MASTER_AREAS!$B:$B,98)))),97,""),""),IF('TRANSPORT DASHBOARD'!$B$4="Zone",IF(97&lt;=$I$4,IF(OR('TRANSPORT DASHBOARD'!$C$4="",ISNUMBER(SEARCH('TRANSPORT DASHBOARD'!$C$4,INDEX(MASTER_ZONES!$B:$B,98)))),97,""),""),""))</f>
        <v/>
      </c>
      <c r="G98">
        <f>IFERROR(SMALL($F$2:$F$1365,97),"")</f>
        <v/>
      </c>
      <c r="H98">
        <f>IF(G98="","",IF('TRANSPORT DASHBOARD'!$B$4="Area",INDEX(MASTER_AREAS!$B:$B,G98+1),INDEX(MASTER_ZONES!$B:$B,G98+1)))</f>
        <v/>
      </c>
    </row>
    <row r="99">
      <c r="A99">
        <f>IF('WSF DASHBOARD'!$B$4="Area",IF(98&lt;=$D$3,IF(OR('WSF DASHBOARD'!$C$4="",ISNUMBER(SEARCH('WSF DASHBOARD'!$C$4,INDEX(MASTER_AREAS!$B:$B,99)))),98,""),""),IF('WSF DASHBOARD'!$B$4="Zone",IF(98&lt;=$D$4,IF(OR('WSF DASHBOARD'!$C$4="",ISNUMBER(SEARCH('WSF DASHBOARD'!$C$4,INDEX(MASTER_ZONES!$B:$B,99)))),98,""),""),""))</f>
        <v/>
      </c>
      <c r="B99">
        <f>IFERROR(SMALL($A$2:$A$1365,98),"")</f>
        <v/>
      </c>
      <c r="C99">
        <f>IF(B99="","",IF('WSF DASHBOARD'!$B$4="Area",INDEX(MASTER_AREAS!$B:$B,B99+1),INDEX(MASTER_ZONES!$B:$B,B99+1)))</f>
        <v/>
      </c>
      <c r="F99">
        <f>IF('TRANSPORT DASHBOARD'!$B$4="Area",IF(98&lt;=$I$3,IF(OR('TRANSPORT DASHBOARD'!$C$4="",ISNUMBER(SEARCH('TRANSPORT DASHBOARD'!$C$4,INDEX(MASTER_AREAS!$B:$B,99)))),98,""),""),IF('TRANSPORT DASHBOARD'!$B$4="Zone",IF(98&lt;=$I$4,IF(OR('TRANSPORT DASHBOARD'!$C$4="",ISNUMBER(SEARCH('TRANSPORT DASHBOARD'!$C$4,INDEX(MASTER_ZONES!$B:$B,99)))),98,""),""),""))</f>
        <v/>
      </c>
      <c r="G99">
        <f>IFERROR(SMALL($F$2:$F$1365,98),"")</f>
        <v/>
      </c>
      <c r="H99">
        <f>IF(G99="","",IF('TRANSPORT DASHBOARD'!$B$4="Area",INDEX(MASTER_AREAS!$B:$B,G99+1),INDEX(MASTER_ZONES!$B:$B,G99+1)))</f>
        <v/>
      </c>
    </row>
    <row r="100">
      <c r="A100">
        <f>IF('WSF DASHBOARD'!$B$4="Area",IF(99&lt;=$D$3,IF(OR('WSF DASHBOARD'!$C$4="",ISNUMBER(SEARCH('WSF DASHBOARD'!$C$4,INDEX(MASTER_AREAS!$B:$B,100)))),99,""),""),IF('WSF DASHBOARD'!$B$4="Zone",IF(99&lt;=$D$4,IF(OR('WSF DASHBOARD'!$C$4="",ISNUMBER(SEARCH('WSF DASHBOARD'!$C$4,INDEX(MASTER_ZONES!$B:$B,100)))),99,""),""),""))</f>
        <v/>
      </c>
      <c r="B100">
        <f>IFERROR(SMALL($A$2:$A$1365,99),"")</f>
        <v/>
      </c>
      <c r="C100">
        <f>IF(B100="","",IF('WSF DASHBOARD'!$B$4="Area",INDEX(MASTER_AREAS!$B:$B,B100+1),INDEX(MASTER_ZONES!$B:$B,B100+1)))</f>
        <v/>
      </c>
      <c r="F100">
        <f>IF('TRANSPORT DASHBOARD'!$B$4="Area",IF(99&lt;=$I$3,IF(OR('TRANSPORT DASHBOARD'!$C$4="",ISNUMBER(SEARCH('TRANSPORT DASHBOARD'!$C$4,INDEX(MASTER_AREAS!$B:$B,100)))),99,""),""),IF('TRANSPORT DASHBOARD'!$B$4="Zone",IF(99&lt;=$I$4,IF(OR('TRANSPORT DASHBOARD'!$C$4="",ISNUMBER(SEARCH('TRANSPORT DASHBOARD'!$C$4,INDEX(MASTER_ZONES!$B:$B,100)))),99,""),""),""))</f>
        <v/>
      </c>
      <c r="G100">
        <f>IFERROR(SMALL($F$2:$F$1365,99),"")</f>
        <v/>
      </c>
      <c r="H100">
        <f>IF(G100="","",IF('TRANSPORT DASHBOARD'!$B$4="Area",INDEX(MASTER_AREAS!$B:$B,G100+1),INDEX(MASTER_ZONES!$B:$B,G100+1)))</f>
        <v/>
      </c>
    </row>
    <row r="101">
      <c r="A101">
        <f>IF('WSF DASHBOARD'!$B$4="Area",IF(100&lt;=$D$3,IF(OR('WSF DASHBOARD'!$C$4="",ISNUMBER(SEARCH('WSF DASHBOARD'!$C$4,INDEX(MASTER_AREAS!$B:$B,101)))),100,""),""),IF('WSF DASHBOARD'!$B$4="Zone",IF(100&lt;=$D$4,IF(OR('WSF DASHBOARD'!$C$4="",ISNUMBER(SEARCH('WSF DASHBOARD'!$C$4,INDEX(MASTER_ZONES!$B:$B,101)))),100,""),""),""))</f>
        <v/>
      </c>
      <c r="B101">
        <f>IFERROR(SMALL($A$2:$A$1365,100),"")</f>
        <v/>
      </c>
      <c r="C101">
        <f>IF(B101="","",IF('WSF DASHBOARD'!$B$4="Area",INDEX(MASTER_AREAS!$B:$B,B101+1),INDEX(MASTER_ZONES!$B:$B,B101+1)))</f>
        <v/>
      </c>
      <c r="F101">
        <f>IF('TRANSPORT DASHBOARD'!$B$4="Area",IF(100&lt;=$I$3,IF(OR('TRANSPORT DASHBOARD'!$C$4="",ISNUMBER(SEARCH('TRANSPORT DASHBOARD'!$C$4,INDEX(MASTER_AREAS!$B:$B,101)))),100,""),""),IF('TRANSPORT DASHBOARD'!$B$4="Zone",IF(100&lt;=$I$4,IF(OR('TRANSPORT DASHBOARD'!$C$4="",ISNUMBER(SEARCH('TRANSPORT DASHBOARD'!$C$4,INDEX(MASTER_ZONES!$B:$B,101)))),100,""),""),""))</f>
        <v/>
      </c>
      <c r="G101">
        <f>IFERROR(SMALL($F$2:$F$1365,100),"")</f>
        <v/>
      </c>
      <c r="H101">
        <f>IF(G101="","",IF('TRANSPORT DASHBOARD'!$B$4="Area",INDEX(MASTER_AREAS!$B:$B,G101+1),INDEX(MASTER_ZONES!$B:$B,G101+1)))</f>
        <v/>
      </c>
    </row>
    <row r="102">
      <c r="A102">
        <f>IF('WSF DASHBOARD'!$B$4="Area",IF(101&lt;=$D$3,IF(OR('WSF DASHBOARD'!$C$4="",ISNUMBER(SEARCH('WSF DASHBOARD'!$C$4,INDEX(MASTER_AREAS!$B:$B,102)))),101,""),""),IF('WSF DASHBOARD'!$B$4="Zone",IF(101&lt;=$D$4,IF(OR('WSF DASHBOARD'!$C$4="",ISNUMBER(SEARCH('WSF DASHBOARD'!$C$4,INDEX(MASTER_ZONES!$B:$B,102)))),101,""),""),""))</f>
        <v/>
      </c>
      <c r="B102">
        <f>IFERROR(SMALL($A$2:$A$1365,101),"")</f>
        <v/>
      </c>
      <c r="C102">
        <f>IF(B102="","",IF('WSF DASHBOARD'!$B$4="Area",INDEX(MASTER_AREAS!$B:$B,B102+1),INDEX(MASTER_ZONES!$B:$B,B102+1)))</f>
        <v/>
      </c>
      <c r="F102">
        <f>IF('TRANSPORT DASHBOARD'!$B$4="Area",IF(101&lt;=$I$3,IF(OR('TRANSPORT DASHBOARD'!$C$4="",ISNUMBER(SEARCH('TRANSPORT DASHBOARD'!$C$4,INDEX(MASTER_AREAS!$B:$B,102)))),101,""),""),IF('TRANSPORT DASHBOARD'!$B$4="Zone",IF(101&lt;=$I$4,IF(OR('TRANSPORT DASHBOARD'!$C$4="",ISNUMBER(SEARCH('TRANSPORT DASHBOARD'!$C$4,INDEX(MASTER_ZONES!$B:$B,102)))),101,""),""),""))</f>
        <v/>
      </c>
      <c r="G102">
        <f>IFERROR(SMALL($F$2:$F$1365,101),"")</f>
        <v/>
      </c>
      <c r="H102">
        <f>IF(G102="","",IF('TRANSPORT DASHBOARD'!$B$4="Area",INDEX(MASTER_AREAS!$B:$B,G102+1),INDEX(MASTER_ZONES!$B:$B,G102+1)))</f>
        <v/>
      </c>
    </row>
    <row r="103">
      <c r="A103">
        <f>IF('WSF DASHBOARD'!$B$4="Area",IF(102&lt;=$D$3,IF(OR('WSF DASHBOARD'!$C$4="",ISNUMBER(SEARCH('WSF DASHBOARD'!$C$4,INDEX(MASTER_AREAS!$B:$B,103)))),102,""),""),IF('WSF DASHBOARD'!$B$4="Zone",IF(102&lt;=$D$4,IF(OR('WSF DASHBOARD'!$C$4="",ISNUMBER(SEARCH('WSF DASHBOARD'!$C$4,INDEX(MASTER_ZONES!$B:$B,103)))),102,""),""),""))</f>
        <v/>
      </c>
      <c r="B103">
        <f>IFERROR(SMALL($A$2:$A$1365,102),"")</f>
        <v/>
      </c>
      <c r="C103">
        <f>IF(B103="","",IF('WSF DASHBOARD'!$B$4="Area",INDEX(MASTER_AREAS!$B:$B,B103+1),INDEX(MASTER_ZONES!$B:$B,B103+1)))</f>
        <v/>
      </c>
      <c r="F103">
        <f>IF('TRANSPORT DASHBOARD'!$B$4="Area",IF(102&lt;=$I$3,IF(OR('TRANSPORT DASHBOARD'!$C$4="",ISNUMBER(SEARCH('TRANSPORT DASHBOARD'!$C$4,INDEX(MASTER_AREAS!$B:$B,103)))),102,""),""),IF('TRANSPORT DASHBOARD'!$B$4="Zone",IF(102&lt;=$I$4,IF(OR('TRANSPORT DASHBOARD'!$C$4="",ISNUMBER(SEARCH('TRANSPORT DASHBOARD'!$C$4,INDEX(MASTER_ZONES!$B:$B,103)))),102,""),""),""))</f>
        <v/>
      </c>
      <c r="G103">
        <f>IFERROR(SMALL($F$2:$F$1365,102),"")</f>
        <v/>
      </c>
      <c r="H103">
        <f>IF(G103="","",IF('TRANSPORT DASHBOARD'!$B$4="Area",INDEX(MASTER_AREAS!$B:$B,G103+1),INDEX(MASTER_ZONES!$B:$B,G103+1)))</f>
        <v/>
      </c>
    </row>
    <row r="104">
      <c r="A104">
        <f>IF('WSF DASHBOARD'!$B$4="Area",IF(103&lt;=$D$3,IF(OR('WSF DASHBOARD'!$C$4="",ISNUMBER(SEARCH('WSF DASHBOARD'!$C$4,INDEX(MASTER_AREAS!$B:$B,104)))),103,""),""),IF('WSF DASHBOARD'!$B$4="Zone",IF(103&lt;=$D$4,IF(OR('WSF DASHBOARD'!$C$4="",ISNUMBER(SEARCH('WSF DASHBOARD'!$C$4,INDEX(MASTER_ZONES!$B:$B,104)))),103,""),""),""))</f>
        <v/>
      </c>
      <c r="B104">
        <f>IFERROR(SMALL($A$2:$A$1365,103),"")</f>
        <v/>
      </c>
      <c r="C104">
        <f>IF(B104="","",IF('WSF DASHBOARD'!$B$4="Area",INDEX(MASTER_AREAS!$B:$B,B104+1),INDEX(MASTER_ZONES!$B:$B,B104+1)))</f>
        <v/>
      </c>
      <c r="F104">
        <f>IF('TRANSPORT DASHBOARD'!$B$4="Area",IF(103&lt;=$I$3,IF(OR('TRANSPORT DASHBOARD'!$C$4="",ISNUMBER(SEARCH('TRANSPORT DASHBOARD'!$C$4,INDEX(MASTER_AREAS!$B:$B,104)))),103,""),""),IF('TRANSPORT DASHBOARD'!$B$4="Zone",IF(103&lt;=$I$4,IF(OR('TRANSPORT DASHBOARD'!$C$4="",ISNUMBER(SEARCH('TRANSPORT DASHBOARD'!$C$4,INDEX(MASTER_ZONES!$B:$B,104)))),103,""),""),""))</f>
        <v/>
      </c>
      <c r="G104">
        <f>IFERROR(SMALL($F$2:$F$1365,103),"")</f>
        <v/>
      </c>
      <c r="H104">
        <f>IF(G104="","",IF('TRANSPORT DASHBOARD'!$B$4="Area",INDEX(MASTER_AREAS!$B:$B,G104+1),INDEX(MASTER_ZONES!$B:$B,G104+1)))</f>
        <v/>
      </c>
    </row>
    <row r="105">
      <c r="A105">
        <f>IF('WSF DASHBOARD'!$B$4="Area",IF(104&lt;=$D$3,IF(OR('WSF DASHBOARD'!$C$4="",ISNUMBER(SEARCH('WSF DASHBOARD'!$C$4,INDEX(MASTER_AREAS!$B:$B,105)))),104,""),""),IF('WSF DASHBOARD'!$B$4="Zone",IF(104&lt;=$D$4,IF(OR('WSF DASHBOARD'!$C$4="",ISNUMBER(SEARCH('WSF DASHBOARD'!$C$4,INDEX(MASTER_ZONES!$B:$B,105)))),104,""),""),""))</f>
        <v/>
      </c>
      <c r="B105">
        <f>IFERROR(SMALL($A$2:$A$1365,104),"")</f>
        <v/>
      </c>
      <c r="C105">
        <f>IF(B105="","",IF('WSF DASHBOARD'!$B$4="Area",INDEX(MASTER_AREAS!$B:$B,B105+1),INDEX(MASTER_ZONES!$B:$B,B105+1)))</f>
        <v/>
      </c>
      <c r="F105">
        <f>IF('TRANSPORT DASHBOARD'!$B$4="Area",IF(104&lt;=$I$3,IF(OR('TRANSPORT DASHBOARD'!$C$4="",ISNUMBER(SEARCH('TRANSPORT DASHBOARD'!$C$4,INDEX(MASTER_AREAS!$B:$B,105)))),104,""),""),IF('TRANSPORT DASHBOARD'!$B$4="Zone",IF(104&lt;=$I$4,IF(OR('TRANSPORT DASHBOARD'!$C$4="",ISNUMBER(SEARCH('TRANSPORT DASHBOARD'!$C$4,INDEX(MASTER_ZONES!$B:$B,105)))),104,""),""),""))</f>
        <v/>
      </c>
      <c r="G105">
        <f>IFERROR(SMALL($F$2:$F$1365,104),"")</f>
        <v/>
      </c>
      <c r="H105">
        <f>IF(G105="","",IF('TRANSPORT DASHBOARD'!$B$4="Area",INDEX(MASTER_AREAS!$B:$B,G105+1),INDEX(MASTER_ZONES!$B:$B,G105+1)))</f>
        <v/>
      </c>
    </row>
    <row r="106">
      <c r="A106">
        <f>IF('WSF DASHBOARD'!$B$4="Area",IF(105&lt;=$D$3,IF(OR('WSF DASHBOARD'!$C$4="",ISNUMBER(SEARCH('WSF DASHBOARD'!$C$4,INDEX(MASTER_AREAS!$B:$B,106)))),105,""),""),IF('WSF DASHBOARD'!$B$4="Zone",IF(105&lt;=$D$4,IF(OR('WSF DASHBOARD'!$C$4="",ISNUMBER(SEARCH('WSF DASHBOARD'!$C$4,INDEX(MASTER_ZONES!$B:$B,106)))),105,""),""),""))</f>
        <v/>
      </c>
      <c r="B106">
        <f>IFERROR(SMALL($A$2:$A$1365,105),"")</f>
        <v/>
      </c>
      <c r="C106">
        <f>IF(B106="","",IF('WSF DASHBOARD'!$B$4="Area",INDEX(MASTER_AREAS!$B:$B,B106+1),INDEX(MASTER_ZONES!$B:$B,B106+1)))</f>
        <v/>
      </c>
      <c r="F106">
        <f>IF('TRANSPORT DASHBOARD'!$B$4="Area",IF(105&lt;=$I$3,IF(OR('TRANSPORT DASHBOARD'!$C$4="",ISNUMBER(SEARCH('TRANSPORT DASHBOARD'!$C$4,INDEX(MASTER_AREAS!$B:$B,106)))),105,""),""),IF('TRANSPORT DASHBOARD'!$B$4="Zone",IF(105&lt;=$I$4,IF(OR('TRANSPORT DASHBOARD'!$C$4="",ISNUMBER(SEARCH('TRANSPORT DASHBOARD'!$C$4,INDEX(MASTER_ZONES!$B:$B,106)))),105,""),""),""))</f>
        <v/>
      </c>
      <c r="G106">
        <f>IFERROR(SMALL($F$2:$F$1365,105),"")</f>
        <v/>
      </c>
      <c r="H106">
        <f>IF(G106="","",IF('TRANSPORT DASHBOARD'!$B$4="Area",INDEX(MASTER_AREAS!$B:$B,G106+1),INDEX(MASTER_ZONES!$B:$B,G106+1)))</f>
        <v/>
      </c>
    </row>
    <row r="107">
      <c r="A107">
        <f>IF('WSF DASHBOARD'!$B$4="Area",IF(106&lt;=$D$3,IF(OR('WSF DASHBOARD'!$C$4="",ISNUMBER(SEARCH('WSF DASHBOARD'!$C$4,INDEX(MASTER_AREAS!$B:$B,107)))),106,""),""),IF('WSF DASHBOARD'!$B$4="Zone",IF(106&lt;=$D$4,IF(OR('WSF DASHBOARD'!$C$4="",ISNUMBER(SEARCH('WSF DASHBOARD'!$C$4,INDEX(MASTER_ZONES!$B:$B,107)))),106,""),""),""))</f>
        <v/>
      </c>
      <c r="B107">
        <f>IFERROR(SMALL($A$2:$A$1365,106),"")</f>
        <v/>
      </c>
      <c r="C107">
        <f>IF(B107="","",IF('WSF DASHBOARD'!$B$4="Area",INDEX(MASTER_AREAS!$B:$B,B107+1),INDEX(MASTER_ZONES!$B:$B,B107+1)))</f>
        <v/>
      </c>
      <c r="F107">
        <f>IF('TRANSPORT DASHBOARD'!$B$4="Area",IF(106&lt;=$I$3,IF(OR('TRANSPORT DASHBOARD'!$C$4="",ISNUMBER(SEARCH('TRANSPORT DASHBOARD'!$C$4,INDEX(MASTER_AREAS!$B:$B,107)))),106,""),""),IF('TRANSPORT DASHBOARD'!$B$4="Zone",IF(106&lt;=$I$4,IF(OR('TRANSPORT DASHBOARD'!$C$4="",ISNUMBER(SEARCH('TRANSPORT DASHBOARD'!$C$4,INDEX(MASTER_ZONES!$B:$B,107)))),106,""),""),""))</f>
        <v/>
      </c>
      <c r="G107">
        <f>IFERROR(SMALL($F$2:$F$1365,106),"")</f>
        <v/>
      </c>
      <c r="H107">
        <f>IF(G107="","",IF('TRANSPORT DASHBOARD'!$B$4="Area",INDEX(MASTER_AREAS!$B:$B,G107+1),INDEX(MASTER_ZONES!$B:$B,G107+1)))</f>
        <v/>
      </c>
    </row>
    <row r="108">
      <c r="A108">
        <f>IF('WSF DASHBOARD'!$B$4="Area",IF(107&lt;=$D$3,IF(OR('WSF DASHBOARD'!$C$4="",ISNUMBER(SEARCH('WSF DASHBOARD'!$C$4,INDEX(MASTER_AREAS!$B:$B,108)))),107,""),""),IF('WSF DASHBOARD'!$B$4="Zone",IF(107&lt;=$D$4,IF(OR('WSF DASHBOARD'!$C$4="",ISNUMBER(SEARCH('WSF DASHBOARD'!$C$4,INDEX(MASTER_ZONES!$B:$B,108)))),107,""),""),""))</f>
        <v/>
      </c>
      <c r="B108">
        <f>IFERROR(SMALL($A$2:$A$1365,107),"")</f>
        <v/>
      </c>
      <c r="C108">
        <f>IF(B108="","",IF('WSF DASHBOARD'!$B$4="Area",INDEX(MASTER_AREAS!$B:$B,B108+1),INDEX(MASTER_ZONES!$B:$B,B108+1)))</f>
        <v/>
      </c>
      <c r="F108">
        <f>IF('TRANSPORT DASHBOARD'!$B$4="Area",IF(107&lt;=$I$3,IF(OR('TRANSPORT DASHBOARD'!$C$4="",ISNUMBER(SEARCH('TRANSPORT DASHBOARD'!$C$4,INDEX(MASTER_AREAS!$B:$B,108)))),107,""),""),IF('TRANSPORT DASHBOARD'!$B$4="Zone",IF(107&lt;=$I$4,IF(OR('TRANSPORT DASHBOARD'!$C$4="",ISNUMBER(SEARCH('TRANSPORT DASHBOARD'!$C$4,INDEX(MASTER_ZONES!$B:$B,108)))),107,""),""),""))</f>
        <v/>
      </c>
      <c r="G108">
        <f>IFERROR(SMALL($F$2:$F$1365,107),"")</f>
        <v/>
      </c>
      <c r="H108">
        <f>IF(G108="","",IF('TRANSPORT DASHBOARD'!$B$4="Area",INDEX(MASTER_AREAS!$B:$B,G108+1),INDEX(MASTER_ZONES!$B:$B,G108+1)))</f>
        <v/>
      </c>
    </row>
    <row r="109">
      <c r="A109">
        <f>IF('WSF DASHBOARD'!$B$4="Area",IF(108&lt;=$D$3,IF(OR('WSF DASHBOARD'!$C$4="",ISNUMBER(SEARCH('WSF DASHBOARD'!$C$4,INDEX(MASTER_AREAS!$B:$B,109)))),108,""),""),IF('WSF DASHBOARD'!$B$4="Zone",IF(108&lt;=$D$4,IF(OR('WSF DASHBOARD'!$C$4="",ISNUMBER(SEARCH('WSF DASHBOARD'!$C$4,INDEX(MASTER_ZONES!$B:$B,109)))),108,""),""),""))</f>
        <v/>
      </c>
      <c r="B109">
        <f>IFERROR(SMALL($A$2:$A$1365,108),"")</f>
        <v/>
      </c>
      <c r="C109">
        <f>IF(B109="","",IF('WSF DASHBOARD'!$B$4="Area",INDEX(MASTER_AREAS!$B:$B,B109+1),INDEX(MASTER_ZONES!$B:$B,B109+1)))</f>
        <v/>
      </c>
      <c r="F109">
        <f>IF('TRANSPORT DASHBOARD'!$B$4="Area",IF(108&lt;=$I$3,IF(OR('TRANSPORT DASHBOARD'!$C$4="",ISNUMBER(SEARCH('TRANSPORT DASHBOARD'!$C$4,INDEX(MASTER_AREAS!$B:$B,109)))),108,""),""),IF('TRANSPORT DASHBOARD'!$B$4="Zone",IF(108&lt;=$I$4,IF(OR('TRANSPORT DASHBOARD'!$C$4="",ISNUMBER(SEARCH('TRANSPORT DASHBOARD'!$C$4,INDEX(MASTER_ZONES!$B:$B,109)))),108,""),""),""))</f>
        <v/>
      </c>
      <c r="G109">
        <f>IFERROR(SMALL($F$2:$F$1365,108),"")</f>
        <v/>
      </c>
      <c r="H109">
        <f>IF(G109="","",IF('TRANSPORT DASHBOARD'!$B$4="Area",INDEX(MASTER_AREAS!$B:$B,G109+1),INDEX(MASTER_ZONES!$B:$B,G109+1)))</f>
        <v/>
      </c>
    </row>
    <row r="110">
      <c r="A110">
        <f>IF('WSF DASHBOARD'!$B$4="Area",IF(109&lt;=$D$3,IF(OR('WSF DASHBOARD'!$C$4="",ISNUMBER(SEARCH('WSF DASHBOARD'!$C$4,INDEX(MASTER_AREAS!$B:$B,110)))),109,""),""),IF('WSF DASHBOARD'!$B$4="Zone",IF(109&lt;=$D$4,IF(OR('WSF DASHBOARD'!$C$4="",ISNUMBER(SEARCH('WSF DASHBOARD'!$C$4,INDEX(MASTER_ZONES!$B:$B,110)))),109,""),""),""))</f>
        <v/>
      </c>
      <c r="B110">
        <f>IFERROR(SMALL($A$2:$A$1365,109),"")</f>
        <v/>
      </c>
      <c r="C110">
        <f>IF(B110="","",IF('WSF DASHBOARD'!$B$4="Area",INDEX(MASTER_AREAS!$B:$B,B110+1),INDEX(MASTER_ZONES!$B:$B,B110+1)))</f>
        <v/>
      </c>
      <c r="F110">
        <f>IF('TRANSPORT DASHBOARD'!$B$4="Area",IF(109&lt;=$I$3,IF(OR('TRANSPORT DASHBOARD'!$C$4="",ISNUMBER(SEARCH('TRANSPORT DASHBOARD'!$C$4,INDEX(MASTER_AREAS!$B:$B,110)))),109,""),""),IF('TRANSPORT DASHBOARD'!$B$4="Zone",IF(109&lt;=$I$4,IF(OR('TRANSPORT DASHBOARD'!$C$4="",ISNUMBER(SEARCH('TRANSPORT DASHBOARD'!$C$4,INDEX(MASTER_ZONES!$B:$B,110)))),109,""),""),""))</f>
        <v/>
      </c>
      <c r="G110">
        <f>IFERROR(SMALL($F$2:$F$1365,109),"")</f>
        <v/>
      </c>
      <c r="H110">
        <f>IF(G110="","",IF('TRANSPORT DASHBOARD'!$B$4="Area",INDEX(MASTER_AREAS!$B:$B,G110+1),INDEX(MASTER_ZONES!$B:$B,G110+1)))</f>
        <v/>
      </c>
    </row>
    <row r="111">
      <c r="A111">
        <f>IF('WSF DASHBOARD'!$B$4="Area",IF(110&lt;=$D$3,IF(OR('WSF DASHBOARD'!$C$4="",ISNUMBER(SEARCH('WSF DASHBOARD'!$C$4,INDEX(MASTER_AREAS!$B:$B,111)))),110,""),""),IF('WSF DASHBOARD'!$B$4="Zone",IF(110&lt;=$D$4,IF(OR('WSF DASHBOARD'!$C$4="",ISNUMBER(SEARCH('WSF DASHBOARD'!$C$4,INDEX(MASTER_ZONES!$B:$B,111)))),110,""),""),""))</f>
        <v/>
      </c>
      <c r="B111">
        <f>IFERROR(SMALL($A$2:$A$1365,110),"")</f>
        <v/>
      </c>
      <c r="C111">
        <f>IF(B111="","",IF('WSF DASHBOARD'!$B$4="Area",INDEX(MASTER_AREAS!$B:$B,B111+1),INDEX(MASTER_ZONES!$B:$B,B111+1)))</f>
        <v/>
      </c>
      <c r="F111">
        <f>IF('TRANSPORT DASHBOARD'!$B$4="Area",IF(110&lt;=$I$3,IF(OR('TRANSPORT DASHBOARD'!$C$4="",ISNUMBER(SEARCH('TRANSPORT DASHBOARD'!$C$4,INDEX(MASTER_AREAS!$B:$B,111)))),110,""),""),IF('TRANSPORT DASHBOARD'!$B$4="Zone",IF(110&lt;=$I$4,IF(OR('TRANSPORT DASHBOARD'!$C$4="",ISNUMBER(SEARCH('TRANSPORT DASHBOARD'!$C$4,INDEX(MASTER_ZONES!$B:$B,111)))),110,""),""),""))</f>
        <v/>
      </c>
      <c r="G111">
        <f>IFERROR(SMALL($F$2:$F$1365,110),"")</f>
        <v/>
      </c>
      <c r="H111">
        <f>IF(G111="","",IF('TRANSPORT DASHBOARD'!$B$4="Area",INDEX(MASTER_AREAS!$B:$B,G111+1),INDEX(MASTER_ZONES!$B:$B,G111+1)))</f>
        <v/>
      </c>
    </row>
    <row r="112">
      <c r="A112">
        <f>IF('WSF DASHBOARD'!$B$4="Area",IF(111&lt;=$D$3,IF(OR('WSF DASHBOARD'!$C$4="",ISNUMBER(SEARCH('WSF DASHBOARD'!$C$4,INDEX(MASTER_AREAS!$B:$B,112)))),111,""),""),IF('WSF DASHBOARD'!$B$4="Zone",IF(111&lt;=$D$4,IF(OR('WSF DASHBOARD'!$C$4="",ISNUMBER(SEARCH('WSF DASHBOARD'!$C$4,INDEX(MASTER_ZONES!$B:$B,112)))),111,""),""),""))</f>
        <v/>
      </c>
      <c r="B112">
        <f>IFERROR(SMALL($A$2:$A$1365,111),"")</f>
        <v/>
      </c>
      <c r="C112">
        <f>IF(B112="","",IF('WSF DASHBOARD'!$B$4="Area",INDEX(MASTER_AREAS!$B:$B,B112+1),INDEX(MASTER_ZONES!$B:$B,B112+1)))</f>
        <v/>
      </c>
      <c r="F112">
        <f>IF('TRANSPORT DASHBOARD'!$B$4="Area",IF(111&lt;=$I$3,IF(OR('TRANSPORT DASHBOARD'!$C$4="",ISNUMBER(SEARCH('TRANSPORT DASHBOARD'!$C$4,INDEX(MASTER_AREAS!$B:$B,112)))),111,""),""),IF('TRANSPORT DASHBOARD'!$B$4="Zone",IF(111&lt;=$I$4,IF(OR('TRANSPORT DASHBOARD'!$C$4="",ISNUMBER(SEARCH('TRANSPORT DASHBOARD'!$C$4,INDEX(MASTER_ZONES!$B:$B,112)))),111,""),""),""))</f>
        <v/>
      </c>
      <c r="G112">
        <f>IFERROR(SMALL($F$2:$F$1365,111),"")</f>
        <v/>
      </c>
      <c r="H112">
        <f>IF(G112="","",IF('TRANSPORT DASHBOARD'!$B$4="Area",INDEX(MASTER_AREAS!$B:$B,G112+1),INDEX(MASTER_ZONES!$B:$B,G112+1)))</f>
        <v/>
      </c>
    </row>
    <row r="113">
      <c r="A113">
        <f>IF('WSF DASHBOARD'!$B$4="Area",IF(112&lt;=$D$3,IF(OR('WSF DASHBOARD'!$C$4="",ISNUMBER(SEARCH('WSF DASHBOARD'!$C$4,INDEX(MASTER_AREAS!$B:$B,113)))),112,""),""),IF('WSF DASHBOARD'!$B$4="Zone",IF(112&lt;=$D$4,IF(OR('WSF DASHBOARD'!$C$4="",ISNUMBER(SEARCH('WSF DASHBOARD'!$C$4,INDEX(MASTER_ZONES!$B:$B,113)))),112,""),""),""))</f>
        <v/>
      </c>
      <c r="B113">
        <f>IFERROR(SMALL($A$2:$A$1365,112),"")</f>
        <v/>
      </c>
      <c r="C113">
        <f>IF(B113="","",IF('WSF DASHBOARD'!$B$4="Area",INDEX(MASTER_AREAS!$B:$B,B113+1),INDEX(MASTER_ZONES!$B:$B,B113+1)))</f>
        <v/>
      </c>
      <c r="F113">
        <f>IF('TRANSPORT DASHBOARD'!$B$4="Area",IF(112&lt;=$I$3,IF(OR('TRANSPORT DASHBOARD'!$C$4="",ISNUMBER(SEARCH('TRANSPORT DASHBOARD'!$C$4,INDEX(MASTER_AREAS!$B:$B,113)))),112,""),""),IF('TRANSPORT DASHBOARD'!$B$4="Zone",IF(112&lt;=$I$4,IF(OR('TRANSPORT DASHBOARD'!$C$4="",ISNUMBER(SEARCH('TRANSPORT DASHBOARD'!$C$4,INDEX(MASTER_ZONES!$B:$B,113)))),112,""),""),""))</f>
        <v/>
      </c>
      <c r="G113">
        <f>IFERROR(SMALL($F$2:$F$1365,112),"")</f>
        <v/>
      </c>
      <c r="H113">
        <f>IF(G113="","",IF('TRANSPORT DASHBOARD'!$B$4="Area",INDEX(MASTER_AREAS!$B:$B,G113+1),INDEX(MASTER_ZONES!$B:$B,G113+1)))</f>
        <v/>
      </c>
    </row>
    <row r="114">
      <c r="A114">
        <f>IF('WSF DASHBOARD'!$B$4="Area",IF(113&lt;=$D$3,IF(OR('WSF DASHBOARD'!$C$4="",ISNUMBER(SEARCH('WSF DASHBOARD'!$C$4,INDEX(MASTER_AREAS!$B:$B,114)))),113,""),""),IF('WSF DASHBOARD'!$B$4="Zone",IF(113&lt;=$D$4,IF(OR('WSF DASHBOARD'!$C$4="",ISNUMBER(SEARCH('WSF DASHBOARD'!$C$4,INDEX(MASTER_ZONES!$B:$B,114)))),113,""),""),""))</f>
        <v/>
      </c>
      <c r="B114">
        <f>IFERROR(SMALL($A$2:$A$1365,113),"")</f>
        <v/>
      </c>
      <c r="C114">
        <f>IF(B114="","",IF('WSF DASHBOARD'!$B$4="Area",INDEX(MASTER_AREAS!$B:$B,B114+1),INDEX(MASTER_ZONES!$B:$B,B114+1)))</f>
        <v/>
      </c>
      <c r="F114">
        <f>IF('TRANSPORT DASHBOARD'!$B$4="Area",IF(113&lt;=$I$3,IF(OR('TRANSPORT DASHBOARD'!$C$4="",ISNUMBER(SEARCH('TRANSPORT DASHBOARD'!$C$4,INDEX(MASTER_AREAS!$B:$B,114)))),113,""),""),IF('TRANSPORT DASHBOARD'!$B$4="Zone",IF(113&lt;=$I$4,IF(OR('TRANSPORT DASHBOARD'!$C$4="",ISNUMBER(SEARCH('TRANSPORT DASHBOARD'!$C$4,INDEX(MASTER_ZONES!$B:$B,114)))),113,""),""),""))</f>
        <v/>
      </c>
      <c r="G114">
        <f>IFERROR(SMALL($F$2:$F$1365,113),"")</f>
        <v/>
      </c>
      <c r="H114">
        <f>IF(G114="","",IF('TRANSPORT DASHBOARD'!$B$4="Area",INDEX(MASTER_AREAS!$B:$B,G114+1),INDEX(MASTER_ZONES!$B:$B,G114+1)))</f>
        <v/>
      </c>
    </row>
    <row r="115">
      <c r="A115">
        <f>IF('WSF DASHBOARD'!$B$4="Area",IF(114&lt;=$D$3,IF(OR('WSF DASHBOARD'!$C$4="",ISNUMBER(SEARCH('WSF DASHBOARD'!$C$4,INDEX(MASTER_AREAS!$B:$B,115)))),114,""),""),IF('WSF DASHBOARD'!$B$4="Zone",IF(114&lt;=$D$4,IF(OR('WSF DASHBOARD'!$C$4="",ISNUMBER(SEARCH('WSF DASHBOARD'!$C$4,INDEX(MASTER_ZONES!$B:$B,115)))),114,""),""),""))</f>
        <v/>
      </c>
      <c r="B115">
        <f>IFERROR(SMALL($A$2:$A$1365,114),"")</f>
        <v/>
      </c>
      <c r="C115">
        <f>IF(B115="","",IF('WSF DASHBOARD'!$B$4="Area",INDEX(MASTER_AREAS!$B:$B,B115+1),INDEX(MASTER_ZONES!$B:$B,B115+1)))</f>
        <v/>
      </c>
      <c r="F115">
        <f>IF('TRANSPORT DASHBOARD'!$B$4="Area",IF(114&lt;=$I$3,IF(OR('TRANSPORT DASHBOARD'!$C$4="",ISNUMBER(SEARCH('TRANSPORT DASHBOARD'!$C$4,INDEX(MASTER_AREAS!$B:$B,115)))),114,""),""),IF('TRANSPORT DASHBOARD'!$B$4="Zone",IF(114&lt;=$I$4,IF(OR('TRANSPORT DASHBOARD'!$C$4="",ISNUMBER(SEARCH('TRANSPORT DASHBOARD'!$C$4,INDEX(MASTER_ZONES!$B:$B,115)))),114,""),""),""))</f>
        <v/>
      </c>
      <c r="G115">
        <f>IFERROR(SMALL($F$2:$F$1365,114),"")</f>
        <v/>
      </c>
      <c r="H115">
        <f>IF(G115="","",IF('TRANSPORT DASHBOARD'!$B$4="Area",INDEX(MASTER_AREAS!$B:$B,G115+1),INDEX(MASTER_ZONES!$B:$B,G115+1)))</f>
        <v/>
      </c>
    </row>
    <row r="116">
      <c r="A116">
        <f>IF('WSF DASHBOARD'!$B$4="Area",IF(115&lt;=$D$3,IF(OR('WSF DASHBOARD'!$C$4="",ISNUMBER(SEARCH('WSF DASHBOARD'!$C$4,INDEX(MASTER_AREAS!$B:$B,116)))),115,""),""),IF('WSF DASHBOARD'!$B$4="Zone",IF(115&lt;=$D$4,IF(OR('WSF DASHBOARD'!$C$4="",ISNUMBER(SEARCH('WSF DASHBOARD'!$C$4,INDEX(MASTER_ZONES!$B:$B,116)))),115,""),""),""))</f>
        <v/>
      </c>
      <c r="B116">
        <f>IFERROR(SMALL($A$2:$A$1365,115),"")</f>
        <v/>
      </c>
      <c r="C116">
        <f>IF(B116="","",IF('WSF DASHBOARD'!$B$4="Area",INDEX(MASTER_AREAS!$B:$B,B116+1),INDEX(MASTER_ZONES!$B:$B,B116+1)))</f>
        <v/>
      </c>
      <c r="F116">
        <f>IF('TRANSPORT DASHBOARD'!$B$4="Area",IF(115&lt;=$I$3,IF(OR('TRANSPORT DASHBOARD'!$C$4="",ISNUMBER(SEARCH('TRANSPORT DASHBOARD'!$C$4,INDEX(MASTER_AREAS!$B:$B,116)))),115,""),""),IF('TRANSPORT DASHBOARD'!$B$4="Zone",IF(115&lt;=$I$4,IF(OR('TRANSPORT DASHBOARD'!$C$4="",ISNUMBER(SEARCH('TRANSPORT DASHBOARD'!$C$4,INDEX(MASTER_ZONES!$B:$B,116)))),115,""),""),""))</f>
        <v/>
      </c>
      <c r="G116">
        <f>IFERROR(SMALL($F$2:$F$1365,115),"")</f>
        <v/>
      </c>
      <c r="H116">
        <f>IF(G116="","",IF('TRANSPORT DASHBOARD'!$B$4="Area",INDEX(MASTER_AREAS!$B:$B,G116+1),INDEX(MASTER_ZONES!$B:$B,G116+1)))</f>
        <v/>
      </c>
    </row>
    <row r="117">
      <c r="A117">
        <f>IF('WSF DASHBOARD'!$B$4="Area",IF(116&lt;=$D$3,IF(OR('WSF DASHBOARD'!$C$4="",ISNUMBER(SEARCH('WSF DASHBOARD'!$C$4,INDEX(MASTER_AREAS!$B:$B,117)))),116,""),""),IF('WSF DASHBOARD'!$B$4="Zone",IF(116&lt;=$D$4,IF(OR('WSF DASHBOARD'!$C$4="",ISNUMBER(SEARCH('WSF DASHBOARD'!$C$4,INDEX(MASTER_ZONES!$B:$B,117)))),116,""),""),""))</f>
        <v/>
      </c>
      <c r="B117">
        <f>IFERROR(SMALL($A$2:$A$1365,116),"")</f>
        <v/>
      </c>
      <c r="C117">
        <f>IF(B117="","",IF('WSF DASHBOARD'!$B$4="Area",INDEX(MASTER_AREAS!$B:$B,B117+1),INDEX(MASTER_ZONES!$B:$B,B117+1)))</f>
        <v/>
      </c>
      <c r="F117">
        <f>IF('TRANSPORT DASHBOARD'!$B$4="Area",IF(116&lt;=$I$3,IF(OR('TRANSPORT DASHBOARD'!$C$4="",ISNUMBER(SEARCH('TRANSPORT DASHBOARD'!$C$4,INDEX(MASTER_AREAS!$B:$B,117)))),116,""),""),IF('TRANSPORT DASHBOARD'!$B$4="Zone",IF(116&lt;=$I$4,IF(OR('TRANSPORT DASHBOARD'!$C$4="",ISNUMBER(SEARCH('TRANSPORT DASHBOARD'!$C$4,INDEX(MASTER_ZONES!$B:$B,117)))),116,""),""),""))</f>
        <v/>
      </c>
      <c r="G117">
        <f>IFERROR(SMALL($F$2:$F$1365,116),"")</f>
        <v/>
      </c>
      <c r="H117">
        <f>IF(G117="","",IF('TRANSPORT DASHBOARD'!$B$4="Area",INDEX(MASTER_AREAS!$B:$B,G117+1),INDEX(MASTER_ZONES!$B:$B,G117+1)))</f>
        <v/>
      </c>
    </row>
    <row r="118">
      <c r="A118">
        <f>IF('WSF DASHBOARD'!$B$4="Area",IF(117&lt;=$D$3,IF(OR('WSF DASHBOARD'!$C$4="",ISNUMBER(SEARCH('WSF DASHBOARD'!$C$4,INDEX(MASTER_AREAS!$B:$B,118)))),117,""),""),IF('WSF DASHBOARD'!$B$4="Zone",IF(117&lt;=$D$4,IF(OR('WSF DASHBOARD'!$C$4="",ISNUMBER(SEARCH('WSF DASHBOARD'!$C$4,INDEX(MASTER_ZONES!$B:$B,118)))),117,""),""),""))</f>
        <v/>
      </c>
      <c r="B118">
        <f>IFERROR(SMALL($A$2:$A$1365,117),"")</f>
        <v/>
      </c>
      <c r="C118">
        <f>IF(B118="","",IF('WSF DASHBOARD'!$B$4="Area",INDEX(MASTER_AREAS!$B:$B,B118+1),INDEX(MASTER_ZONES!$B:$B,B118+1)))</f>
        <v/>
      </c>
      <c r="F118">
        <f>IF('TRANSPORT DASHBOARD'!$B$4="Area",IF(117&lt;=$I$3,IF(OR('TRANSPORT DASHBOARD'!$C$4="",ISNUMBER(SEARCH('TRANSPORT DASHBOARD'!$C$4,INDEX(MASTER_AREAS!$B:$B,118)))),117,""),""),IF('TRANSPORT DASHBOARD'!$B$4="Zone",IF(117&lt;=$I$4,IF(OR('TRANSPORT DASHBOARD'!$C$4="",ISNUMBER(SEARCH('TRANSPORT DASHBOARD'!$C$4,INDEX(MASTER_ZONES!$B:$B,118)))),117,""),""),""))</f>
        <v/>
      </c>
      <c r="G118">
        <f>IFERROR(SMALL($F$2:$F$1365,117),"")</f>
        <v/>
      </c>
      <c r="H118">
        <f>IF(G118="","",IF('TRANSPORT DASHBOARD'!$B$4="Area",INDEX(MASTER_AREAS!$B:$B,G118+1),INDEX(MASTER_ZONES!$B:$B,G118+1)))</f>
        <v/>
      </c>
    </row>
    <row r="119">
      <c r="A119">
        <f>IF('WSF DASHBOARD'!$B$4="Area",IF(118&lt;=$D$3,IF(OR('WSF DASHBOARD'!$C$4="",ISNUMBER(SEARCH('WSF DASHBOARD'!$C$4,INDEX(MASTER_AREAS!$B:$B,119)))),118,""),""),IF('WSF DASHBOARD'!$B$4="Zone",IF(118&lt;=$D$4,IF(OR('WSF DASHBOARD'!$C$4="",ISNUMBER(SEARCH('WSF DASHBOARD'!$C$4,INDEX(MASTER_ZONES!$B:$B,119)))),118,""),""),""))</f>
        <v/>
      </c>
      <c r="B119">
        <f>IFERROR(SMALL($A$2:$A$1365,118),"")</f>
        <v/>
      </c>
      <c r="C119">
        <f>IF(B119="","",IF('WSF DASHBOARD'!$B$4="Area",INDEX(MASTER_AREAS!$B:$B,B119+1),INDEX(MASTER_ZONES!$B:$B,B119+1)))</f>
        <v/>
      </c>
      <c r="F119">
        <f>IF('TRANSPORT DASHBOARD'!$B$4="Area",IF(118&lt;=$I$3,IF(OR('TRANSPORT DASHBOARD'!$C$4="",ISNUMBER(SEARCH('TRANSPORT DASHBOARD'!$C$4,INDEX(MASTER_AREAS!$B:$B,119)))),118,""),""),IF('TRANSPORT DASHBOARD'!$B$4="Zone",IF(118&lt;=$I$4,IF(OR('TRANSPORT DASHBOARD'!$C$4="",ISNUMBER(SEARCH('TRANSPORT DASHBOARD'!$C$4,INDEX(MASTER_ZONES!$B:$B,119)))),118,""),""),""))</f>
        <v/>
      </c>
      <c r="G119">
        <f>IFERROR(SMALL($F$2:$F$1365,118),"")</f>
        <v/>
      </c>
      <c r="H119">
        <f>IF(G119="","",IF('TRANSPORT DASHBOARD'!$B$4="Area",INDEX(MASTER_AREAS!$B:$B,G119+1),INDEX(MASTER_ZONES!$B:$B,G119+1)))</f>
        <v/>
      </c>
    </row>
    <row r="120">
      <c r="A120">
        <f>IF('WSF DASHBOARD'!$B$4="Area",IF(119&lt;=$D$3,IF(OR('WSF DASHBOARD'!$C$4="",ISNUMBER(SEARCH('WSF DASHBOARD'!$C$4,INDEX(MASTER_AREAS!$B:$B,120)))),119,""),""),IF('WSF DASHBOARD'!$B$4="Zone",IF(119&lt;=$D$4,IF(OR('WSF DASHBOARD'!$C$4="",ISNUMBER(SEARCH('WSF DASHBOARD'!$C$4,INDEX(MASTER_ZONES!$B:$B,120)))),119,""),""),""))</f>
        <v/>
      </c>
      <c r="B120">
        <f>IFERROR(SMALL($A$2:$A$1365,119),"")</f>
        <v/>
      </c>
      <c r="C120">
        <f>IF(B120="","",IF('WSF DASHBOARD'!$B$4="Area",INDEX(MASTER_AREAS!$B:$B,B120+1),INDEX(MASTER_ZONES!$B:$B,B120+1)))</f>
        <v/>
      </c>
      <c r="F120">
        <f>IF('TRANSPORT DASHBOARD'!$B$4="Area",IF(119&lt;=$I$3,IF(OR('TRANSPORT DASHBOARD'!$C$4="",ISNUMBER(SEARCH('TRANSPORT DASHBOARD'!$C$4,INDEX(MASTER_AREAS!$B:$B,120)))),119,""),""),IF('TRANSPORT DASHBOARD'!$B$4="Zone",IF(119&lt;=$I$4,IF(OR('TRANSPORT DASHBOARD'!$C$4="",ISNUMBER(SEARCH('TRANSPORT DASHBOARD'!$C$4,INDEX(MASTER_ZONES!$B:$B,120)))),119,""),""),""))</f>
        <v/>
      </c>
      <c r="G120">
        <f>IFERROR(SMALL($F$2:$F$1365,119),"")</f>
        <v/>
      </c>
      <c r="H120">
        <f>IF(G120="","",IF('TRANSPORT DASHBOARD'!$B$4="Area",INDEX(MASTER_AREAS!$B:$B,G120+1),INDEX(MASTER_ZONES!$B:$B,G120+1)))</f>
        <v/>
      </c>
    </row>
    <row r="121">
      <c r="A121">
        <f>IF('WSF DASHBOARD'!$B$4="Area",IF(120&lt;=$D$3,IF(OR('WSF DASHBOARD'!$C$4="",ISNUMBER(SEARCH('WSF DASHBOARD'!$C$4,INDEX(MASTER_AREAS!$B:$B,121)))),120,""),""),IF('WSF DASHBOARD'!$B$4="Zone",IF(120&lt;=$D$4,IF(OR('WSF DASHBOARD'!$C$4="",ISNUMBER(SEARCH('WSF DASHBOARD'!$C$4,INDEX(MASTER_ZONES!$B:$B,121)))),120,""),""),""))</f>
        <v/>
      </c>
      <c r="B121">
        <f>IFERROR(SMALL($A$2:$A$1365,120),"")</f>
        <v/>
      </c>
      <c r="C121">
        <f>IF(B121="","",IF('WSF DASHBOARD'!$B$4="Area",INDEX(MASTER_AREAS!$B:$B,B121+1),INDEX(MASTER_ZONES!$B:$B,B121+1)))</f>
        <v/>
      </c>
      <c r="F121">
        <f>IF('TRANSPORT DASHBOARD'!$B$4="Area",IF(120&lt;=$I$3,IF(OR('TRANSPORT DASHBOARD'!$C$4="",ISNUMBER(SEARCH('TRANSPORT DASHBOARD'!$C$4,INDEX(MASTER_AREAS!$B:$B,121)))),120,""),""),IF('TRANSPORT DASHBOARD'!$B$4="Zone",IF(120&lt;=$I$4,IF(OR('TRANSPORT DASHBOARD'!$C$4="",ISNUMBER(SEARCH('TRANSPORT DASHBOARD'!$C$4,INDEX(MASTER_ZONES!$B:$B,121)))),120,""),""),""))</f>
        <v/>
      </c>
      <c r="G121">
        <f>IFERROR(SMALL($F$2:$F$1365,120),"")</f>
        <v/>
      </c>
      <c r="H121">
        <f>IF(G121="","",IF('TRANSPORT DASHBOARD'!$B$4="Area",INDEX(MASTER_AREAS!$B:$B,G121+1),INDEX(MASTER_ZONES!$B:$B,G121+1)))</f>
        <v/>
      </c>
    </row>
    <row r="122">
      <c r="A122">
        <f>IF('WSF DASHBOARD'!$B$4="Area",IF(121&lt;=$D$3,IF(OR('WSF DASHBOARD'!$C$4="",ISNUMBER(SEARCH('WSF DASHBOARD'!$C$4,INDEX(MASTER_AREAS!$B:$B,122)))),121,""),""),IF('WSF DASHBOARD'!$B$4="Zone",IF(121&lt;=$D$4,IF(OR('WSF DASHBOARD'!$C$4="",ISNUMBER(SEARCH('WSF DASHBOARD'!$C$4,INDEX(MASTER_ZONES!$B:$B,122)))),121,""),""),""))</f>
        <v/>
      </c>
      <c r="B122">
        <f>IFERROR(SMALL($A$2:$A$1365,121),"")</f>
        <v/>
      </c>
      <c r="C122">
        <f>IF(B122="","",IF('WSF DASHBOARD'!$B$4="Area",INDEX(MASTER_AREAS!$B:$B,B122+1),INDEX(MASTER_ZONES!$B:$B,B122+1)))</f>
        <v/>
      </c>
      <c r="F122">
        <f>IF('TRANSPORT DASHBOARD'!$B$4="Area",IF(121&lt;=$I$3,IF(OR('TRANSPORT DASHBOARD'!$C$4="",ISNUMBER(SEARCH('TRANSPORT DASHBOARD'!$C$4,INDEX(MASTER_AREAS!$B:$B,122)))),121,""),""),IF('TRANSPORT DASHBOARD'!$B$4="Zone",IF(121&lt;=$I$4,IF(OR('TRANSPORT DASHBOARD'!$C$4="",ISNUMBER(SEARCH('TRANSPORT DASHBOARD'!$C$4,INDEX(MASTER_ZONES!$B:$B,122)))),121,""),""),""))</f>
        <v/>
      </c>
      <c r="G122">
        <f>IFERROR(SMALL($F$2:$F$1365,121),"")</f>
        <v/>
      </c>
      <c r="H122">
        <f>IF(G122="","",IF('TRANSPORT DASHBOARD'!$B$4="Area",INDEX(MASTER_AREAS!$B:$B,G122+1),INDEX(MASTER_ZONES!$B:$B,G122+1)))</f>
        <v/>
      </c>
    </row>
    <row r="123">
      <c r="A123">
        <f>IF('WSF DASHBOARD'!$B$4="Area",IF(122&lt;=$D$3,IF(OR('WSF DASHBOARD'!$C$4="",ISNUMBER(SEARCH('WSF DASHBOARD'!$C$4,INDEX(MASTER_AREAS!$B:$B,123)))),122,""),""),IF('WSF DASHBOARD'!$B$4="Zone",IF(122&lt;=$D$4,IF(OR('WSF DASHBOARD'!$C$4="",ISNUMBER(SEARCH('WSF DASHBOARD'!$C$4,INDEX(MASTER_ZONES!$B:$B,123)))),122,""),""),""))</f>
        <v/>
      </c>
      <c r="B123">
        <f>IFERROR(SMALL($A$2:$A$1365,122),"")</f>
        <v/>
      </c>
      <c r="C123">
        <f>IF(B123="","",IF('WSF DASHBOARD'!$B$4="Area",INDEX(MASTER_AREAS!$B:$B,B123+1),INDEX(MASTER_ZONES!$B:$B,B123+1)))</f>
        <v/>
      </c>
      <c r="F123">
        <f>IF('TRANSPORT DASHBOARD'!$B$4="Area",IF(122&lt;=$I$3,IF(OR('TRANSPORT DASHBOARD'!$C$4="",ISNUMBER(SEARCH('TRANSPORT DASHBOARD'!$C$4,INDEX(MASTER_AREAS!$B:$B,123)))),122,""),""),IF('TRANSPORT DASHBOARD'!$B$4="Zone",IF(122&lt;=$I$4,IF(OR('TRANSPORT DASHBOARD'!$C$4="",ISNUMBER(SEARCH('TRANSPORT DASHBOARD'!$C$4,INDEX(MASTER_ZONES!$B:$B,123)))),122,""),""),""))</f>
        <v/>
      </c>
      <c r="G123">
        <f>IFERROR(SMALL($F$2:$F$1365,122),"")</f>
        <v/>
      </c>
      <c r="H123">
        <f>IF(G123="","",IF('TRANSPORT DASHBOARD'!$B$4="Area",INDEX(MASTER_AREAS!$B:$B,G123+1),INDEX(MASTER_ZONES!$B:$B,G123+1)))</f>
        <v/>
      </c>
    </row>
    <row r="124">
      <c r="A124">
        <f>IF('WSF DASHBOARD'!$B$4="Area",IF(123&lt;=$D$3,IF(OR('WSF DASHBOARD'!$C$4="",ISNUMBER(SEARCH('WSF DASHBOARD'!$C$4,INDEX(MASTER_AREAS!$B:$B,124)))),123,""),""),IF('WSF DASHBOARD'!$B$4="Zone",IF(123&lt;=$D$4,IF(OR('WSF DASHBOARD'!$C$4="",ISNUMBER(SEARCH('WSF DASHBOARD'!$C$4,INDEX(MASTER_ZONES!$B:$B,124)))),123,""),""),""))</f>
        <v/>
      </c>
      <c r="B124">
        <f>IFERROR(SMALL($A$2:$A$1365,123),"")</f>
        <v/>
      </c>
      <c r="C124">
        <f>IF(B124="","",IF('WSF DASHBOARD'!$B$4="Area",INDEX(MASTER_AREAS!$B:$B,B124+1),INDEX(MASTER_ZONES!$B:$B,B124+1)))</f>
        <v/>
      </c>
      <c r="F124">
        <f>IF('TRANSPORT DASHBOARD'!$B$4="Area",IF(123&lt;=$I$3,IF(OR('TRANSPORT DASHBOARD'!$C$4="",ISNUMBER(SEARCH('TRANSPORT DASHBOARD'!$C$4,INDEX(MASTER_AREAS!$B:$B,124)))),123,""),""),IF('TRANSPORT DASHBOARD'!$B$4="Zone",IF(123&lt;=$I$4,IF(OR('TRANSPORT DASHBOARD'!$C$4="",ISNUMBER(SEARCH('TRANSPORT DASHBOARD'!$C$4,INDEX(MASTER_ZONES!$B:$B,124)))),123,""),""),""))</f>
        <v/>
      </c>
      <c r="G124">
        <f>IFERROR(SMALL($F$2:$F$1365,123),"")</f>
        <v/>
      </c>
      <c r="H124">
        <f>IF(G124="","",IF('TRANSPORT DASHBOARD'!$B$4="Area",INDEX(MASTER_AREAS!$B:$B,G124+1),INDEX(MASTER_ZONES!$B:$B,G124+1)))</f>
        <v/>
      </c>
    </row>
    <row r="125">
      <c r="A125">
        <f>IF('WSF DASHBOARD'!$B$4="Area",IF(124&lt;=$D$3,IF(OR('WSF DASHBOARD'!$C$4="",ISNUMBER(SEARCH('WSF DASHBOARD'!$C$4,INDEX(MASTER_AREAS!$B:$B,125)))),124,""),""),IF('WSF DASHBOARD'!$B$4="Zone",IF(124&lt;=$D$4,IF(OR('WSF DASHBOARD'!$C$4="",ISNUMBER(SEARCH('WSF DASHBOARD'!$C$4,INDEX(MASTER_ZONES!$B:$B,125)))),124,""),""),""))</f>
        <v/>
      </c>
      <c r="B125">
        <f>IFERROR(SMALL($A$2:$A$1365,124),"")</f>
        <v/>
      </c>
      <c r="C125">
        <f>IF(B125="","",IF('WSF DASHBOARD'!$B$4="Area",INDEX(MASTER_AREAS!$B:$B,B125+1),INDEX(MASTER_ZONES!$B:$B,B125+1)))</f>
        <v/>
      </c>
      <c r="F125">
        <f>IF('TRANSPORT DASHBOARD'!$B$4="Area",IF(124&lt;=$I$3,IF(OR('TRANSPORT DASHBOARD'!$C$4="",ISNUMBER(SEARCH('TRANSPORT DASHBOARD'!$C$4,INDEX(MASTER_AREAS!$B:$B,125)))),124,""),""),IF('TRANSPORT DASHBOARD'!$B$4="Zone",IF(124&lt;=$I$4,IF(OR('TRANSPORT DASHBOARD'!$C$4="",ISNUMBER(SEARCH('TRANSPORT DASHBOARD'!$C$4,INDEX(MASTER_ZONES!$B:$B,125)))),124,""),""),""))</f>
        <v/>
      </c>
      <c r="G125">
        <f>IFERROR(SMALL($F$2:$F$1365,124),"")</f>
        <v/>
      </c>
      <c r="H125">
        <f>IF(G125="","",IF('TRANSPORT DASHBOARD'!$B$4="Area",INDEX(MASTER_AREAS!$B:$B,G125+1),INDEX(MASTER_ZONES!$B:$B,G125+1)))</f>
        <v/>
      </c>
    </row>
    <row r="126">
      <c r="A126">
        <f>IF('WSF DASHBOARD'!$B$4="Area",IF(125&lt;=$D$3,IF(OR('WSF DASHBOARD'!$C$4="",ISNUMBER(SEARCH('WSF DASHBOARD'!$C$4,INDEX(MASTER_AREAS!$B:$B,126)))),125,""),""),IF('WSF DASHBOARD'!$B$4="Zone",IF(125&lt;=$D$4,IF(OR('WSF DASHBOARD'!$C$4="",ISNUMBER(SEARCH('WSF DASHBOARD'!$C$4,INDEX(MASTER_ZONES!$B:$B,126)))),125,""),""),""))</f>
        <v/>
      </c>
      <c r="B126">
        <f>IFERROR(SMALL($A$2:$A$1365,125),"")</f>
        <v/>
      </c>
      <c r="C126">
        <f>IF(B126="","",IF('WSF DASHBOARD'!$B$4="Area",INDEX(MASTER_AREAS!$B:$B,B126+1),INDEX(MASTER_ZONES!$B:$B,B126+1)))</f>
        <v/>
      </c>
      <c r="F126">
        <f>IF('TRANSPORT DASHBOARD'!$B$4="Area",IF(125&lt;=$I$3,IF(OR('TRANSPORT DASHBOARD'!$C$4="",ISNUMBER(SEARCH('TRANSPORT DASHBOARD'!$C$4,INDEX(MASTER_AREAS!$B:$B,126)))),125,""),""),IF('TRANSPORT DASHBOARD'!$B$4="Zone",IF(125&lt;=$I$4,IF(OR('TRANSPORT DASHBOARD'!$C$4="",ISNUMBER(SEARCH('TRANSPORT DASHBOARD'!$C$4,INDEX(MASTER_ZONES!$B:$B,126)))),125,""),""),""))</f>
        <v/>
      </c>
      <c r="G126">
        <f>IFERROR(SMALL($F$2:$F$1365,125),"")</f>
        <v/>
      </c>
      <c r="H126">
        <f>IF(G126="","",IF('TRANSPORT DASHBOARD'!$B$4="Area",INDEX(MASTER_AREAS!$B:$B,G126+1),INDEX(MASTER_ZONES!$B:$B,G126+1)))</f>
        <v/>
      </c>
    </row>
    <row r="127">
      <c r="A127">
        <f>IF('WSF DASHBOARD'!$B$4="Area",IF(126&lt;=$D$3,IF(OR('WSF DASHBOARD'!$C$4="",ISNUMBER(SEARCH('WSF DASHBOARD'!$C$4,INDEX(MASTER_AREAS!$B:$B,127)))),126,""),""),IF('WSF DASHBOARD'!$B$4="Zone",IF(126&lt;=$D$4,IF(OR('WSF DASHBOARD'!$C$4="",ISNUMBER(SEARCH('WSF DASHBOARD'!$C$4,INDEX(MASTER_ZONES!$B:$B,127)))),126,""),""),""))</f>
        <v/>
      </c>
      <c r="B127">
        <f>IFERROR(SMALL($A$2:$A$1365,126),"")</f>
        <v/>
      </c>
      <c r="C127">
        <f>IF(B127="","",IF('WSF DASHBOARD'!$B$4="Area",INDEX(MASTER_AREAS!$B:$B,B127+1),INDEX(MASTER_ZONES!$B:$B,B127+1)))</f>
        <v/>
      </c>
      <c r="F127">
        <f>IF('TRANSPORT DASHBOARD'!$B$4="Area",IF(126&lt;=$I$3,IF(OR('TRANSPORT DASHBOARD'!$C$4="",ISNUMBER(SEARCH('TRANSPORT DASHBOARD'!$C$4,INDEX(MASTER_AREAS!$B:$B,127)))),126,""),""),IF('TRANSPORT DASHBOARD'!$B$4="Zone",IF(126&lt;=$I$4,IF(OR('TRANSPORT DASHBOARD'!$C$4="",ISNUMBER(SEARCH('TRANSPORT DASHBOARD'!$C$4,INDEX(MASTER_ZONES!$B:$B,127)))),126,""),""),""))</f>
        <v/>
      </c>
      <c r="G127">
        <f>IFERROR(SMALL($F$2:$F$1365,126),"")</f>
        <v/>
      </c>
      <c r="H127">
        <f>IF(G127="","",IF('TRANSPORT DASHBOARD'!$B$4="Area",INDEX(MASTER_AREAS!$B:$B,G127+1),INDEX(MASTER_ZONES!$B:$B,G127+1)))</f>
        <v/>
      </c>
    </row>
    <row r="128">
      <c r="A128">
        <f>IF('WSF DASHBOARD'!$B$4="Area",IF(127&lt;=$D$3,IF(OR('WSF DASHBOARD'!$C$4="",ISNUMBER(SEARCH('WSF DASHBOARD'!$C$4,INDEX(MASTER_AREAS!$B:$B,128)))),127,""),""),IF('WSF DASHBOARD'!$B$4="Zone",IF(127&lt;=$D$4,IF(OR('WSF DASHBOARD'!$C$4="",ISNUMBER(SEARCH('WSF DASHBOARD'!$C$4,INDEX(MASTER_ZONES!$B:$B,128)))),127,""),""),""))</f>
        <v/>
      </c>
      <c r="B128">
        <f>IFERROR(SMALL($A$2:$A$1365,127),"")</f>
        <v/>
      </c>
      <c r="C128">
        <f>IF(B128="","",IF('WSF DASHBOARD'!$B$4="Area",INDEX(MASTER_AREAS!$B:$B,B128+1),INDEX(MASTER_ZONES!$B:$B,B128+1)))</f>
        <v/>
      </c>
      <c r="F128">
        <f>IF('TRANSPORT DASHBOARD'!$B$4="Area",IF(127&lt;=$I$3,IF(OR('TRANSPORT DASHBOARD'!$C$4="",ISNUMBER(SEARCH('TRANSPORT DASHBOARD'!$C$4,INDEX(MASTER_AREAS!$B:$B,128)))),127,""),""),IF('TRANSPORT DASHBOARD'!$B$4="Zone",IF(127&lt;=$I$4,IF(OR('TRANSPORT DASHBOARD'!$C$4="",ISNUMBER(SEARCH('TRANSPORT DASHBOARD'!$C$4,INDEX(MASTER_ZONES!$B:$B,128)))),127,""),""),""))</f>
        <v/>
      </c>
      <c r="G128">
        <f>IFERROR(SMALL($F$2:$F$1365,127),"")</f>
        <v/>
      </c>
      <c r="H128">
        <f>IF(G128="","",IF('TRANSPORT DASHBOARD'!$B$4="Area",INDEX(MASTER_AREAS!$B:$B,G128+1),INDEX(MASTER_ZONES!$B:$B,G128+1)))</f>
        <v/>
      </c>
    </row>
    <row r="129">
      <c r="A129">
        <f>IF('WSF DASHBOARD'!$B$4="Area",IF(128&lt;=$D$3,IF(OR('WSF DASHBOARD'!$C$4="",ISNUMBER(SEARCH('WSF DASHBOARD'!$C$4,INDEX(MASTER_AREAS!$B:$B,129)))),128,""),""),IF('WSF DASHBOARD'!$B$4="Zone",IF(128&lt;=$D$4,IF(OR('WSF DASHBOARD'!$C$4="",ISNUMBER(SEARCH('WSF DASHBOARD'!$C$4,INDEX(MASTER_ZONES!$B:$B,129)))),128,""),""),""))</f>
        <v/>
      </c>
      <c r="B129">
        <f>IFERROR(SMALL($A$2:$A$1365,128),"")</f>
        <v/>
      </c>
      <c r="C129">
        <f>IF(B129="","",IF('WSF DASHBOARD'!$B$4="Area",INDEX(MASTER_AREAS!$B:$B,B129+1),INDEX(MASTER_ZONES!$B:$B,B129+1)))</f>
        <v/>
      </c>
      <c r="F129">
        <f>IF('TRANSPORT DASHBOARD'!$B$4="Area",IF(128&lt;=$I$3,IF(OR('TRANSPORT DASHBOARD'!$C$4="",ISNUMBER(SEARCH('TRANSPORT DASHBOARD'!$C$4,INDEX(MASTER_AREAS!$B:$B,129)))),128,""),""),IF('TRANSPORT DASHBOARD'!$B$4="Zone",IF(128&lt;=$I$4,IF(OR('TRANSPORT DASHBOARD'!$C$4="",ISNUMBER(SEARCH('TRANSPORT DASHBOARD'!$C$4,INDEX(MASTER_ZONES!$B:$B,129)))),128,""),""),""))</f>
        <v/>
      </c>
      <c r="G129">
        <f>IFERROR(SMALL($F$2:$F$1365,128),"")</f>
        <v/>
      </c>
      <c r="H129">
        <f>IF(G129="","",IF('TRANSPORT DASHBOARD'!$B$4="Area",INDEX(MASTER_AREAS!$B:$B,G129+1),INDEX(MASTER_ZONES!$B:$B,G129+1)))</f>
        <v/>
      </c>
    </row>
    <row r="130">
      <c r="A130">
        <f>IF('WSF DASHBOARD'!$B$4="Area",IF(129&lt;=$D$3,IF(OR('WSF DASHBOARD'!$C$4="",ISNUMBER(SEARCH('WSF DASHBOARD'!$C$4,INDEX(MASTER_AREAS!$B:$B,130)))),129,""),""),IF('WSF DASHBOARD'!$B$4="Zone",IF(129&lt;=$D$4,IF(OR('WSF DASHBOARD'!$C$4="",ISNUMBER(SEARCH('WSF DASHBOARD'!$C$4,INDEX(MASTER_ZONES!$B:$B,130)))),129,""),""),""))</f>
        <v/>
      </c>
      <c r="B130">
        <f>IFERROR(SMALL($A$2:$A$1365,129),"")</f>
        <v/>
      </c>
      <c r="C130">
        <f>IF(B130="","",IF('WSF DASHBOARD'!$B$4="Area",INDEX(MASTER_AREAS!$B:$B,B130+1),INDEX(MASTER_ZONES!$B:$B,B130+1)))</f>
        <v/>
      </c>
      <c r="F130">
        <f>IF('TRANSPORT DASHBOARD'!$B$4="Area",IF(129&lt;=$I$3,IF(OR('TRANSPORT DASHBOARD'!$C$4="",ISNUMBER(SEARCH('TRANSPORT DASHBOARD'!$C$4,INDEX(MASTER_AREAS!$B:$B,130)))),129,""),""),IF('TRANSPORT DASHBOARD'!$B$4="Zone",IF(129&lt;=$I$4,IF(OR('TRANSPORT DASHBOARD'!$C$4="",ISNUMBER(SEARCH('TRANSPORT DASHBOARD'!$C$4,INDEX(MASTER_ZONES!$B:$B,130)))),129,""),""),""))</f>
        <v/>
      </c>
      <c r="G130">
        <f>IFERROR(SMALL($F$2:$F$1365,129),"")</f>
        <v/>
      </c>
      <c r="H130">
        <f>IF(G130="","",IF('TRANSPORT DASHBOARD'!$B$4="Area",INDEX(MASTER_AREAS!$B:$B,G130+1),INDEX(MASTER_ZONES!$B:$B,G130+1)))</f>
        <v/>
      </c>
    </row>
    <row r="131">
      <c r="A131">
        <f>IF('WSF DASHBOARD'!$B$4="Area",IF(130&lt;=$D$3,IF(OR('WSF DASHBOARD'!$C$4="",ISNUMBER(SEARCH('WSF DASHBOARD'!$C$4,INDEX(MASTER_AREAS!$B:$B,131)))),130,""),""),IF('WSF DASHBOARD'!$B$4="Zone",IF(130&lt;=$D$4,IF(OR('WSF DASHBOARD'!$C$4="",ISNUMBER(SEARCH('WSF DASHBOARD'!$C$4,INDEX(MASTER_ZONES!$B:$B,131)))),130,""),""),""))</f>
        <v/>
      </c>
      <c r="B131">
        <f>IFERROR(SMALL($A$2:$A$1365,130),"")</f>
        <v/>
      </c>
      <c r="C131">
        <f>IF(B131="","",IF('WSF DASHBOARD'!$B$4="Area",INDEX(MASTER_AREAS!$B:$B,B131+1),INDEX(MASTER_ZONES!$B:$B,B131+1)))</f>
        <v/>
      </c>
      <c r="F131">
        <f>IF('TRANSPORT DASHBOARD'!$B$4="Area",IF(130&lt;=$I$3,IF(OR('TRANSPORT DASHBOARD'!$C$4="",ISNUMBER(SEARCH('TRANSPORT DASHBOARD'!$C$4,INDEX(MASTER_AREAS!$B:$B,131)))),130,""),""),IF('TRANSPORT DASHBOARD'!$B$4="Zone",IF(130&lt;=$I$4,IF(OR('TRANSPORT DASHBOARD'!$C$4="",ISNUMBER(SEARCH('TRANSPORT DASHBOARD'!$C$4,INDEX(MASTER_ZONES!$B:$B,131)))),130,""),""),""))</f>
        <v/>
      </c>
      <c r="G131">
        <f>IFERROR(SMALL($F$2:$F$1365,130),"")</f>
        <v/>
      </c>
      <c r="H131">
        <f>IF(G131="","",IF('TRANSPORT DASHBOARD'!$B$4="Area",INDEX(MASTER_AREAS!$B:$B,G131+1),INDEX(MASTER_ZONES!$B:$B,G131+1)))</f>
        <v/>
      </c>
    </row>
    <row r="132">
      <c r="A132">
        <f>IF('WSF DASHBOARD'!$B$4="Area",IF(131&lt;=$D$3,IF(OR('WSF DASHBOARD'!$C$4="",ISNUMBER(SEARCH('WSF DASHBOARD'!$C$4,INDEX(MASTER_AREAS!$B:$B,132)))),131,""),""),IF('WSF DASHBOARD'!$B$4="Zone",IF(131&lt;=$D$4,IF(OR('WSF DASHBOARD'!$C$4="",ISNUMBER(SEARCH('WSF DASHBOARD'!$C$4,INDEX(MASTER_ZONES!$B:$B,132)))),131,""),""),""))</f>
        <v/>
      </c>
      <c r="B132">
        <f>IFERROR(SMALL($A$2:$A$1365,131),"")</f>
        <v/>
      </c>
      <c r="C132">
        <f>IF(B132="","",IF('WSF DASHBOARD'!$B$4="Area",INDEX(MASTER_AREAS!$B:$B,B132+1),INDEX(MASTER_ZONES!$B:$B,B132+1)))</f>
        <v/>
      </c>
      <c r="F132">
        <f>IF('TRANSPORT DASHBOARD'!$B$4="Area",IF(131&lt;=$I$3,IF(OR('TRANSPORT DASHBOARD'!$C$4="",ISNUMBER(SEARCH('TRANSPORT DASHBOARD'!$C$4,INDEX(MASTER_AREAS!$B:$B,132)))),131,""),""),IF('TRANSPORT DASHBOARD'!$B$4="Zone",IF(131&lt;=$I$4,IF(OR('TRANSPORT DASHBOARD'!$C$4="",ISNUMBER(SEARCH('TRANSPORT DASHBOARD'!$C$4,INDEX(MASTER_ZONES!$B:$B,132)))),131,""),""),""))</f>
        <v/>
      </c>
      <c r="G132">
        <f>IFERROR(SMALL($F$2:$F$1365,131),"")</f>
        <v/>
      </c>
      <c r="H132">
        <f>IF(G132="","",IF('TRANSPORT DASHBOARD'!$B$4="Area",INDEX(MASTER_AREAS!$B:$B,G132+1),INDEX(MASTER_ZONES!$B:$B,G132+1)))</f>
        <v/>
      </c>
    </row>
    <row r="133">
      <c r="A133">
        <f>IF('WSF DASHBOARD'!$B$4="Area",IF(132&lt;=$D$3,IF(OR('WSF DASHBOARD'!$C$4="",ISNUMBER(SEARCH('WSF DASHBOARD'!$C$4,INDEX(MASTER_AREAS!$B:$B,133)))),132,""),""),IF('WSF DASHBOARD'!$B$4="Zone",IF(132&lt;=$D$4,IF(OR('WSF DASHBOARD'!$C$4="",ISNUMBER(SEARCH('WSF DASHBOARD'!$C$4,INDEX(MASTER_ZONES!$B:$B,133)))),132,""),""),""))</f>
        <v/>
      </c>
      <c r="B133">
        <f>IFERROR(SMALL($A$2:$A$1365,132),"")</f>
        <v/>
      </c>
      <c r="C133">
        <f>IF(B133="","",IF('WSF DASHBOARD'!$B$4="Area",INDEX(MASTER_AREAS!$B:$B,B133+1),INDEX(MASTER_ZONES!$B:$B,B133+1)))</f>
        <v/>
      </c>
      <c r="F133">
        <f>IF('TRANSPORT DASHBOARD'!$B$4="Area",IF(132&lt;=$I$3,IF(OR('TRANSPORT DASHBOARD'!$C$4="",ISNUMBER(SEARCH('TRANSPORT DASHBOARD'!$C$4,INDEX(MASTER_AREAS!$B:$B,133)))),132,""),""),IF('TRANSPORT DASHBOARD'!$B$4="Zone",IF(132&lt;=$I$4,IF(OR('TRANSPORT DASHBOARD'!$C$4="",ISNUMBER(SEARCH('TRANSPORT DASHBOARD'!$C$4,INDEX(MASTER_ZONES!$B:$B,133)))),132,""),""),""))</f>
        <v/>
      </c>
      <c r="G133">
        <f>IFERROR(SMALL($F$2:$F$1365,132),"")</f>
        <v/>
      </c>
      <c r="H133">
        <f>IF(G133="","",IF('TRANSPORT DASHBOARD'!$B$4="Area",INDEX(MASTER_AREAS!$B:$B,G133+1),INDEX(MASTER_ZONES!$B:$B,G133+1)))</f>
        <v/>
      </c>
    </row>
    <row r="134">
      <c r="A134">
        <f>IF('WSF DASHBOARD'!$B$4="Area",IF(133&lt;=$D$3,IF(OR('WSF DASHBOARD'!$C$4="",ISNUMBER(SEARCH('WSF DASHBOARD'!$C$4,INDEX(MASTER_AREAS!$B:$B,134)))),133,""),""),IF('WSF DASHBOARD'!$B$4="Zone",IF(133&lt;=$D$4,IF(OR('WSF DASHBOARD'!$C$4="",ISNUMBER(SEARCH('WSF DASHBOARD'!$C$4,INDEX(MASTER_ZONES!$B:$B,134)))),133,""),""),""))</f>
        <v/>
      </c>
      <c r="B134">
        <f>IFERROR(SMALL($A$2:$A$1365,133),"")</f>
        <v/>
      </c>
      <c r="C134">
        <f>IF(B134="","",IF('WSF DASHBOARD'!$B$4="Area",INDEX(MASTER_AREAS!$B:$B,B134+1),INDEX(MASTER_ZONES!$B:$B,B134+1)))</f>
        <v/>
      </c>
      <c r="F134">
        <f>IF('TRANSPORT DASHBOARD'!$B$4="Area",IF(133&lt;=$I$3,IF(OR('TRANSPORT DASHBOARD'!$C$4="",ISNUMBER(SEARCH('TRANSPORT DASHBOARD'!$C$4,INDEX(MASTER_AREAS!$B:$B,134)))),133,""),""),IF('TRANSPORT DASHBOARD'!$B$4="Zone",IF(133&lt;=$I$4,IF(OR('TRANSPORT DASHBOARD'!$C$4="",ISNUMBER(SEARCH('TRANSPORT DASHBOARD'!$C$4,INDEX(MASTER_ZONES!$B:$B,134)))),133,""),""),""))</f>
        <v/>
      </c>
      <c r="G134">
        <f>IFERROR(SMALL($F$2:$F$1365,133),"")</f>
        <v/>
      </c>
      <c r="H134">
        <f>IF(G134="","",IF('TRANSPORT DASHBOARD'!$B$4="Area",INDEX(MASTER_AREAS!$B:$B,G134+1),INDEX(MASTER_ZONES!$B:$B,G134+1)))</f>
        <v/>
      </c>
    </row>
    <row r="135">
      <c r="A135">
        <f>IF('WSF DASHBOARD'!$B$4="Area",IF(134&lt;=$D$3,IF(OR('WSF DASHBOARD'!$C$4="",ISNUMBER(SEARCH('WSF DASHBOARD'!$C$4,INDEX(MASTER_AREAS!$B:$B,135)))),134,""),""),IF('WSF DASHBOARD'!$B$4="Zone",IF(134&lt;=$D$4,IF(OR('WSF DASHBOARD'!$C$4="",ISNUMBER(SEARCH('WSF DASHBOARD'!$C$4,INDEX(MASTER_ZONES!$B:$B,135)))),134,""),""),""))</f>
        <v/>
      </c>
      <c r="B135">
        <f>IFERROR(SMALL($A$2:$A$1365,134),"")</f>
        <v/>
      </c>
      <c r="C135">
        <f>IF(B135="","",IF('WSF DASHBOARD'!$B$4="Area",INDEX(MASTER_AREAS!$B:$B,B135+1),INDEX(MASTER_ZONES!$B:$B,B135+1)))</f>
        <v/>
      </c>
      <c r="F135">
        <f>IF('TRANSPORT DASHBOARD'!$B$4="Area",IF(134&lt;=$I$3,IF(OR('TRANSPORT DASHBOARD'!$C$4="",ISNUMBER(SEARCH('TRANSPORT DASHBOARD'!$C$4,INDEX(MASTER_AREAS!$B:$B,135)))),134,""),""),IF('TRANSPORT DASHBOARD'!$B$4="Zone",IF(134&lt;=$I$4,IF(OR('TRANSPORT DASHBOARD'!$C$4="",ISNUMBER(SEARCH('TRANSPORT DASHBOARD'!$C$4,INDEX(MASTER_ZONES!$B:$B,135)))),134,""),""),""))</f>
        <v/>
      </c>
      <c r="G135">
        <f>IFERROR(SMALL($F$2:$F$1365,134),"")</f>
        <v/>
      </c>
      <c r="H135">
        <f>IF(G135="","",IF('TRANSPORT DASHBOARD'!$B$4="Area",INDEX(MASTER_AREAS!$B:$B,G135+1),INDEX(MASTER_ZONES!$B:$B,G135+1)))</f>
        <v/>
      </c>
    </row>
    <row r="136">
      <c r="A136">
        <f>IF('WSF DASHBOARD'!$B$4="Area",IF(135&lt;=$D$3,IF(OR('WSF DASHBOARD'!$C$4="",ISNUMBER(SEARCH('WSF DASHBOARD'!$C$4,INDEX(MASTER_AREAS!$B:$B,136)))),135,""),""),IF('WSF DASHBOARD'!$B$4="Zone",IF(135&lt;=$D$4,IF(OR('WSF DASHBOARD'!$C$4="",ISNUMBER(SEARCH('WSF DASHBOARD'!$C$4,INDEX(MASTER_ZONES!$B:$B,136)))),135,""),""),""))</f>
        <v/>
      </c>
      <c r="B136">
        <f>IFERROR(SMALL($A$2:$A$1365,135),"")</f>
        <v/>
      </c>
      <c r="C136">
        <f>IF(B136="","",IF('WSF DASHBOARD'!$B$4="Area",INDEX(MASTER_AREAS!$B:$B,B136+1),INDEX(MASTER_ZONES!$B:$B,B136+1)))</f>
        <v/>
      </c>
      <c r="F136">
        <f>IF('TRANSPORT DASHBOARD'!$B$4="Area",IF(135&lt;=$I$3,IF(OR('TRANSPORT DASHBOARD'!$C$4="",ISNUMBER(SEARCH('TRANSPORT DASHBOARD'!$C$4,INDEX(MASTER_AREAS!$B:$B,136)))),135,""),""),IF('TRANSPORT DASHBOARD'!$B$4="Zone",IF(135&lt;=$I$4,IF(OR('TRANSPORT DASHBOARD'!$C$4="",ISNUMBER(SEARCH('TRANSPORT DASHBOARD'!$C$4,INDEX(MASTER_ZONES!$B:$B,136)))),135,""),""),""))</f>
        <v/>
      </c>
      <c r="G136">
        <f>IFERROR(SMALL($F$2:$F$1365,135),"")</f>
        <v/>
      </c>
      <c r="H136">
        <f>IF(G136="","",IF('TRANSPORT DASHBOARD'!$B$4="Area",INDEX(MASTER_AREAS!$B:$B,G136+1),INDEX(MASTER_ZONES!$B:$B,G136+1)))</f>
        <v/>
      </c>
    </row>
    <row r="137">
      <c r="A137">
        <f>IF('WSF DASHBOARD'!$B$4="Area",IF(136&lt;=$D$3,IF(OR('WSF DASHBOARD'!$C$4="",ISNUMBER(SEARCH('WSF DASHBOARD'!$C$4,INDEX(MASTER_AREAS!$B:$B,137)))),136,""),""),IF('WSF DASHBOARD'!$B$4="Zone",IF(136&lt;=$D$4,IF(OR('WSF DASHBOARD'!$C$4="",ISNUMBER(SEARCH('WSF DASHBOARD'!$C$4,INDEX(MASTER_ZONES!$B:$B,137)))),136,""),""),""))</f>
        <v/>
      </c>
      <c r="B137">
        <f>IFERROR(SMALL($A$2:$A$1365,136),"")</f>
        <v/>
      </c>
      <c r="C137">
        <f>IF(B137="","",IF('WSF DASHBOARD'!$B$4="Area",INDEX(MASTER_AREAS!$B:$B,B137+1),INDEX(MASTER_ZONES!$B:$B,B137+1)))</f>
        <v/>
      </c>
      <c r="F137">
        <f>IF('TRANSPORT DASHBOARD'!$B$4="Area",IF(136&lt;=$I$3,IF(OR('TRANSPORT DASHBOARD'!$C$4="",ISNUMBER(SEARCH('TRANSPORT DASHBOARD'!$C$4,INDEX(MASTER_AREAS!$B:$B,137)))),136,""),""),IF('TRANSPORT DASHBOARD'!$B$4="Zone",IF(136&lt;=$I$4,IF(OR('TRANSPORT DASHBOARD'!$C$4="",ISNUMBER(SEARCH('TRANSPORT DASHBOARD'!$C$4,INDEX(MASTER_ZONES!$B:$B,137)))),136,""),""),""))</f>
        <v/>
      </c>
      <c r="G137">
        <f>IFERROR(SMALL($F$2:$F$1365,136),"")</f>
        <v/>
      </c>
      <c r="H137">
        <f>IF(G137="","",IF('TRANSPORT DASHBOARD'!$B$4="Area",INDEX(MASTER_AREAS!$B:$B,G137+1),INDEX(MASTER_ZONES!$B:$B,G137+1)))</f>
        <v/>
      </c>
    </row>
    <row r="138">
      <c r="A138">
        <f>IF('WSF DASHBOARD'!$B$4="Area",IF(137&lt;=$D$3,IF(OR('WSF DASHBOARD'!$C$4="",ISNUMBER(SEARCH('WSF DASHBOARD'!$C$4,INDEX(MASTER_AREAS!$B:$B,138)))),137,""),""),IF('WSF DASHBOARD'!$B$4="Zone",IF(137&lt;=$D$4,IF(OR('WSF DASHBOARD'!$C$4="",ISNUMBER(SEARCH('WSF DASHBOARD'!$C$4,INDEX(MASTER_ZONES!$B:$B,138)))),137,""),""),""))</f>
        <v/>
      </c>
      <c r="B138">
        <f>IFERROR(SMALL($A$2:$A$1365,137),"")</f>
        <v/>
      </c>
      <c r="C138">
        <f>IF(B138="","",IF('WSF DASHBOARD'!$B$4="Area",INDEX(MASTER_AREAS!$B:$B,B138+1),INDEX(MASTER_ZONES!$B:$B,B138+1)))</f>
        <v/>
      </c>
      <c r="F138">
        <f>IF('TRANSPORT DASHBOARD'!$B$4="Area",IF(137&lt;=$I$3,IF(OR('TRANSPORT DASHBOARD'!$C$4="",ISNUMBER(SEARCH('TRANSPORT DASHBOARD'!$C$4,INDEX(MASTER_AREAS!$B:$B,138)))),137,""),""),IF('TRANSPORT DASHBOARD'!$B$4="Zone",IF(137&lt;=$I$4,IF(OR('TRANSPORT DASHBOARD'!$C$4="",ISNUMBER(SEARCH('TRANSPORT DASHBOARD'!$C$4,INDEX(MASTER_ZONES!$B:$B,138)))),137,""),""),""))</f>
        <v/>
      </c>
      <c r="G138">
        <f>IFERROR(SMALL($F$2:$F$1365,137),"")</f>
        <v/>
      </c>
      <c r="H138">
        <f>IF(G138="","",IF('TRANSPORT DASHBOARD'!$B$4="Area",INDEX(MASTER_AREAS!$B:$B,G138+1),INDEX(MASTER_ZONES!$B:$B,G138+1)))</f>
        <v/>
      </c>
    </row>
    <row r="139">
      <c r="A139">
        <f>IF('WSF DASHBOARD'!$B$4="Area",IF(138&lt;=$D$3,IF(OR('WSF DASHBOARD'!$C$4="",ISNUMBER(SEARCH('WSF DASHBOARD'!$C$4,INDEX(MASTER_AREAS!$B:$B,139)))),138,""),""),IF('WSF DASHBOARD'!$B$4="Zone",IF(138&lt;=$D$4,IF(OR('WSF DASHBOARD'!$C$4="",ISNUMBER(SEARCH('WSF DASHBOARD'!$C$4,INDEX(MASTER_ZONES!$B:$B,139)))),138,""),""),""))</f>
        <v/>
      </c>
      <c r="B139">
        <f>IFERROR(SMALL($A$2:$A$1365,138),"")</f>
        <v/>
      </c>
      <c r="C139">
        <f>IF(B139="","",IF('WSF DASHBOARD'!$B$4="Area",INDEX(MASTER_AREAS!$B:$B,B139+1),INDEX(MASTER_ZONES!$B:$B,B139+1)))</f>
        <v/>
      </c>
      <c r="F139">
        <f>IF('TRANSPORT DASHBOARD'!$B$4="Area",IF(138&lt;=$I$3,IF(OR('TRANSPORT DASHBOARD'!$C$4="",ISNUMBER(SEARCH('TRANSPORT DASHBOARD'!$C$4,INDEX(MASTER_AREAS!$B:$B,139)))),138,""),""),IF('TRANSPORT DASHBOARD'!$B$4="Zone",IF(138&lt;=$I$4,IF(OR('TRANSPORT DASHBOARD'!$C$4="",ISNUMBER(SEARCH('TRANSPORT DASHBOARD'!$C$4,INDEX(MASTER_ZONES!$B:$B,139)))),138,""),""),""))</f>
        <v/>
      </c>
      <c r="G139">
        <f>IFERROR(SMALL($F$2:$F$1365,138),"")</f>
        <v/>
      </c>
      <c r="H139">
        <f>IF(G139="","",IF('TRANSPORT DASHBOARD'!$B$4="Area",INDEX(MASTER_AREAS!$B:$B,G139+1),INDEX(MASTER_ZONES!$B:$B,G139+1)))</f>
        <v/>
      </c>
    </row>
    <row r="140">
      <c r="A140">
        <f>IF('WSF DASHBOARD'!$B$4="Area",IF(139&lt;=$D$3,IF(OR('WSF DASHBOARD'!$C$4="",ISNUMBER(SEARCH('WSF DASHBOARD'!$C$4,INDEX(MASTER_AREAS!$B:$B,140)))),139,""),""),IF('WSF DASHBOARD'!$B$4="Zone",IF(139&lt;=$D$4,IF(OR('WSF DASHBOARD'!$C$4="",ISNUMBER(SEARCH('WSF DASHBOARD'!$C$4,INDEX(MASTER_ZONES!$B:$B,140)))),139,""),""),""))</f>
        <v/>
      </c>
      <c r="B140">
        <f>IFERROR(SMALL($A$2:$A$1365,139),"")</f>
        <v/>
      </c>
      <c r="C140">
        <f>IF(B140="","",IF('WSF DASHBOARD'!$B$4="Area",INDEX(MASTER_AREAS!$B:$B,B140+1),INDEX(MASTER_ZONES!$B:$B,B140+1)))</f>
        <v/>
      </c>
      <c r="F140">
        <f>IF('TRANSPORT DASHBOARD'!$B$4="Area",IF(139&lt;=$I$3,IF(OR('TRANSPORT DASHBOARD'!$C$4="",ISNUMBER(SEARCH('TRANSPORT DASHBOARD'!$C$4,INDEX(MASTER_AREAS!$B:$B,140)))),139,""),""),IF('TRANSPORT DASHBOARD'!$B$4="Zone",IF(139&lt;=$I$4,IF(OR('TRANSPORT DASHBOARD'!$C$4="",ISNUMBER(SEARCH('TRANSPORT DASHBOARD'!$C$4,INDEX(MASTER_ZONES!$B:$B,140)))),139,""),""),""))</f>
        <v/>
      </c>
      <c r="G140">
        <f>IFERROR(SMALL($F$2:$F$1365,139),"")</f>
        <v/>
      </c>
      <c r="H140">
        <f>IF(G140="","",IF('TRANSPORT DASHBOARD'!$B$4="Area",INDEX(MASTER_AREAS!$B:$B,G140+1),INDEX(MASTER_ZONES!$B:$B,G140+1)))</f>
        <v/>
      </c>
    </row>
    <row r="141">
      <c r="A141">
        <f>IF('WSF DASHBOARD'!$B$4="Area",IF(140&lt;=$D$3,IF(OR('WSF DASHBOARD'!$C$4="",ISNUMBER(SEARCH('WSF DASHBOARD'!$C$4,INDEX(MASTER_AREAS!$B:$B,141)))),140,""),""),IF('WSF DASHBOARD'!$B$4="Zone",IF(140&lt;=$D$4,IF(OR('WSF DASHBOARD'!$C$4="",ISNUMBER(SEARCH('WSF DASHBOARD'!$C$4,INDEX(MASTER_ZONES!$B:$B,141)))),140,""),""),""))</f>
        <v/>
      </c>
      <c r="B141">
        <f>IFERROR(SMALL($A$2:$A$1365,140),"")</f>
        <v/>
      </c>
      <c r="C141">
        <f>IF(B141="","",IF('WSF DASHBOARD'!$B$4="Area",INDEX(MASTER_AREAS!$B:$B,B141+1),INDEX(MASTER_ZONES!$B:$B,B141+1)))</f>
        <v/>
      </c>
      <c r="F141">
        <f>IF('TRANSPORT DASHBOARD'!$B$4="Area",IF(140&lt;=$I$3,IF(OR('TRANSPORT DASHBOARD'!$C$4="",ISNUMBER(SEARCH('TRANSPORT DASHBOARD'!$C$4,INDEX(MASTER_AREAS!$B:$B,141)))),140,""),""),IF('TRANSPORT DASHBOARD'!$B$4="Zone",IF(140&lt;=$I$4,IF(OR('TRANSPORT DASHBOARD'!$C$4="",ISNUMBER(SEARCH('TRANSPORT DASHBOARD'!$C$4,INDEX(MASTER_ZONES!$B:$B,141)))),140,""),""),""))</f>
        <v/>
      </c>
      <c r="G141">
        <f>IFERROR(SMALL($F$2:$F$1365,140),"")</f>
        <v/>
      </c>
      <c r="H141">
        <f>IF(G141="","",IF('TRANSPORT DASHBOARD'!$B$4="Area",INDEX(MASTER_AREAS!$B:$B,G141+1),INDEX(MASTER_ZONES!$B:$B,G141+1)))</f>
        <v/>
      </c>
    </row>
    <row r="142">
      <c r="A142">
        <f>IF('WSF DASHBOARD'!$B$4="Area",IF(141&lt;=$D$3,IF(OR('WSF DASHBOARD'!$C$4="",ISNUMBER(SEARCH('WSF DASHBOARD'!$C$4,INDEX(MASTER_AREAS!$B:$B,142)))),141,""),""),IF('WSF DASHBOARD'!$B$4="Zone",IF(141&lt;=$D$4,IF(OR('WSF DASHBOARD'!$C$4="",ISNUMBER(SEARCH('WSF DASHBOARD'!$C$4,INDEX(MASTER_ZONES!$B:$B,142)))),141,""),""),""))</f>
        <v/>
      </c>
      <c r="B142">
        <f>IFERROR(SMALL($A$2:$A$1365,141),"")</f>
        <v/>
      </c>
      <c r="C142">
        <f>IF(B142="","",IF('WSF DASHBOARD'!$B$4="Area",INDEX(MASTER_AREAS!$B:$B,B142+1),INDEX(MASTER_ZONES!$B:$B,B142+1)))</f>
        <v/>
      </c>
      <c r="F142">
        <f>IF('TRANSPORT DASHBOARD'!$B$4="Area",IF(141&lt;=$I$3,IF(OR('TRANSPORT DASHBOARD'!$C$4="",ISNUMBER(SEARCH('TRANSPORT DASHBOARD'!$C$4,INDEX(MASTER_AREAS!$B:$B,142)))),141,""),""),IF('TRANSPORT DASHBOARD'!$B$4="Zone",IF(141&lt;=$I$4,IF(OR('TRANSPORT DASHBOARD'!$C$4="",ISNUMBER(SEARCH('TRANSPORT DASHBOARD'!$C$4,INDEX(MASTER_ZONES!$B:$B,142)))),141,""),""),""))</f>
        <v/>
      </c>
      <c r="G142">
        <f>IFERROR(SMALL($F$2:$F$1365,141),"")</f>
        <v/>
      </c>
      <c r="H142">
        <f>IF(G142="","",IF('TRANSPORT DASHBOARD'!$B$4="Area",INDEX(MASTER_AREAS!$B:$B,G142+1),INDEX(MASTER_ZONES!$B:$B,G142+1)))</f>
        <v/>
      </c>
    </row>
    <row r="143">
      <c r="A143">
        <f>IF('WSF DASHBOARD'!$B$4="Area",IF(142&lt;=$D$3,IF(OR('WSF DASHBOARD'!$C$4="",ISNUMBER(SEARCH('WSF DASHBOARD'!$C$4,INDEX(MASTER_AREAS!$B:$B,143)))),142,""),""),IF('WSF DASHBOARD'!$B$4="Zone",IF(142&lt;=$D$4,IF(OR('WSF DASHBOARD'!$C$4="",ISNUMBER(SEARCH('WSF DASHBOARD'!$C$4,INDEX(MASTER_ZONES!$B:$B,143)))),142,""),""),""))</f>
        <v/>
      </c>
      <c r="B143">
        <f>IFERROR(SMALL($A$2:$A$1365,142),"")</f>
        <v/>
      </c>
      <c r="C143">
        <f>IF(B143="","",IF('WSF DASHBOARD'!$B$4="Area",INDEX(MASTER_AREAS!$B:$B,B143+1),INDEX(MASTER_ZONES!$B:$B,B143+1)))</f>
        <v/>
      </c>
      <c r="F143">
        <f>IF('TRANSPORT DASHBOARD'!$B$4="Area",IF(142&lt;=$I$3,IF(OR('TRANSPORT DASHBOARD'!$C$4="",ISNUMBER(SEARCH('TRANSPORT DASHBOARD'!$C$4,INDEX(MASTER_AREAS!$B:$B,143)))),142,""),""),IF('TRANSPORT DASHBOARD'!$B$4="Zone",IF(142&lt;=$I$4,IF(OR('TRANSPORT DASHBOARD'!$C$4="",ISNUMBER(SEARCH('TRANSPORT DASHBOARD'!$C$4,INDEX(MASTER_ZONES!$B:$B,143)))),142,""),""),""))</f>
        <v/>
      </c>
      <c r="G143">
        <f>IFERROR(SMALL($F$2:$F$1365,142),"")</f>
        <v/>
      </c>
      <c r="H143">
        <f>IF(G143="","",IF('TRANSPORT DASHBOARD'!$B$4="Area",INDEX(MASTER_AREAS!$B:$B,G143+1),INDEX(MASTER_ZONES!$B:$B,G143+1)))</f>
        <v/>
      </c>
    </row>
    <row r="144">
      <c r="A144">
        <f>IF('WSF DASHBOARD'!$B$4="Area",IF(143&lt;=$D$3,IF(OR('WSF DASHBOARD'!$C$4="",ISNUMBER(SEARCH('WSF DASHBOARD'!$C$4,INDEX(MASTER_AREAS!$B:$B,144)))),143,""),""),IF('WSF DASHBOARD'!$B$4="Zone",IF(143&lt;=$D$4,IF(OR('WSF DASHBOARD'!$C$4="",ISNUMBER(SEARCH('WSF DASHBOARD'!$C$4,INDEX(MASTER_ZONES!$B:$B,144)))),143,""),""),""))</f>
        <v/>
      </c>
      <c r="B144">
        <f>IFERROR(SMALL($A$2:$A$1365,143),"")</f>
        <v/>
      </c>
      <c r="C144">
        <f>IF(B144="","",IF('WSF DASHBOARD'!$B$4="Area",INDEX(MASTER_AREAS!$B:$B,B144+1),INDEX(MASTER_ZONES!$B:$B,B144+1)))</f>
        <v/>
      </c>
      <c r="F144">
        <f>IF('TRANSPORT DASHBOARD'!$B$4="Area",IF(143&lt;=$I$3,IF(OR('TRANSPORT DASHBOARD'!$C$4="",ISNUMBER(SEARCH('TRANSPORT DASHBOARD'!$C$4,INDEX(MASTER_AREAS!$B:$B,144)))),143,""),""),IF('TRANSPORT DASHBOARD'!$B$4="Zone",IF(143&lt;=$I$4,IF(OR('TRANSPORT DASHBOARD'!$C$4="",ISNUMBER(SEARCH('TRANSPORT DASHBOARD'!$C$4,INDEX(MASTER_ZONES!$B:$B,144)))),143,""),""),""))</f>
        <v/>
      </c>
      <c r="G144">
        <f>IFERROR(SMALL($F$2:$F$1365,143),"")</f>
        <v/>
      </c>
      <c r="H144">
        <f>IF(G144="","",IF('TRANSPORT DASHBOARD'!$B$4="Area",INDEX(MASTER_AREAS!$B:$B,G144+1),INDEX(MASTER_ZONES!$B:$B,G144+1)))</f>
        <v/>
      </c>
    </row>
    <row r="145">
      <c r="A145">
        <f>IF('WSF DASHBOARD'!$B$4="Area",IF(144&lt;=$D$3,IF(OR('WSF DASHBOARD'!$C$4="",ISNUMBER(SEARCH('WSF DASHBOARD'!$C$4,INDEX(MASTER_AREAS!$B:$B,145)))),144,""),""),IF('WSF DASHBOARD'!$B$4="Zone",IF(144&lt;=$D$4,IF(OR('WSF DASHBOARD'!$C$4="",ISNUMBER(SEARCH('WSF DASHBOARD'!$C$4,INDEX(MASTER_ZONES!$B:$B,145)))),144,""),""),""))</f>
        <v/>
      </c>
      <c r="B145">
        <f>IFERROR(SMALL($A$2:$A$1365,144),"")</f>
        <v/>
      </c>
      <c r="C145">
        <f>IF(B145="","",IF('WSF DASHBOARD'!$B$4="Area",INDEX(MASTER_AREAS!$B:$B,B145+1),INDEX(MASTER_ZONES!$B:$B,B145+1)))</f>
        <v/>
      </c>
      <c r="F145">
        <f>IF('TRANSPORT DASHBOARD'!$B$4="Area",IF(144&lt;=$I$3,IF(OR('TRANSPORT DASHBOARD'!$C$4="",ISNUMBER(SEARCH('TRANSPORT DASHBOARD'!$C$4,INDEX(MASTER_AREAS!$B:$B,145)))),144,""),""),IF('TRANSPORT DASHBOARD'!$B$4="Zone",IF(144&lt;=$I$4,IF(OR('TRANSPORT DASHBOARD'!$C$4="",ISNUMBER(SEARCH('TRANSPORT DASHBOARD'!$C$4,INDEX(MASTER_ZONES!$B:$B,145)))),144,""),""),""))</f>
        <v/>
      </c>
      <c r="G145">
        <f>IFERROR(SMALL($F$2:$F$1365,144),"")</f>
        <v/>
      </c>
      <c r="H145">
        <f>IF(G145="","",IF('TRANSPORT DASHBOARD'!$B$4="Area",INDEX(MASTER_AREAS!$B:$B,G145+1),INDEX(MASTER_ZONES!$B:$B,G145+1)))</f>
        <v/>
      </c>
    </row>
    <row r="146">
      <c r="A146">
        <f>IF('WSF DASHBOARD'!$B$4="Area",IF(145&lt;=$D$3,IF(OR('WSF DASHBOARD'!$C$4="",ISNUMBER(SEARCH('WSF DASHBOARD'!$C$4,INDEX(MASTER_AREAS!$B:$B,146)))),145,""),""),IF('WSF DASHBOARD'!$B$4="Zone",IF(145&lt;=$D$4,IF(OR('WSF DASHBOARD'!$C$4="",ISNUMBER(SEARCH('WSF DASHBOARD'!$C$4,INDEX(MASTER_ZONES!$B:$B,146)))),145,""),""),""))</f>
        <v/>
      </c>
      <c r="B146">
        <f>IFERROR(SMALL($A$2:$A$1365,145),"")</f>
        <v/>
      </c>
      <c r="C146">
        <f>IF(B146="","",IF('WSF DASHBOARD'!$B$4="Area",INDEX(MASTER_AREAS!$B:$B,B146+1),INDEX(MASTER_ZONES!$B:$B,B146+1)))</f>
        <v/>
      </c>
      <c r="F146">
        <f>IF('TRANSPORT DASHBOARD'!$B$4="Area",IF(145&lt;=$I$3,IF(OR('TRANSPORT DASHBOARD'!$C$4="",ISNUMBER(SEARCH('TRANSPORT DASHBOARD'!$C$4,INDEX(MASTER_AREAS!$B:$B,146)))),145,""),""),IF('TRANSPORT DASHBOARD'!$B$4="Zone",IF(145&lt;=$I$4,IF(OR('TRANSPORT DASHBOARD'!$C$4="",ISNUMBER(SEARCH('TRANSPORT DASHBOARD'!$C$4,INDEX(MASTER_ZONES!$B:$B,146)))),145,""),""),""))</f>
        <v/>
      </c>
      <c r="G146">
        <f>IFERROR(SMALL($F$2:$F$1365,145),"")</f>
        <v/>
      </c>
      <c r="H146">
        <f>IF(G146="","",IF('TRANSPORT DASHBOARD'!$B$4="Area",INDEX(MASTER_AREAS!$B:$B,G146+1),INDEX(MASTER_ZONES!$B:$B,G146+1)))</f>
        <v/>
      </c>
    </row>
    <row r="147">
      <c r="A147">
        <f>IF('WSF DASHBOARD'!$B$4="Area",IF(146&lt;=$D$3,IF(OR('WSF DASHBOARD'!$C$4="",ISNUMBER(SEARCH('WSF DASHBOARD'!$C$4,INDEX(MASTER_AREAS!$B:$B,147)))),146,""),""),IF('WSF DASHBOARD'!$B$4="Zone",IF(146&lt;=$D$4,IF(OR('WSF DASHBOARD'!$C$4="",ISNUMBER(SEARCH('WSF DASHBOARD'!$C$4,INDEX(MASTER_ZONES!$B:$B,147)))),146,""),""),""))</f>
        <v/>
      </c>
      <c r="B147">
        <f>IFERROR(SMALL($A$2:$A$1365,146),"")</f>
        <v/>
      </c>
      <c r="C147">
        <f>IF(B147="","",IF('WSF DASHBOARD'!$B$4="Area",INDEX(MASTER_AREAS!$B:$B,B147+1),INDEX(MASTER_ZONES!$B:$B,B147+1)))</f>
        <v/>
      </c>
      <c r="F147">
        <f>IF('TRANSPORT DASHBOARD'!$B$4="Area",IF(146&lt;=$I$3,IF(OR('TRANSPORT DASHBOARD'!$C$4="",ISNUMBER(SEARCH('TRANSPORT DASHBOARD'!$C$4,INDEX(MASTER_AREAS!$B:$B,147)))),146,""),""),IF('TRANSPORT DASHBOARD'!$B$4="Zone",IF(146&lt;=$I$4,IF(OR('TRANSPORT DASHBOARD'!$C$4="",ISNUMBER(SEARCH('TRANSPORT DASHBOARD'!$C$4,INDEX(MASTER_ZONES!$B:$B,147)))),146,""),""),""))</f>
        <v/>
      </c>
      <c r="G147">
        <f>IFERROR(SMALL($F$2:$F$1365,146),"")</f>
        <v/>
      </c>
      <c r="H147">
        <f>IF(G147="","",IF('TRANSPORT DASHBOARD'!$B$4="Area",INDEX(MASTER_AREAS!$B:$B,G147+1),INDEX(MASTER_ZONES!$B:$B,G147+1)))</f>
        <v/>
      </c>
    </row>
    <row r="148">
      <c r="A148">
        <f>IF('WSF DASHBOARD'!$B$4="Area",IF(147&lt;=$D$3,IF(OR('WSF DASHBOARD'!$C$4="",ISNUMBER(SEARCH('WSF DASHBOARD'!$C$4,INDEX(MASTER_AREAS!$B:$B,148)))),147,""),""),IF('WSF DASHBOARD'!$B$4="Zone",IF(147&lt;=$D$4,IF(OR('WSF DASHBOARD'!$C$4="",ISNUMBER(SEARCH('WSF DASHBOARD'!$C$4,INDEX(MASTER_ZONES!$B:$B,148)))),147,""),""),""))</f>
        <v/>
      </c>
      <c r="B148">
        <f>IFERROR(SMALL($A$2:$A$1365,147),"")</f>
        <v/>
      </c>
      <c r="C148">
        <f>IF(B148="","",IF('WSF DASHBOARD'!$B$4="Area",INDEX(MASTER_AREAS!$B:$B,B148+1),INDEX(MASTER_ZONES!$B:$B,B148+1)))</f>
        <v/>
      </c>
      <c r="F148">
        <f>IF('TRANSPORT DASHBOARD'!$B$4="Area",IF(147&lt;=$I$3,IF(OR('TRANSPORT DASHBOARD'!$C$4="",ISNUMBER(SEARCH('TRANSPORT DASHBOARD'!$C$4,INDEX(MASTER_AREAS!$B:$B,148)))),147,""),""),IF('TRANSPORT DASHBOARD'!$B$4="Zone",IF(147&lt;=$I$4,IF(OR('TRANSPORT DASHBOARD'!$C$4="",ISNUMBER(SEARCH('TRANSPORT DASHBOARD'!$C$4,INDEX(MASTER_ZONES!$B:$B,148)))),147,""),""),""))</f>
        <v/>
      </c>
      <c r="G148">
        <f>IFERROR(SMALL($F$2:$F$1365,147),"")</f>
        <v/>
      </c>
      <c r="H148">
        <f>IF(G148="","",IF('TRANSPORT DASHBOARD'!$B$4="Area",INDEX(MASTER_AREAS!$B:$B,G148+1),INDEX(MASTER_ZONES!$B:$B,G148+1)))</f>
        <v/>
      </c>
    </row>
    <row r="149">
      <c r="A149">
        <f>IF('WSF DASHBOARD'!$B$4="Area",IF(148&lt;=$D$3,IF(OR('WSF DASHBOARD'!$C$4="",ISNUMBER(SEARCH('WSF DASHBOARD'!$C$4,INDEX(MASTER_AREAS!$B:$B,149)))),148,""),""),IF('WSF DASHBOARD'!$B$4="Zone",IF(148&lt;=$D$4,IF(OR('WSF DASHBOARD'!$C$4="",ISNUMBER(SEARCH('WSF DASHBOARD'!$C$4,INDEX(MASTER_ZONES!$B:$B,149)))),148,""),""),""))</f>
        <v/>
      </c>
      <c r="B149">
        <f>IFERROR(SMALL($A$2:$A$1365,148),"")</f>
        <v/>
      </c>
      <c r="C149">
        <f>IF(B149="","",IF('WSF DASHBOARD'!$B$4="Area",INDEX(MASTER_AREAS!$B:$B,B149+1),INDEX(MASTER_ZONES!$B:$B,B149+1)))</f>
        <v/>
      </c>
      <c r="F149">
        <f>IF('TRANSPORT DASHBOARD'!$B$4="Area",IF(148&lt;=$I$3,IF(OR('TRANSPORT DASHBOARD'!$C$4="",ISNUMBER(SEARCH('TRANSPORT DASHBOARD'!$C$4,INDEX(MASTER_AREAS!$B:$B,149)))),148,""),""),IF('TRANSPORT DASHBOARD'!$B$4="Zone",IF(148&lt;=$I$4,IF(OR('TRANSPORT DASHBOARD'!$C$4="",ISNUMBER(SEARCH('TRANSPORT DASHBOARD'!$C$4,INDEX(MASTER_ZONES!$B:$B,149)))),148,""),""),""))</f>
        <v/>
      </c>
      <c r="G149">
        <f>IFERROR(SMALL($F$2:$F$1365,148),"")</f>
        <v/>
      </c>
      <c r="H149">
        <f>IF(G149="","",IF('TRANSPORT DASHBOARD'!$B$4="Area",INDEX(MASTER_AREAS!$B:$B,G149+1),INDEX(MASTER_ZONES!$B:$B,G149+1)))</f>
        <v/>
      </c>
    </row>
    <row r="150">
      <c r="A150">
        <f>IF('WSF DASHBOARD'!$B$4="Area",IF(149&lt;=$D$3,IF(OR('WSF DASHBOARD'!$C$4="",ISNUMBER(SEARCH('WSF DASHBOARD'!$C$4,INDEX(MASTER_AREAS!$B:$B,150)))),149,""),""),IF('WSF DASHBOARD'!$B$4="Zone",IF(149&lt;=$D$4,IF(OR('WSF DASHBOARD'!$C$4="",ISNUMBER(SEARCH('WSF DASHBOARD'!$C$4,INDEX(MASTER_ZONES!$B:$B,150)))),149,""),""),""))</f>
        <v/>
      </c>
      <c r="B150">
        <f>IFERROR(SMALL($A$2:$A$1365,149),"")</f>
        <v/>
      </c>
      <c r="C150">
        <f>IF(B150="","",IF('WSF DASHBOARD'!$B$4="Area",INDEX(MASTER_AREAS!$B:$B,B150+1),INDEX(MASTER_ZONES!$B:$B,B150+1)))</f>
        <v/>
      </c>
      <c r="F150">
        <f>IF('TRANSPORT DASHBOARD'!$B$4="Area",IF(149&lt;=$I$3,IF(OR('TRANSPORT DASHBOARD'!$C$4="",ISNUMBER(SEARCH('TRANSPORT DASHBOARD'!$C$4,INDEX(MASTER_AREAS!$B:$B,150)))),149,""),""),IF('TRANSPORT DASHBOARD'!$B$4="Zone",IF(149&lt;=$I$4,IF(OR('TRANSPORT DASHBOARD'!$C$4="",ISNUMBER(SEARCH('TRANSPORT DASHBOARD'!$C$4,INDEX(MASTER_ZONES!$B:$B,150)))),149,""),""),""))</f>
        <v/>
      </c>
      <c r="G150">
        <f>IFERROR(SMALL($F$2:$F$1365,149),"")</f>
        <v/>
      </c>
      <c r="H150">
        <f>IF(G150="","",IF('TRANSPORT DASHBOARD'!$B$4="Area",INDEX(MASTER_AREAS!$B:$B,G150+1),INDEX(MASTER_ZONES!$B:$B,G150+1)))</f>
        <v/>
      </c>
    </row>
    <row r="151">
      <c r="A151">
        <f>IF('WSF DASHBOARD'!$B$4="Area",IF(150&lt;=$D$3,IF(OR('WSF DASHBOARD'!$C$4="",ISNUMBER(SEARCH('WSF DASHBOARD'!$C$4,INDEX(MASTER_AREAS!$B:$B,151)))),150,""),""),IF('WSF DASHBOARD'!$B$4="Zone",IF(150&lt;=$D$4,IF(OR('WSF DASHBOARD'!$C$4="",ISNUMBER(SEARCH('WSF DASHBOARD'!$C$4,INDEX(MASTER_ZONES!$B:$B,151)))),150,""),""),""))</f>
        <v/>
      </c>
      <c r="B151">
        <f>IFERROR(SMALL($A$2:$A$1365,150),"")</f>
        <v/>
      </c>
      <c r="C151">
        <f>IF(B151="","",IF('WSF DASHBOARD'!$B$4="Area",INDEX(MASTER_AREAS!$B:$B,B151+1),INDEX(MASTER_ZONES!$B:$B,B151+1)))</f>
        <v/>
      </c>
      <c r="F151">
        <f>IF('TRANSPORT DASHBOARD'!$B$4="Area",IF(150&lt;=$I$3,IF(OR('TRANSPORT DASHBOARD'!$C$4="",ISNUMBER(SEARCH('TRANSPORT DASHBOARD'!$C$4,INDEX(MASTER_AREAS!$B:$B,151)))),150,""),""),IF('TRANSPORT DASHBOARD'!$B$4="Zone",IF(150&lt;=$I$4,IF(OR('TRANSPORT DASHBOARD'!$C$4="",ISNUMBER(SEARCH('TRANSPORT DASHBOARD'!$C$4,INDEX(MASTER_ZONES!$B:$B,151)))),150,""),""),""))</f>
        <v/>
      </c>
      <c r="G151">
        <f>IFERROR(SMALL($F$2:$F$1365,150),"")</f>
        <v/>
      </c>
      <c r="H151">
        <f>IF(G151="","",IF('TRANSPORT DASHBOARD'!$B$4="Area",INDEX(MASTER_AREAS!$B:$B,G151+1),INDEX(MASTER_ZONES!$B:$B,G151+1)))</f>
        <v/>
      </c>
    </row>
    <row r="152">
      <c r="A152">
        <f>IF('WSF DASHBOARD'!$B$4="Area",IF(151&lt;=$D$3,IF(OR('WSF DASHBOARD'!$C$4="",ISNUMBER(SEARCH('WSF DASHBOARD'!$C$4,INDEX(MASTER_AREAS!$B:$B,152)))),151,""),""),IF('WSF DASHBOARD'!$B$4="Zone",IF(151&lt;=$D$4,IF(OR('WSF DASHBOARD'!$C$4="",ISNUMBER(SEARCH('WSF DASHBOARD'!$C$4,INDEX(MASTER_ZONES!$B:$B,152)))),151,""),""),""))</f>
        <v/>
      </c>
      <c r="B152">
        <f>IFERROR(SMALL($A$2:$A$1365,151),"")</f>
        <v/>
      </c>
      <c r="C152">
        <f>IF(B152="","",IF('WSF DASHBOARD'!$B$4="Area",INDEX(MASTER_AREAS!$B:$B,B152+1),INDEX(MASTER_ZONES!$B:$B,B152+1)))</f>
        <v/>
      </c>
      <c r="F152">
        <f>IF('TRANSPORT DASHBOARD'!$B$4="Area",IF(151&lt;=$I$3,IF(OR('TRANSPORT DASHBOARD'!$C$4="",ISNUMBER(SEARCH('TRANSPORT DASHBOARD'!$C$4,INDEX(MASTER_AREAS!$B:$B,152)))),151,""),""),IF('TRANSPORT DASHBOARD'!$B$4="Zone",IF(151&lt;=$I$4,IF(OR('TRANSPORT DASHBOARD'!$C$4="",ISNUMBER(SEARCH('TRANSPORT DASHBOARD'!$C$4,INDEX(MASTER_ZONES!$B:$B,152)))),151,""),""),""))</f>
        <v/>
      </c>
      <c r="G152">
        <f>IFERROR(SMALL($F$2:$F$1365,151),"")</f>
        <v/>
      </c>
      <c r="H152">
        <f>IF(G152="","",IF('TRANSPORT DASHBOARD'!$B$4="Area",INDEX(MASTER_AREAS!$B:$B,G152+1),INDEX(MASTER_ZONES!$B:$B,G152+1)))</f>
        <v/>
      </c>
    </row>
    <row r="153">
      <c r="A153">
        <f>IF('WSF DASHBOARD'!$B$4="Area",IF(152&lt;=$D$3,IF(OR('WSF DASHBOARD'!$C$4="",ISNUMBER(SEARCH('WSF DASHBOARD'!$C$4,INDEX(MASTER_AREAS!$B:$B,153)))),152,""),""),IF('WSF DASHBOARD'!$B$4="Zone",IF(152&lt;=$D$4,IF(OR('WSF DASHBOARD'!$C$4="",ISNUMBER(SEARCH('WSF DASHBOARD'!$C$4,INDEX(MASTER_ZONES!$B:$B,153)))),152,""),""),""))</f>
        <v/>
      </c>
      <c r="B153">
        <f>IFERROR(SMALL($A$2:$A$1365,152),"")</f>
        <v/>
      </c>
      <c r="C153">
        <f>IF(B153="","",IF('WSF DASHBOARD'!$B$4="Area",INDEX(MASTER_AREAS!$B:$B,B153+1),INDEX(MASTER_ZONES!$B:$B,B153+1)))</f>
        <v/>
      </c>
      <c r="F153">
        <f>IF('TRANSPORT DASHBOARD'!$B$4="Area",IF(152&lt;=$I$3,IF(OR('TRANSPORT DASHBOARD'!$C$4="",ISNUMBER(SEARCH('TRANSPORT DASHBOARD'!$C$4,INDEX(MASTER_AREAS!$B:$B,153)))),152,""),""),IF('TRANSPORT DASHBOARD'!$B$4="Zone",IF(152&lt;=$I$4,IF(OR('TRANSPORT DASHBOARD'!$C$4="",ISNUMBER(SEARCH('TRANSPORT DASHBOARD'!$C$4,INDEX(MASTER_ZONES!$B:$B,153)))),152,""),""),""))</f>
        <v/>
      </c>
      <c r="G153">
        <f>IFERROR(SMALL($F$2:$F$1365,152),"")</f>
        <v/>
      </c>
      <c r="H153">
        <f>IF(G153="","",IF('TRANSPORT DASHBOARD'!$B$4="Area",INDEX(MASTER_AREAS!$B:$B,G153+1),INDEX(MASTER_ZONES!$B:$B,G153+1)))</f>
        <v/>
      </c>
    </row>
    <row r="154">
      <c r="A154">
        <f>IF('WSF DASHBOARD'!$B$4="Area",IF(153&lt;=$D$3,IF(OR('WSF DASHBOARD'!$C$4="",ISNUMBER(SEARCH('WSF DASHBOARD'!$C$4,INDEX(MASTER_AREAS!$B:$B,154)))),153,""),""),IF('WSF DASHBOARD'!$B$4="Zone",IF(153&lt;=$D$4,IF(OR('WSF DASHBOARD'!$C$4="",ISNUMBER(SEARCH('WSF DASHBOARD'!$C$4,INDEX(MASTER_ZONES!$B:$B,154)))),153,""),""),""))</f>
        <v/>
      </c>
      <c r="B154">
        <f>IFERROR(SMALL($A$2:$A$1365,153),"")</f>
        <v/>
      </c>
      <c r="C154">
        <f>IF(B154="","",IF('WSF DASHBOARD'!$B$4="Area",INDEX(MASTER_AREAS!$B:$B,B154+1),INDEX(MASTER_ZONES!$B:$B,B154+1)))</f>
        <v/>
      </c>
      <c r="F154">
        <f>IF('TRANSPORT DASHBOARD'!$B$4="Area",IF(153&lt;=$I$3,IF(OR('TRANSPORT DASHBOARD'!$C$4="",ISNUMBER(SEARCH('TRANSPORT DASHBOARD'!$C$4,INDEX(MASTER_AREAS!$B:$B,154)))),153,""),""),IF('TRANSPORT DASHBOARD'!$B$4="Zone",IF(153&lt;=$I$4,IF(OR('TRANSPORT DASHBOARD'!$C$4="",ISNUMBER(SEARCH('TRANSPORT DASHBOARD'!$C$4,INDEX(MASTER_ZONES!$B:$B,154)))),153,""),""),""))</f>
        <v/>
      </c>
      <c r="G154">
        <f>IFERROR(SMALL($F$2:$F$1365,153),"")</f>
        <v/>
      </c>
      <c r="H154">
        <f>IF(G154="","",IF('TRANSPORT DASHBOARD'!$B$4="Area",INDEX(MASTER_AREAS!$B:$B,G154+1),INDEX(MASTER_ZONES!$B:$B,G154+1)))</f>
        <v/>
      </c>
    </row>
    <row r="155">
      <c r="A155">
        <f>IF('WSF DASHBOARD'!$B$4="Area",IF(154&lt;=$D$3,IF(OR('WSF DASHBOARD'!$C$4="",ISNUMBER(SEARCH('WSF DASHBOARD'!$C$4,INDEX(MASTER_AREAS!$B:$B,155)))),154,""),""),IF('WSF DASHBOARD'!$B$4="Zone",IF(154&lt;=$D$4,IF(OR('WSF DASHBOARD'!$C$4="",ISNUMBER(SEARCH('WSF DASHBOARD'!$C$4,INDEX(MASTER_ZONES!$B:$B,155)))),154,""),""),""))</f>
        <v/>
      </c>
      <c r="B155">
        <f>IFERROR(SMALL($A$2:$A$1365,154),"")</f>
        <v/>
      </c>
      <c r="C155">
        <f>IF(B155="","",IF('WSF DASHBOARD'!$B$4="Area",INDEX(MASTER_AREAS!$B:$B,B155+1),INDEX(MASTER_ZONES!$B:$B,B155+1)))</f>
        <v/>
      </c>
      <c r="F155">
        <f>IF('TRANSPORT DASHBOARD'!$B$4="Area",IF(154&lt;=$I$3,IF(OR('TRANSPORT DASHBOARD'!$C$4="",ISNUMBER(SEARCH('TRANSPORT DASHBOARD'!$C$4,INDEX(MASTER_AREAS!$B:$B,155)))),154,""),""),IF('TRANSPORT DASHBOARD'!$B$4="Zone",IF(154&lt;=$I$4,IF(OR('TRANSPORT DASHBOARD'!$C$4="",ISNUMBER(SEARCH('TRANSPORT DASHBOARD'!$C$4,INDEX(MASTER_ZONES!$B:$B,155)))),154,""),""),""))</f>
        <v/>
      </c>
      <c r="G155">
        <f>IFERROR(SMALL($F$2:$F$1365,154),"")</f>
        <v/>
      </c>
      <c r="H155">
        <f>IF(G155="","",IF('TRANSPORT DASHBOARD'!$B$4="Area",INDEX(MASTER_AREAS!$B:$B,G155+1),INDEX(MASTER_ZONES!$B:$B,G155+1)))</f>
        <v/>
      </c>
    </row>
    <row r="156">
      <c r="A156">
        <f>IF('WSF DASHBOARD'!$B$4="Area",IF(155&lt;=$D$3,IF(OR('WSF DASHBOARD'!$C$4="",ISNUMBER(SEARCH('WSF DASHBOARD'!$C$4,INDEX(MASTER_AREAS!$B:$B,156)))),155,""),""),IF('WSF DASHBOARD'!$B$4="Zone",IF(155&lt;=$D$4,IF(OR('WSF DASHBOARD'!$C$4="",ISNUMBER(SEARCH('WSF DASHBOARD'!$C$4,INDEX(MASTER_ZONES!$B:$B,156)))),155,""),""),""))</f>
        <v/>
      </c>
      <c r="B156">
        <f>IFERROR(SMALL($A$2:$A$1365,155),"")</f>
        <v/>
      </c>
      <c r="C156">
        <f>IF(B156="","",IF('WSF DASHBOARD'!$B$4="Area",INDEX(MASTER_AREAS!$B:$B,B156+1),INDEX(MASTER_ZONES!$B:$B,B156+1)))</f>
        <v/>
      </c>
      <c r="F156">
        <f>IF('TRANSPORT DASHBOARD'!$B$4="Area",IF(155&lt;=$I$3,IF(OR('TRANSPORT DASHBOARD'!$C$4="",ISNUMBER(SEARCH('TRANSPORT DASHBOARD'!$C$4,INDEX(MASTER_AREAS!$B:$B,156)))),155,""),""),IF('TRANSPORT DASHBOARD'!$B$4="Zone",IF(155&lt;=$I$4,IF(OR('TRANSPORT DASHBOARD'!$C$4="",ISNUMBER(SEARCH('TRANSPORT DASHBOARD'!$C$4,INDEX(MASTER_ZONES!$B:$B,156)))),155,""),""),""))</f>
        <v/>
      </c>
      <c r="G156">
        <f>IFERROR(SMALL($F$2:$F$1365,155),"")</f>
        <v/>
      </c>
      <c r="H156">
        <f>IF(G156="","",IF('TRANSPORT DASHBOARD'!$B$4="Area",INDEX(MASTER_AREAS!$B:$B,G156+1),INDEX(MASTER_ZONES!$B:$B,G156+1)))</f>
        <v/>
      </c>
    </row>
    <row r="157">
      <c r="A157">
        <f>IF('WSF DASHBOARD'!$B$4="Area",IF(156&lt;=$D$3,IF(OR('WSF DASHBOARD'!$C$4="",ISNUMBER(SEARCH('WSF DASHBOARD'!$C$4,INDEX(MASTER_AREAS!$B:$B,157)))),156,""),""),IF('WSF DASHBOARD'!$B$4="Zone",IF(156&lt;=$D$4,IF(OR('WSF DASHBOARD'!$C$4="",ISNUMBER(SEARCH('WSF DASHBOARD'!$C$4,INDEX(MASTER_ZONES!$B:$B,157)))),156,""),""),""))</f>
        <v/>
      </c>
      <c r="B157">
        <f>IFERROR(SMALL($A$2:$A$1365,156),"")</f>
        <v/>
      </c>
      <c r="C157">
        <f>IF(B157="","",IF('WSF DASHBOARD'!$B$4="Area",INDEX(MASTER_AREAS!$B:$B,B157+1),INDEX(MASTER_ZONES!$B:$B,B157+1)))</f>
        <v/>
      </c>
      <c r="F157">
        <f>IF('TRANSPORT DASHBOARD'!$B$4="Area",IF(156&lt;=$I$3,IF(OR('TRANSPORT DASHBOARD'!$C$4="",ISNUMBER(SEARCH('TRANSPORT DASHBOARD'!$C$4,INDEX(MASTER_AREAS!$B:$B,157)))),156,""),""),IF('TRANSPORT DASHBOARD'!$B$4="Zone",IF(156&lt;=$I$4,IF(OR('TRANSPORT DASHBOARD'!$C$4="",ISNUMBER(SEARCH('TRANSPORT DASHBOARD'!$C$4,INDEX(MASTER_ZONES!$B:$B,157)))),156,""),""),""))</f>
        <v/>
      </c>
      <c r="G157">
        <f>IFERROR(SMALL($F$2:$F$1365,156),"")</f>
        <v/>
      </c>
      <c r="H157">
        <f>IF(G157="","",IF('TRANSPORT DASHBOARD'!$B$4="Area",INDEX(MASTER_AREAS!$B:$B,G157+1),INDEX(MASTER_ZONES!$B:$B,G157+1)))</f>
        <v/>
      </c>
    </row>
    <row r="158">
      <c r="A158">
        <f>IF('WSF DASHBOARD'!$B$4="Area",IF(157&lt;=$D$3,IF(OR('WSF DASHBOARD'!$C$4="",ISNUMBER(SEARCH('WSF DASHBOARD'!$C$4,INDEX(MASTER_AREAS!$B:$B,158)))),157,""),""),IF('WSF DASHBOARD'!$B$4="Zone",IF(157&lt;=$D$4,IF(OR('WSF DASHBOARD'!$C$4="",ISNUMBER(SEARCH('WSF DASHBOARD'!$C$4,INDEX(MASTER_ZONES!$B:$B,158)))),157,""),""),""))</f>
        <v/>
      </c>
      <c r="B158">
        <f>IFERROR(SMALL($A$2:$A$1365,157),"")</f>
        <v/>
      </c>
      <c r="C158">
        <f>IF(B158="","",IF('WSF DASHBOARD'!$B$4="Area",INDEX(MASTER_AREAS!$B:$B,B158+1),INDEX(MASTER_ZONES!$B:$B,B158+1)))</f>
        <v/>
      </c>
      <c r="F158">
        <f>IF('TRANSPORT DASHBOARD'!$B$4="Area",IF(157&lt;=$I$3,IF(OR('TRANSPORT DASHBOARD'!$C$4="",ISNUMBER(SEARCH('TRANSPORT DASHBOARD'!$C$4,INDEX(MASTER_AREAS!$B:$B,158)))),157,""),""),IF('TRANSPORT DASHBOARD'!$B$4="Zone",IF(157&lt;=$I$4,IF(OR('TRANSPORT DASHBOARD'!$C$4="",ISNUMBER(SEARCH('TRANSPORT DASHBOARD'!$C$4,INDEX(MASTER_ZONES!$B:$B,158)))),157,""),""),""))</f>
        <v/>
      </c>
      <c r="G158">
        <f>IFERROR(SMALL($F$2:$F$1365,157),"")</f>
        <v/>
      </c>
      <c r="H158">
        <f>IF(G158="","",IF('TRANSPORT DASHBOARD'!$B$4="Area",INDEX(MASTER_AREAS!$B:$B,G158+1),INDEX(MASTER_ZONES!$B:$B,G158+1)))</f>
        <v/>
      </c>
    </row>
    <row r="159">
      <c r="A159">
        <f>IF('WSF DASHBOARD'!$B$4="Area",IF(158&lt;=$D$3,IF(OR('WSF DASHBOARD'!$C$4="",ISNUMBER(SEARCH('WSF DASHBOARD'!$C$4,INDEX(MASTER_AREAS!$B:$B,159)))),158,""),""),IF('WSF DASHBOARD'!$B$4="Zone",IF(158&lt;=$D$4,IF(OR('WSF DASHBOARD'!$C$4="",ISNUMBER(SEARCH('WSF DASHBOARD'!$C$4,INDEX(MASTER_ZONES!$B:$B,159)))),158,""),""),""))</f>
        <v/>
      </c>
      <c r="B159">
        <f>IFERROR(SMALL($A$2:$A$1365,158),"")</f>
        <v/>
      </c>
      <c r="C159">
        <f>IF(B159="","",IF('WSF DASHBOARD'!$B$4="Area",INDEX(MASTER_AREAS!$B:$B,B159+1),INDEX(MASTER_ZONES!$B:$B,B159+1)))</f>
        <v/>
      </c>
      <c r="F159">
        <f>IF('TRANSPORT DASHBOARD'!$B$4="Area",IF(158&lt;=$I$3,IF(OR('TRANSPORT DASHBOARD'!$C$4="",ISNUMBER(SEARCH('TRANSPORT DASHBOARD'!$C$4,INDEX(MASTER_AREAS!$B:$B,159)))),158,""),""),IF('TRANSPORT DASHBOARD'!$B$4="Zone",IF(158&lt;=$I$4,IF(OR('TRANSPORT DASHBOARD'!$C$4="",ISNUMBER(SEARCH('TRANSPORT DASHBOARD'!$C$4,INDEX(MASTER_ZONES!$B:$B,159)))),158,""),""),""))</f>
        <v/>
      </c>
      <c r="G159">
        <f>IFERROR(SMALL($F$2:$F$1365,158),"")</f>
        <v/>
      </c>
      <c r="H159">
        <f>IF(G159="","",IF('TRANSPORT DASHBOARD'!$B$4="Area",INDEX(MASTER_AREAS!$B:$B,G159+1),INDEX(MASTER_ZONES!$B:$B,G159+1)))</f>
        <v/>
      </c>
    </row>
    <row r="160">
      <c r="A160">
        <f>IF('WSF DASHBOARD'!$B$4="Area",IF(159&lt;=$D$3,IF(OR('WSF DASHBOARD'!$C$4="",ISNUMBER(SEARCH('WSF DASHBOARD'!$C$4,INDEX(MASTER_AREAS!$B:$B,160)))),159,""),""),IF('WSF DASHBOARD'!$B$4="Zone",IF(159&lt;=$D$4,IF(OR('WSF DASHBOARD'!$C$4="",ISNUMBER(SEARCH('WSF DASHBOARD'!$C$4,INDEX(MASTER_ZONES!$B:$B,160)))),159,""),""),""))</f>
        <v/>
      </c>
      <c r="B160">
        <f>IFERROR(SMALL($A$2:$A$1365,159),"")</f>
        <v/>
      </c>
      <c r="C160">
        <f>IF(B160="","",IF('WSF DASHBOARD'!$B$4="Area",INDEX(MASTER_AREAS!$B:$B,B160+1),INDEX(MASTER_ZONES!$B:$B,B160+1)))</f>
        <v/>
      </c>
      <c r="F160">
        <f>IF('TRANSPORT DASHBOARD'!$B$4="Area",IF(159&lt;=$I$3,IF(OR('TRANSPORT DASHBOARD'!$C$4="",ISNUMBER(SEARCH('TRANSPORT DASHBOARD'!$C$4,INDEX(MASTER_AREAS!$B:$B,160)))),159,""),""),IF('TRANSPORT DASHBOARD'!$B$4="Zone",IF(159&lt;=$I$4,IF(OR('TRANSPORT DASHBOARD'!$C$4="",ISNUMBER(SEARCH('TRANSPORT DASHBOARD'!$C$4,INDEX(MASTER_ZONES!$B:$B,160)))),159,""),""),""))</f>
        <v/>
      </c>
      <c r="G160">
        <f>IFERROR(SMALL($F$2:$F$1365,159),"")</f>
        <v/>
      </c>
      <c r="H160">
        <f>IF(G160="","",IF('TRANSPORT DASHBOARD'!$B$4="Area",INDEX(MASTER_AREAS!$B:$B,G160+1),INDEX(MASTER_ZONES!$B:$B,G160+1)))</f>
        <v/>
      </c>
    </row>
    <row r="161">
      <c r="A161">
        <f>IF('WSF DASHBOARD'!$B$4="Area",IF(160&lt;=$D$3,IF(OR('WSF DASHBOARD'!$C$4="",ISNUMBER(SEARCH('WSF DASHBOARD'!$C$4,INDEX(MASTER_AREAS!$B:$B,161)))),160,""),""),IF('WSF DASHBOARD'!$B$4="Zone",IF(160&lt;=$D$4,IF(OR('WSF DASHBOARD'!$C$4="",ISNUMBER(SEARCH('WSF DASHBOARD'!$C$4,INDEX(MASTER_ZONES!$B:$B,161)))),160,""),""),""))</f>
        <v/>
      </c>
      <c r="B161">
        <f>IFERROR(SMALL($A$2:$A$1365,160),"")</f>
        <v/>
      </c>
      <c r="C161">
        <f>IF(B161="","",IF('WSF DASHBOARD'!$B$4="Area",INDEX(MASTER_AREAS!$B:$B,B161+1),INDEX(MASTER_ZONES!$B:$B,B161+1)))</f>
        <v/>
      </c>
      <c r="F161">
        <f>IF('TRANSPORT DASHBOARD'!$B$4="Area",IF(160&lt;=$I$3,IF(OR('TRANSPORT DASHBOARD'!$C$4="",ISNUMBER(SEARCH('TRANSPORT DASHBOARD'!$C$4,INDEX(MASTER_AREAS!$B:$B,161)))),160,""),""),IF('TRANSPORT DASHBOARD'!$B$4="Zone",IF(160&lt;=$I$4,IF(OR('TRANSPORT DASHBOARD'!$C$4="",ISNUMBER(SEARCH('TRANSPORT DASHBOARD'!$C$4,INDEX(MASTER_ZONES!$B:$B,161)))),160,""),""),""))</f>
        <v/>
      </c>
      <c r="G161">
        <f>IFERROR(SMALL($F$2:$F$1365,160),"")</f>
        <v/>
      </c>
      <c r="H161">
        <f>IF(G161="","",IF('TRANSPORT DASHBOARD'!$B$4="Area",INDEX(MASTER_AREAS!$B:$B,G161+1),INDEX(MASTER_ZONES!$B:$B,G161+1)))</f>
        <v/>
      </c>
    </row>
    <row r="162">
      <c r="A162">
        <f>IF('WSF DASHBOARD'!$B$4="Area",IF(161&lt;=$D$3,IF(OR('WSF DASHBOARD'!$C$4="",ISNUMBER(SEARCH('WSF DASHBOARD'!$C$4,INDEX(MASTER_AREAS!$B:$B,162)))),161,""),""),IF('WSF DASHBOARD'!$B$4="Zone",IF(161&lt;=$D$4,IF(OR('WSF DASHBOARD'!$C$4="",ISNUMBER(SEARCH('WSF DASHBOARD'!$C$4,INDEX(MASTER_ZONES!$B:$B,162)))),161,""),""),""))</f>
        <v/>
      </c>
      <c r="B162">
        <f>IFERROR(SMALL($A$2:$A$1365,161),"")</f>
        <v/>
      </c>
      <c r="C162">
        <f>IF(B162="","",IF('WSF DASHBOARD'!$B$4="Area",INDEX(MASTER_AREAS!$B:$B,B162+1),INDEX(MASTER_ZONES!$B:$B,B162+1)))</f>
        <v/>
      </c>
      <c r="F162">
        <f>IF('TRANSPORT DASHBOARD'!$B$4="Area",IF(161&lt;=$I$3,IF(OR('TRANSPORT DASHBOARD'!$C$4="",ISNUMBER(SEARCH('TRANSPORT DASHBOARD'!$C$4,INDEX(MASTER_AREAS!$B:$B,162)))),161,""),""),IF('TRANSPORT DASHBOARD'!$B$4="Zone",IF(161&lt;=$I$4,IF(OR('TRANSPORT DASHBOARD'!$C$4="",ISNUMBER(SEARCH('TRANSPORT DASHBOARD'!$C$4,INDEX(MASTER_ZONES!$B:$B,162)))),161,""),""),""))</f>
        <v/>
      </c>
      <c r="G162">
        <f>IFERROR(SMALL($F$2:$F$1365,161),"")</f>
        <v/>
      </c>
      <c r="H162">
        <f>IF(G162="","",IF('TRANSPORT DASHBOARD'!$B$4="Area",INDEX(MASTER_AREAS!$B:$B,G162+1),INDEX(MASTER_ZONES!$B:$B,G162+1)))</f>
        <v/>
      </c>
    </row>
    <row r="163">
      <c r="A163">
        <f>IF('WSF DASHBOARD'!$B$4="Area",IF(162&lt;=$D$3,IF(OR('WSF DASHBOARD'!$C$4="",ISNUMBER(SEARCH('WSF DASHBOARD'!$C$4,INDEX(MASTER_AREAS!$B:$B,163)))),162,""),""),IF('WSF DASHBOARD'!$B$4="Zone",IF(162&lt;=$D$4,IF(OR('WSF DASHBOARD'!$C$4="",ISNUMBER(SEARCH('WSF DASHBOARD'!$C$4,INDEX(MASTER_ZONES!$B:$B,163)))),162,""),""),""))</f>
        <v/>
      </c>
      <c r="B163">
        <f>IFERROR(SMALL($A$2:$A$1365,162),"")</f>
        <v/>
      </c>
      <c r="C163">
        <f>IF(B163="","",IF('WSF DASHBOARD'!$B$4="Area",INDEX(MASTER_AREAS!$B:$B,B163+1),INDEX(MASTER_ZONES!$B:$B,B163+1)))</f>
        <v/>
      </c>
      <c r="F163">
        <f>IF('TRANSPORT DASHBOARD'!$B$4="Area",IF(162&lt;=$I$3,IF(OR('TRANSPORT DASHBOARD'!$C$4="",ISNUMBER(SEARCH('TRANSPORT DASHBOARD'!$C$4,INDEX(MASTER_AREAS!$B:$B,163)))),162,""),""),IF('TRANSPORT DASHBOARD'!$B$4="Zone",IF(162&lt;=$I$4,IF(OR('TRANSPORT DASHBOARD'!$C$4="",ISNUMBER(SEARCH('TRANSPORT DASHBOARD'!$C$4,INDEX(MASTER_ZONES!$B:$B,163)))),162,""),""),""))</f>
        <v/>
      </c>
      <c r="G163">
        <f>IFERROR(SMALL($F$2:$F$1365,162),"")</f>
        <v/>
      </c>
      <c r="H163">
        <f>IF(G163="","",IF('TRANSPORT DASHBOARD'!$B$4="Area",INDEX(MASTER_AREAS!$B:$B,G163+1),INDEX(MASTER_ZONES!$B:$B,G163+1)))</f>
        <v/>
      </c>
    </row>
    <row r="164">
      <c r="A164">
        <f>IF('WSF DASHBOARD'!$B$4="Area",IF(163&lt;=$D$3,IF(OR('WSF DASHBOARD'!$C$4="",ISNUMBER(SEARCH('WSF DASHBOARD'!$C$4,INDEX(MASTER_AREAS!$B:$B,164)))),163,""),""),IF('WSF DASHBOARD'!$B$4="Zone",IF(163&lt;=$D$4,IF(OR('WSF DASHBOARD'!$C$4="",ISNUMBER(SEARCH('WSF DASHBOARD'!$C$4,INDEX(MASTER_ZONES!$B:$B,164)))),163,""),""),""))</f>
        <v/>
      </c>
      <c r="B164">
        <f>IFERROR(SMALL($A$2:$A$1365,163),"")</f>
        <v/>
      </c>
      <c r="C164">
        <f>IF(B164="","",IF('WSF DASHBOARD'!$B$4="Area",INDEX(MASTER_AREAS!$B:$B,B164+1),INDEX(MASTER_ZONES!$B:$B,B164+1)))</f>
        <v/>
      </c>
      <c r="F164">
        <f>IF('TRANSPORT DASHBOARD'!$B$4="Area",IF(163&lt;=$I$3,IF(OR('TRANSPORT DASHBOARD'!$C$4="",ISNUMBER(SEARCH('TRANSPORT DASHBOARD'!$C$4,INDEX(MASTER_AREAS!$B:$B,164)))),163,""),""),IF('TRANSPORT DASHBOARD'!$B$4="Zone",IF(163&lt;=$I$4,IF(OR('TRANSPORT DASHBOARD'!$C$4="",ISNUMBER(SEARCH('TRANSPORT DASHBOARD'!$C$4,INDEX(MASTER_ZONES!$B:$B,164)))),163,""),""),""))</f>
        <v/>
      </c>
      <c r="G164">
        <f>IFERROR(SMALL($F$2:$F$1365,163),"")</f>
        <v/>
      </c>
      <c r="H164">
        <f>IF(G164="","",IF('TRANSPORT DASHBOARD'!$B$4="Area",INDEX(MASTER_AREAS!$B:$B,G164+1),INDEX(MASTER_ZONES!$B:$B,G164+1)))</f>
        <v/>
      </c>
    </row>
    <row r="165">
      <c r="A165">
        <f>IF('WSF DASHBOARD'!$B$4="Area",IF(164&lt;=$D$3,IF(OR('WSF DASHBOARD'!$C$4="",ISNUMBER(SEARCH('WSF DASHBOARD'!$C$4,INDEX(MASTER_AREAS!$B:$B,165)))),164,""),""),IF('WSF DASHBOARD'!$B$4="Zone",IF(164&lt;=$D$4,IF(OR('WSF DASHBOARD'!$C$4="",ISNUMBER(SEARCH('WSF DASHBOARD'!$C$4,INDEX(MASTER_ZONES!$B:$B,165)))),164,""),""),""))</f>
        <v/>
      </c>
      <c r="B165">
        <f>IFERROR(SMALL($A$2:$A$1365,164),"")</f>
        <v/>
      </c>
      <c r="C165">
        <f>IF(B165="","",IF('WSF DASHBOARD'!$B$4="Area",INDEX(MASTER_AREAS!$B:$B,B165+1),INDEX(MASTER_ZONES!$B:$B,B165+1)))</f>
        <v/>
      </c>
      <c r="F165">
        <f>IF('TRANSPORT DASHBOARD'!$B$4="Area",IF(164&lt;=$I$3,IF(OR('TRANSPORT DASHBOARD'!$C$4="",ISNUMBER(SEARCH('TRANSPORT DASHBOARD'!$C$4,INDEX(MASTER_AREAS!$B:$B,165)))),164,""),""),IF('TRANSPORT DASHBOARD'!$B$4="Zone",IF(164&lt;=$I$4,IF(OR('TRANSPORT DASHBOARD'!$C$4="",ISNUMBER(SEARCH('TRANSPORT DASHBOARD'!$C$4,INDEX(MASTER_ZONES!$B:$B,165)))),164,""),""),""))</f>
        <v/>
      </c>
      <c r="G165">
        <f>IFERROR(SMALL($F$2:$F$1365,164),"")</f>
        <v/>
      </c>
      <c r="H165">
        <f>IF(G165="","",IF('TRANSPORT DASHBOARD'!$B$4="Area",INDEX(MASTER_AREAS!$B:$B,G165+1),INDEX(MASTER_ZONES!$B:$B,G165+1)))</f>
        <v/>
      </c>
    </row>
    <row r="166">
      <c r="A166">
        <f>IF('WSF DASHBOARD'!$B$4="Area",IF(165&lt;=$D$3,IF(OR('WSF DASHBOARD'!$C$4="",ISNUMBER(SEARCH('WSF DASHBOARD'!$C$4,INDEX(MASTER_AREAS!$B:$B,166)))),165,""),""),IF('WSF DASHBOARD'!$B$4="Zone",IF(165&lt;=$D$4,IF(OR('WSF DASHBOARD'!$C$4="",ISNUMBER(SEARCH('WSF DASHBOARD'!$C$4,INDEX(MASTER_ZONES!$B:$B,166)))),165,""),""),""))</f>
        <v/>
      </c>
      <c r="B166">
        <f>IFERROR(SMALL($A$2:$A$1365,165),"")</f>
        <v/>
      </c>
      <c r="C166">
        <f>IF(B166="","",IF('WSF DASHBOARD'!$B$4="Area",INDEX(MASTER_AREAS!$B:$B,B166+1),INDEX(MASTER_ZONES!$B:$B,B166+1)))</f>
        <v/>
      </c>
      <c r="F166">
        <f>IF('TRANSPORT DASHBOARD'!$B$4="Area",IF(165&lt;=$I$3,IF(OR('TRANSPORT DASHBOARD'!$C$4="",ISNUMBER(SEARCH('TRANSPORT DASHBOARD'!$C$4,INDEX(MASTER_AREAS!$B:$B,166)))),165,""),""),IF('TRANSPORT DASHBOARD'!$B$4="Zone",IF(165&lt;=$I$4,IF(OR('TRANSPORT DASHBOARD'!$C$4="",ISNUMBER(SEARCH('TRANSPORT DASHBOARD'!$C$4,INDEX(MASTER_ZONES!$B:$B,166)))),165,""),""),""))</f>
        <v/>
      </c>
      <c r="G166">
        <f>IFERROR(SMALL($F$2:$F$1365,165),"")</f>
        <v/>
      </c>
      <c r="H166">
        <f>IF(G166="","",IF('TRANSPORT DASHBOARD'!$B$4="Area",INDEX(MASTER_AREAS!$B:$B,G166+1),INDEX(MASTER_ZONES!$B:$B,G166+1)))</f>
        <v/>
      </c>
    </row>
    <row r="167">
      <c r="A167">
        <f>IF('WSF DASHBOARD'!$B$4="Area",IF(166&lt;=$D$3,IF(OR('WSF DASHBOARD'!$C$4="",ISNUMBER(SEARCH('WSF DASHBOARD'!$C$4,INDEX(MASTER_AREAS!$B:$B,167)))),166,""),""),IF('WSF DASHBOARD'!$B$4="Zone",IF(166&lt;=$D$4,IF(OR('WSF DASHBOARD'!$C$4="",ISNUMBER(SEARCH('WSF DASHBOARD'!$C$4,INDEX(MASTER_ZONES!$B:$B,167)))),166,""),""),""))</f>
        <v/>
      </c>
      <c r="B167">
        <f>IFERROR(SMALL($A$2:$A$1365,166),"")</f>
        <v/>
      </c>
      <c r="C167">
        <f>IF(B167="","",IF('WSF DASHBOARD'!$B$4="Area",INDEX(MASTER_AREAS!$B:$B,B167+1),INDEX(MASTER_ZONES!$B:$B,B167+1)))</f>
        <v/>
      </c>
      <c r="F167">
        <f>IF('TRANSPORT DASHBOARD'!$B$4="Area",IF(166&lt;=$I$3,IF(OR('TRANSPORT DASHBOARD'!$C$4="",ISNUMBER(SEARCH('TRANSPORT DASHBOARD'!$C$4,INDEX(MASTER_AREAS!$B:$B,167)))),166,""),""),IF('TRANSPORT DASHBOARD'!$B$4="Zone",IF(166&lt;=$I$4,IF(OR('TRANSPORT DASHBOARD'!$C$4="",ISNUMBER(SEARCH('TRANSPORT DASHBOARD'!$C$4,INDEX(MASTER_ZONES!$B:$B,167)))),166,""),""),""))</f>
        <v/>
      </c>
      <c r="G167">
        <f>IFERROR(SMALL($F$2:$F$1365,166),"")</f>
        <v/>
      </c>
      <c r="H167">
        <f>IF(G167="","",IF('TRANSPORT DASHBOARD'!$B$4="Area",INDEX(MASTER_AREAS!$B:$B,G167+1),INDEX(MASTER_ZONES!$B:$B,G167+1)))</f>
        <v/>
      </c>
    </row>
    <row r="168">
      <c r="A168">
        <f>IF('WSF DASHBOARD'!$B$4="Area",IF(167&lt;=$D$3,IF(OR('WSF DASHBOARD'!$C$4="",ISNUMBER(SEARCH('WSF DASHBOARD'!$C$4,INDEX(MASTER_AREAS!$B:$B,168)))),167,""),""),IF('WSF DASHBOARD'!$B$4="Zone",IF(167&lt;=$D$4,IF(OR('WSF DASHBOARD'!$C$4="",ISNUMBER(SEARCH('WSF DASHBOARD'!$C$4,INDEX(MASTER_ZONES!$B:$B,168)))),167,""),""),""))</f>
        <v/>
      </c>
      <c r="B168">
        <f>IFERROR(SMALL($A$2:$A$1365,167),"")</f>
        <v/>
      </c>
      <c r="C168">
        <f>IF(B168="","",IF('WSF DASHBOARD'!$B$4="Area",INDEX(MASTER_AREAS!$B:$B,B168+1),INDEX(MASTER_ZONES!$B:$B,B168+1)))</f>
        <v/>
      </c>
      <c r="F168">
        <f>IF('TRANSPORT DASHBOARD'!$B$4="Area",IF(167&lt;=$I$3,IF(OR('TRANSPORT DASHBOARD'!$C$4="",ISNUMBER(SEARCH('TRANSPORT DASHBOARD'!$C$4,INDEX(MASTER_AREAS!$B:$B,168)))),167,""),""),IF('TRANSPORT DASHBOARD'!$B$4="Zone",IF(167&lt;=$I$4,IF(OR('TRANSPORT DASHBOARD'!$C$4="",ISNUMBER(SEARCH('TRANSPORT DASHBOARD'!$C$4,INDEX(MASTER_ZONES!$B:$B,168)))),167,""),""),""))</f>
        <v/>
      </c>
      <c r="G168">
        <f>IFERROR(SMALL($F$2:$F$1365,167),"")</f>
        <v/>
      </c>
      <c r="H168">
        <f>IF(G168="","",IF('TRANSPORT DASHBOARD'!$B$4="Area",INDEX(MASTER_AREAS!$B:$B,G168+1),INDEX(MASTER_ZONES!$B:$B,G168+1)))</f>
        <v/>
      </c>
    </row>
    <row r="169">
      <c r="A169">
        <f>IF('WSF DASHBOARD'!$B$4="Area",IF(168&lt;=$D$3,IF(OR('WSF DASHBOARD'!$C$4="",ISNUMBER(SEARCH('WSF DASHBOARD'!$C$4,INDEX(MASTER_AREAS!$B:$B,169)))),168,""),""),IF('WSF DASHBOARD'!$B$4="Zone",IF(168&lt;=$D$4,IF(OR('WSF DASHBOARD'!$C$4="",ISNUMBER(SEARCH('WSF DASHBOARD'!$C$4,INDEX(MASTER_ZONES!$B:$B,169)))),168,""),""),""))</f>
        <v/>
      </c>
      <c r="B169">
        <f>IFERROR(SMALL($A$2:$A$1365,168),"")</f>
        <v/>
      </c>
      <c r="C169">
        <f>IF(B169="","",IF('WSF DASHBOARD'!$B$4="Area",INDEX(MASTER_AREAS!$B:$B,B169+1),INDEX(MASTER_ZONES!$B:$B,B169+1)))</f>
        <v/>
      </c>
      <c r="F169">
        <f>IF('TRANSPORT DASHBOARD'!$B$4="Area",IF(168&lt;=$I$3,IF(OR('TRANSPORT DASHBOARD'!$C$4="",ISNUMBER(SEARCH('TRANSPORT DASHBOARD'!$C$4,INDEX(MASTER_AREAS!$B:$B,169)))),168,""),""),IF('TRANSPORT DASHBOARD'!$B$4="Zone",IF(168&lt;=$I$4,IF(OR('TRANSPORT DASHBOARD'!$C$4="",ISNUMBER(SEARCH('TRANSPORT DASHBOARD'!$C$4,INDEX(MASTER_ZONES!$B:$B,169)))),168,""),""),""))</f>
        <v/>
      </c>
      <c r="G169">
        <f>IFERROR(SMALL($F$2:$F$1365,168),"")</f>
        <v/>
      </c>
      <c r="H169">
        <f>IF(G169="","",IF('TRANSPORT DASHBOARD'!$B$4="Area",INDEX(MASTER_AREAS!$B:$B,G169+1),INDEX(MASTER_ZONES!$B:$B,G169+1)))</f>
        <v/>
      </c>
    </row>
    <row r="170">
      <c r="A170">
        <f>IF('WSF DASHBOARD'!$B$4="Area",IF(169&lt;=$D$3,IF(OR('WSF DASHBOARD'!$C$4="",ISNUMBER(SEARCH('WSF DASHBOARD'!$C$4,INDEX(MASTER_AREAS!$B:$B,170)))),169,""),""),IF('WSF DASHBOARD'!$B$4="Zone",IF(169&lt;=$D$4,IF(OR('WSF DASHBOARD'!$C$4="",ISNUMBER(SEARCH('WSF DASHBOARD'!$C$4,INDEX(MASTER_ZONES!$B:$B,170)))),169,""),""),""))</f>
        <v/>
      </c>
      <c r="B170">
        <f>IFERROR(SMALL($A$2:$A$1365,169),"")</f>
        <v/>
      </c>
      <c r="C170">
        <f>IF(B170="","",IF('WSF DASHBOARD'!$B$4="Area",INDEX(MASTER_AREAS!$B:$B,B170+1),INDEX(MASTER_ZONES!$B:$B,B170+1)))</f>
        <v/>
      </c>
      <c r="F170">
        <f>IF('TRANSPORT DASHBOARD'!$B$4="Area",IF(169&lt;=$I$3,IF(OR('TRANSPORT DASHBOARD'!$C$4="",ISNUMBER(SEARCH('TRANSPORT DASHBOARD'!$C$4,INDEX(MASTER_AREAS!$B:$B,170)))),169,""),""),IF('TRANSPORT DASHBOARD'!$B$4="Zone",IF(169&lt;=$I$4,IF(OR('TRANSPORT DASHBOARD'!$C$4="",ISNUMBER(SEARCH('TRANSPORT DASHBOARD'!$C$4,INDEX(MASTER_ZONES!$B:$B,170)))),169,""),""),""))</f>
        <v/>
      </c>
      <c r="G170">
        <f>IFERROR(SMALL($F$2:$F$1365,169),"")</f>
        <v/>
      </c>
      <c r="H170">
        <f>IF(G170="","",IF('TRANSPORT DASHBOARD'!$B$4="Area",INDEX(MASTER_AREAS!$B:$B,G170+1),INDEX(MASTER_ZONES!$B:$B,G170+1)))</f>
        <v/>
      </c>
    </row>
    <row r="171">
      <c r="A171">
        <f>IF('WSF DASHBOARD'!$B$4="Area",IF(170&lt;=$D$3,IF(OR('WSF DASHBOARD'!$C$4="",ISNUMBER(SEARCH('WSF DASHBOARD'!$C$4,INDEX(MASTER_AREAS!$B:$B,171)))),170,""),""),IF('WSF DASHBOARD'!$B$4="Zone",IF(170&lt;=$D$4,IF(OR('WSF DASHBOARD'!$C$4="",ISNUMBER(SEARCH('WSF DASHBOARD'!$C$4,INDEX(MASTER_ZONES!$B:$B,171)))),170,""),""),""))</f>
        <v/>
      </c>
      <c r="B171">
        <f>IFERROR(SMALL($A$2:$A$1365,170),"")</f>
        <v/>
      </c>
      <c r="C171">
        <f>IF(B171="","",IF('WSF DASHBOARD'!$B$4="Area",INDEX(MASTER_AREAS!$B:$B,B171+1),INDEX(MASTER_ZONES!$B:$B,B171+1)))</f>
        <v/>
      </c>
      <c r="F171">
        <f>IF('TRANSPORT DASHBOARD'!$B$4="Area",IF(170&lt;=$I$3,IF(OR('TRANSPORT DASHBOARD'!$C$4="",ISNUMBER(SEARCH('TRANSPORT DASHBOARD'!$C$4,INDEX(MASTER_AREAS!$B:$B,171)))),170,""),""),IF('TRANSPORT DASHBOARD'!$B$4="Zone",IF(170&lt;=$I$4,IF(OR('TRANSPORT DASHBOARD'!$C$4="",ISNUMBER(SEARCH('TRANSPORT DASHBOARD'!$C$4,INDEX(MASTER_ZONES!$B:$B,171)))),170,""),""),""))</f>
        <v/>
      </c>
      <c r="G171">
        <f>IFERROR(SMALL($F$2:$F$1365,170),"")</f>
        <v/>
      </c>
      <c r="H171">
        <f>IF(G171="","",IF('TRANSPORT DASHBOARD'!$B$4="Area",INDEX(MASTER_AREAS!$B:$B,G171+1),INDEX(MASTER_ZONES!$B:$B,G171+1)))</f>
        <v/>
      </c>
    </row>
    <row r="172">
      <c r="A172">
        <f>IF('WSF DASHBOARD'!$B$4="Area",IF(171&lt;=$D$3,IF(OR('WSF DASHBOARD'!$C$4="",ISNUMBER(SEARCH('WSF DASHBOARD'!$C$4,INDEX(MASTER_AREAS!$B:$B,172)))),171,""),""),IF('WSF DASHBOARD'!$B$4="Zone",IF(171&lt;=$D$4,IF(OR('WSF DASHBOARD'!$C$4="",ISNUMBER(SEARCH('WSF DASHBOARD'!$C$4,INDEX(MASTER_ZONES!$B:$B,172)))),171,""),""),""))</f>
        <v/>
      </c>
      <c r="B172">
        <f>IFERROR(SMALL($A$2:$A$1365,171),"")</f>
        <v/>
      </c>
      <c r="C172">
        <f>IF(B172="","",IF('WSF DASHBOARD'!$B$4="Area",INDEX(MASTER_AREAS!$B:$B,B172+1),INDEX(MASTER_ZONES!$B:$B,B172+1)))</f>
        <v/>
      </c>
      <c r="F172">
        <f>IF('TRANSPORT DASHBOARD'!$B$4="Area",IF(171&lt;=$I$3,IF(OR('TRANSPORT DASHBOARD'!$C$4="",ISNUMBER(SEARCH('TRANSPORT DASHBOARD'!$C$4,INDEX(MASTER_AREAS!$B:$B,172)))),171,""),""),IF('TRANSPORT DASHBOARD'!$B$4="Zone",IF(171&lt;=$I$4,IF(OR('TRANSPORT DASHBOARD'!$C$4="",ISNUMBER(SEARCH('TRANSPORT DASHBOARD'!$C$4,INDEX(MASTER_ZONES!$B:$B,172)))),171,""),""),""))</f>
        <v/>
      </c>
      <c r="G172">
        <f>IFERROR(SMALL($F$2:$F$1365,171),"")</f>
        <v/>
      </c>
      <c r="H172">
        <f>IF(G172="","",IF('TRANSPORT DASHBOARD'!$B$4="Area",INDEX(MASTER_AREAS!$B:$B,G172+1),INDEX(MASTER_ZONES!$B:$B,G172+1)))</f>
        <v/>
      </c>
    </row>
    <row r="173">
      <c r="A173">
        <f>IF('WSF DASHBOARD'!$B$4="Area",IF(172&lt;=$D$3,IF(OR('WSF DASHBOARD'!$C$4="",ISNUMBER(SEARCH('WSF DASHBOARD'!$C$4,INDEX(MASTER_AREAS!$B:$B,173)))),172,""),""),IF('WSF DASHBOARD'!$B$4="Zone",IF(172&lt;=$D$4,IF(OR('WSF DASHBOARD'!$C$4="",ISNUMBER(SEARCH('WSF DASHBOARD'!$C$4,INDEX(MASTER_ZONES!$B:$B,173)))),172,""),""),""))</f>
        <v/>
      </c>
      <c r="B173">
        <f>IFERROR(SMALL($A$2:$A$1365,172),"")</f>
        <v/>
      </c>
      <c r="C173">
        <f>IF(B173="","",IF('WSF DASHBOARD'!$B$4="Area",INDEX(MASTER_AREAS!$B:$B,B173+1),INDEX(MASTER_ZONES!$B:$B,B173+1)))</f>
        <v/>
      </c>
      <c r="F173">
        <f>IF('TRANSPORT DASHBOARD'!$B$4="Area",IF(172&lt;=$I$3,IF(OR('TRANSPORT DASHBOARD'!$C$4="",ISNUMBER(SEARCH('TRANSPORT DASHBOARD'!$C$4,INDEX(MASTER_AREAS!$B:$B,173)))),172,""),""),IF('TRANSPORT DASHBOARD'!$B$4="Zone",IF(172&lt;=$I$4,IF(OR('TRANSPORT DASHBOARD'!$C$4="",ISNUMBER(SEARCH('TRANSPORT DASHBOARD'!$C$4,INDEX(MASTER_ZONES!$B:$B,173)))),172,""),""),""))</f>
        <v/>
      </c>
      <c r="G173">
        <f>IFERROR(SMALL($F$2:$F$1365,172),"")</f>
        <v/>
      </c>
      <c r="H173">
        <f>IF(G173="","",IF('TRANSPORT DASHBOARD'!$B$4="Area",INDEX(MASTER_AREAS!$B:$B,G173+1),INDEX(MASTER_ZONES!$B:$B,G173+1)))</f>
        <v/>
      </c>
    </row>
    <row r="174">
      <c r="A174">
        <f>IF('WSF DASHBOARD'!$B$4="Area",IF(173&lt;=$D$3,IF(OR('WSF DASHBOARD'!$C$4="",ISNUMBER(SEARCH('WSF DASHBOARD'!$C$4,INDEX(MASTER_AREAS!$B:$B,174)))),173,""),""),IF('WSF DASHBOARD'!$B$4="Zone",IF(173&lt;=$D$4,IF(OR('WSF DASHBOARD'!$C$4="",ISNUMBER(SEARCH('WSF DASHBOARD'!$C$4,INDEX(MASTER_ZONES!$B:$B,174)))),173,""),""),""))</f>
        <v/>
      </c>
      <c r="B174">
        <f>IFERROR(SMALL($A$2:$A$1365,173),"")</f>
        <v/>
      </c>
      <c r="C174">
        <f>IF(B174="","",IF('WSF DASHBOARD'!$B$4="Area",INDEX(MASTER_AREAS!$B:$B,B174+1),INDEX(MASTER_ZONES!$B:$B,B174+1)))</f>
        <v/>
      </c>
      <c r="F174">
        <f>IF('TRANSPORT DASHBOARD'!$B$4="Area",IF(173&lt;=$I$3,IF(OR('TRANSPORT DASHBOARD'!$C$4="",ISNUMBER(SEARCH('TRANSPORT DASHBOARD'!$C$4,INDEX(MASTER_AREAS!$B:$B,174)))),173,""),""),IF('TRANSPORT DASHBOARD'!$B$4="Zone",IF(173&lt;=$I$4,IF(OR('TRANSPORT DASHBOARD'!$C$4="",ISNUMBER(SEARCH('TRANSPORT DASHBOARD'!$C$4,INDEX(MASTER_ZONES!$B:$B,174)))),173,""),""),""))</f>
        <v/>
      </c>
      <c r="G174">
        <f>IFERROR(SMALL($F$2:$F$1365,173),"")</f>
        <v/>
      </c>
      <c r="H174">
        <f>IF(G174="","",IF('TRANSPORT DASHBOARD'!$B$4="Area",INDEX(MASTER_AREAS!$B:$B,G174+1),INDEX(MASTER_ZONES!$B:$B,G174+1)))</f>
        <v/>
      </c>
    </row>
    <row r="175">
      <c r="A175">
        <f>IF('WSF DASHBOARD'!$B$4="Area",IF(174&lt;=$D$3,IF(OR('WSF DASHBOARD'!$C$4="",ISNUMBER(SEARCH('WSF DASHBOARD'!$C$4,INDEX(MASTER_AREAS!$B:$B,175)))),174,""),""),IF('WSF DASHBOARD'!$B$4="Zone",IF(174&lt;=$D$4,IF(OR('WSF DASHBOARD'!$C$4="",ISNUMBER(SEARCH('WSF DASHBOARD'!$C$4,INDEX(MASTER_ZONES!$B:$B,175)))),174,""),""),""))</f>
        <v/>
      </c>
      <c r="B175">
        <f>IFERROR(SMALL($A$2:$A$1365,174),"")</f>
        <v/>
      </c>
      <c r="C175">
        <f>IF(B175="","",IF('WSF DASHBOARD'!$B$4="Area",INDEX(MASTER_AREAS!$B:$B,B175+1),INDEX(MASTER_ZONES!$B:$B,B175+1)))</f>
        <v/>
      </c>
      <c r="F175">
        <f>IF('TRANSPORT DASHBOARD'!$B$4="Area",IF(174&lt;=$I$3,IF(OR('TRANSPORT DASHBOARD'!$C$4="",ISNUMBER(SEARCH('TRANSPORT DASHBOARD'!$C$4,INDEX(MASTER_AREAS!$B:$B,175)))),174,""),""),IF('TRANSPORT DASHBOARD'!$B$4="Zone",IF(174&lt;=$I$4,IF(OR('TRANSPORT DASHBOARD'!$C$4="",ISNUMBER(SEARCH('TRANSPORT DASHBOARD'!$C$4,INDEX(MASTER_ZONES!$B:$B,175)))),174,""),""),""))</f>
        <v/>
      </c>
      <c r="G175">
        <f>IFERROR(SMALL($F$2:$F$1365,174),"")</f>
        <v/>
      </c>
      <c r="H175">
        <f>IF(G175="","",IF('TRANSPORT DASHBOARD'!$B$4="Area",INDEX(MASTER_AREAS!$B:$B,G175+1),INDEX(MASTER_ZONES!$B:$B,G175+1)))</f>
        <v/>
      </c>
    </row>
    <row r="176">
      <c r="A176">
        <f>IF('WSF DASHBOARD'!$B$4="Area",IF(175&lt;=$D$3,IF(OR('WSF DASHBOARD'!$C$4="",ISNUMBER(SEARCH('WSF DASHBOARD'!$C$4,INDEX(MASTER_AREAS!$B:$B,176)))),175,""),""),IF('WSF DASHBOARD'!$B$4="Zone",IF(175&lt;=$D$4,IF(OR('WSF DASHBOARD'!$C$4="",ISNUMBER(SEARCH('WSF DASHBOARD'!$C$4,INDEX(MASTER_ZONES!$B:$B,176)))),175,""),""),""))</f>
        <v/>
      </c>
      <c r="B176">
        <f>IFERROR(SMALL($A$2:$A$1365,175),"")</f>
        <v/>
      </c>
      <c r="C176">
        <f>IF(B176="","",IF('WSF DASHBOARD'!$B$4="Area",INDEX(MASTER_AREAS!$B:$B,B176+1),INDEX(MASTER_ZONES!$B:$B,B176+1)))</f>
        <v/>
      </c>
      <c r="F176">
        <f>IF('TRANSPORT DASHBOARD'!$B$4="Area",IF(175&lt;=$I$3,IF(OR('TRANSPORT DASHBOARD'!$C$4="",ISNUMBER(SEARCH('TRANSPORT DASHBOARD'!$C$4,INDEX(MASTER_AREAS!$B:$B,176)))),175,""),""),IF('TRANSPORT DASHBOARD'!$B$4="Zone",IF(175&lt;=$I$4,IF(OR('TRANSPORT DASHBOARD'!$C$4="",ISNUMBER(SEARCH('TRANSPORT DASHBOARD'!$C$4,INDEX(MASTER_ZONES!$B:$B,176)))),175,""),""),""))</f>
        <v/>
      </c>
      <c r="G176">
        <f>IFERROR(SMALL($F$2:$F$1365,175),"")</f>
        <v/>
      </c>
      <c r="H176">
        <f>IF(G176="","",IF('TRANSPORT DASHBOARD'!$B$4="Area",INDEX(MASTER_AREAS!$B:$B,G176+1),INDEX(MASTER_ZONES!$B:$B,G176+1)))</f>
        <v/>
      </c>
    </row>
    <row r="177">
      <c r="A177">
        <f>IF('WSF DASHBOARD'!$B$4="Area",IF(176&lt;=$D$3,IF(OR('WSF DASHBOARD'!$C$4="",ISNUMBER(SEARCH('WSF DASHBOARD'!$C$4,INDEX(MASTER_AREAS!$B:$B,177)))),176,""),""),IF('WSF DASHBOARD'!$B$4="Zone",IF(176&lt;=$D$4,IF(OR('WSF DASHBOARD'!$C$4="",ISNUMBER(SEARCH('WSF DASHBOARD'!$C$4,INDEX(MASTER_ZONES!$B:$B,177)))),176,""),""),""))</f>
        <v/>
      </c>
      <c r="B177">
        <f>IFERROR(SMALL($A$2:$A$1365,176),"")</f>
        <v/>
      </c>
      <c r="C177">
        <f>IF(B177="","",IF('WSF DASHBOARD'!$B$4="Area",INDEX(MASTER_AREAS!$B:$B,B177+1),INDEX(MASTER_ZONES!$B:$B,B177+1)))</f>
        <v/>
      </c>
      <c r="F177">
        <f>IF('TRANSPORT DASHBOARD'!$B$4="Area",IF(176&lt;=$I$3,IF(OR('TRANSPORT DASHBOARD'!$C$4="",ISNUMBER(SEARCH('TRANSPORT DASHBOARD'!$C$4,INDEX(MASTER_AREAS!$B:$B,177)))),176,""),""),IF('TRANSPORT DASHBOARD'!$B$4="Zone",IF(176&lt;=$I$4,IF(OR('TRANSPORT DASHBOARD'!$C$4="",ISNUMBER(SEARCH('TRANSPORT DASHBOARD'!$C$4,INDEX(MASTER_ZONES!$B:$B,177)))),176,""),""),""))</f>
        <v/>
      </c>
      <c r="G177">
        <f>IFERROR(SMALL($F$2:$F$1365,176),"")</f>
        <v/>
      </c>
      <c r="H177">
        <f>IF(G177="","",IF('TRANSPORT DASHBOARD'!$B$4="Area",INDEX(MASTER_AREAS!$B:$B,G177+1),INDEX(MASTER_ZONES!$B:$B,G177+1)))</f>
        <v/>
      </c>
    </row>
    <row r="178">
      <c r="A178">
        <f>IF('WSF DASHBOARD'!$B$4="Area",IF(177&lt;=$D$3,IF(OR('WSF DASHBOARD'!$C$4="",ISNUMBER(SEARCH('WSF DASHBOARD'!$C$4,INDEX(MASTER_AREAS!$B:$B,178)))),177,""),""),IF('WSF DASHBOARD'!$B$4="Zone",IF(177&lt;=$D$4,IF(OR('WSF DASHBOARD'!$C$4="",ISNUMBER(SEARCH('WSF DASHBOARD'!$C$4,INDEX(MASTER_ZONES!$B:$B,178)))),177,""),""),""))</f>
        <v/>
      </c>
      <c r="B178">
        <f>IFERROR(SMALL($A$2:$A$1365,177),"")</f>
        <v/>
      </c>
      <c r="C178">
        <f>IF(B178="","",IF('WSF DASHBOARD'!$B$4="Area",INDEX(MASTER_AREAS!$B:$B,B178+1),INDEX(MASTER_ZONES!$B:$B,B178+1)))</f>
        <v/>
      </c>
      <c r="F178">
        <f>IF('TRANSPORT DASHBOARD'!$B$4="Area",IF(177&lt;=$I$3,IF(OR('TRANSPORT DASHBOARD'!$C$4="",ISNUMBER(SEARCH('TRANSPORT DASHBOARD'!$C$4,INDEX(MASTER_AREAS!$B:$B,178)))),177,""),""),IF('TRANSPORT DASHBOARD'!$B$4="Zone",IF(177&lt;=$I$4,IF(OR('TRANSPORT DASHBOARD'!$C$4="",ISNUMBER(SEARCH('TRANSPORT DASHBOARD'!$C$4,INDEX(MASTER_ZONES!$B:$B,178)))),177,""),""),""))</f>
        <v/>
      </c>
      <c r="G178">
        <f>IFERROR(SMALL($F$2:$F$1365,177),"")</f>
        <v/>
      </c>
      <c r="H178">
        <f>IF(G178="","",IF('TRANSPORT DASHBOARD'!$B$4="Area",INDEX(MASTER_AREAS!$B:$B,G178+1),INDEX(MASTER_ZONES!$B:$B,G178+1)))</f>
        <v/>
      </c>
    </row>
    <row r="179">
      <c r="A179">
        <f>IF('WSF DASHBOARD'!$B$4="Area",IF(178&lt;=$D$3,IF(OR('WSF DASHBOARD'!$C$4="",ISNUMBER(SEARCH('WSF DASHBOARD'!$C$4,INDEX(MASTER_AREAS!$B:$B,179)))),178,""),""),IF('WSF DASHBOARD'!$B$4="Zone",IF(178&lt;=$D$4,IF(OR('WSF DASHBOARD'!$C$4="",ISNUMBER(SEARCH('WSF DASHBOARD'!$C$4,INDEX(MASTER_ZONES!$B:$B,179)))),178,""),""),""))</f>
        <v/>
      </c>
      <c r="B179">
        <f>IFERROR(SMALL($A$2:$A$1365,178),"")</f>
        <v/>
      </c>
      <c r="C179">
        <f>IF(B179="","",IF('WSF DASHBOARD'!$B$4="Area",INDEX(MASTER_AREAS!$B:$B,B179+1),INDEX(MASTER_ZONES!$B:$B,B179+1)))</f>
        <v/>
      </c>
      <c r="F179">
        <f>IF('TRANSPORT DASHBOARD'!$B$4="Area",IF(178&lt;=$I$3,IF(OR('TRANSPORT DASHBOARD'!$C$4="",ISNUMBER(SEARCH('TRANSPORT DASHBOARD'!$C$4,INDEX(MASTER_AREAS!$B:$B,179)))),178,""),""),IF('TRANSPORT DASHBOARD'!$B$4="Zone",IF(178&lt;=$I$4,IF(OR('TRANSPORT DASHBOARD'!$C$4="",ISNUMBER(SEARCH('TRANSPORT DASHBOARD'!$C$4,INDEX(MASTER_ZONES!$B:$B,179)))),178,""),""),""))</f>
        <v/>
      </c>
      <c r="G179">
        <f>IFERROR(SMALL($F$2:$F$1365,178),"")</f>
        <v/>
      </c>
      <c r="H179">
        <f>IF(G179="","",IF('TRANSPORT DASHBOARD'!$B$4="Area",INDEX(MASTER_AREAS!$B:$B,G179+1),INDEX(MASTER_ZONES!$B:$B,G179+1)))</f>
        <v/>
      </c>
    </row>
    <row r="180">
      <c r="A180">
        <f>IF('WSF DASHBOARD'!$B$4="Area",IF(179&lt;=$D$3,IF(OR('WSF DASHBOARD'!$C$4="",ISNUMBER(SEARCH('WSF DASHBOARD'!$C$4,INDEX(MASTER_AREAS!$B:$B,180)))),179,""),""),IF('WSF DASHBOARD'!$B$4="Zone",IF(179&lt;=$D$4,IF(OR('WSF DASHBOARD'!$C$4="",ISNUMBER(SEARCH('WSF DASHBOARD'!$C$4,INDEX(MASTER_ZONES!$B:$B,180)))),179,""),""),""))</f>
        <v/>
      </c>
      <c r="B180">
        <f>IFERROR(SMALL($A$2:$A$1365,179),"")</f>
        <v/>
      </c>
      <c r="C180">
        <f>IF(B180="","",IF('WSF DASHBOARD'!$B$4="Area",INDEX(MASTER_AREAS!$B:$B,B180+1),INDEX(MASTER_ZONES!$B:$B,B180+1)))</f>
        <v/>
      </c>
      <c r="F180">
        <f>IF('TRANSPORT DASHBOARD'!$B$4="Area",IF(179&lt;=$I$3,IF(OR('TRANSPORT DASHBOARD'!$C$4="",ISNUMBER(SEARCH('TRANSPORT DASHBOARD'!$C$4,INDEX(MASTER_AREAS!$B:$B,180)))),179,""),""),IF('TRANSPORT DASHBOARD'!$B$4="Zone",IF(179&lt;=$I$4,IF(OR('TRANSPORT DASHBOARD'!$C$4="",ISNUMBER(SEARCH('TRANSPORT DASHBOARD'!$C$4,INDEX(MASTER_ZONES!$B:$B,180)))),179,""),""),""))</f>
        <v/>
      </c>
      <c r="G180">
        <f>IFERROR(SMALL($F$2:$F$1365,179),"")</f>
        <v/>
      </c>
      <c r="H180">
        <f>IF(G180="","",IF('TRANSPORT DASHBOARD'!$B$4="Area",INDEX(MASTER_AREAS!$B:$B,G180+1),INDEX(MASTER_ZONES!$B:$B,G180+1)))</f>
        <v/>
      </c>
    </row>
    <row r="181">
      <c r="A181">
        <f>IF('WSF DASHBOARD'!$B$4="Area",IF(180&lt;=$D$3,IF(OR('WSF DASHBOARD'!$C$4="",ISNUMBER(SEARCH('WSF DASHBOARD'!$C$4,INDEX(MASTER_AREAS!$B:$B,181)))),180,""),""),IF('WSF DASHBOARD'!$B$4="Zone",IF(180&lt;=$D$4,IF(OR('WSF DASHBOARD'!$C$4="",ISNUMBER(SEARCH('WSF DASHBOARD'!$C$4,INDEX(MASTER_ZONES!$B:$B,181)))),180,""),""),""))</f>
        <v/>
      </c>
      <c r="B181">
        <f>IFERROR(SMALL($A$2:$A$1365,180),"")</f>
        <v/>
      </c>
      <c r="C181">
        <f>IF(B181="","",IF('WSF DASHBOARD'!$B$4="Area",INDEX(MASTER_AREAS!$B:$B,B181+1),INDEX(MASTER_ZONES!$B:$B,B181+1)))</f>
        <v/>
      </c>
      <c r="F181">
        <f>IF('TRANSPORT DASHBOARD'!$B$4="Area",IF(180&lt;=$I$3,IF(OR('TRANSPORT DASHBOARD'!$C$4="",ISNUMBER(SEARCH('TRANSPORT DASHBOARD'!$C$4,INDEX(MASTER_AREAS!$B:$B,181)))),180,""),""),IF('TRANSPORT DASHBOARD'!$B$4="Zone",IF(180&lt;=$I$4,IF(OR('TRANSPORT DASHBOARD'!$C$4="",ISNUMBER(SEARCH('TRANSPORT DASHBOARD'!$C$4,INDEX(MASTER_ZONES!$B:$B,181)))),180,""),""),""))</f>
        <v/>
      </c>
      <c r="G181">
        <f>IFERROR(SMALL($F$2:$F$1365,180),"")</f>
        <v/>
      </c>
      <c r="H181">
        <f>IF(G181="","",IF('TRANSPORT DASHBOARD'!$B$4="Area",INDEX(MASTER_AREAS!$B:$B,G181+1),INDEX(MASTER_ZONES!$B:$B,G181+1)))</f>
        <v/>
      </c>
    </row>
    <row r="182">
      <c r="A182">
        <f>IF('WSF DASHBOARD'!$B$4="Area",IF(181&lt;=$D$3,IF(OR('WSF DASHBOARD'!$C$4="",ISNUMBER(SEARCH('WSF DASHBOARD'!$C$4,INDEX(MASTER_AREAS!$B:$B,182)))),181,""),""),IF('WSF DASHBOARD'!$B$4="Zone",IF(181&lt;=$D$4,IF(OR('WSF DASHBOARD'!$C$4="",ISNUMBER(SEARCH('WSF DASHBOARD'!$C$4,INDEX(MASTER_ZONES!$B:$B,182)))),181,""),""),""))</f>
        <v/>
      </c>
      <c r="B182">
        <f>IFERROR(SMALL($A$2:$A$1365,181),"")</f>
        <v/>
      </c>
      <c r="C182">
        <f>IF(B182="","",IF('WSF DASHBOARD'!$B$4="Area",INDEX(MASTER_AREAS!$B:$B,B182+1),INDEX(MASTER_ZONES!$B:$B,B182+1)))</f>
        <v/>
      </c>
      <c r="F182">
        <f>IF('TRANSPORT DASHBOARD'!$B$4="Area",IF(181&lt;=$I$3,IF(OR('TRANSPORT DASHBOARD'!$C$4="",ISNUMBER(SEARCH('TRANSPORT DASHBOARD'!$C$4,INDEX(MASTER_AREAS!$B:$B,182)))),181,""),""),IF('TRANSPORT DASHBOARD'!$B$4="Zone",IF(181&lt;=$I$4,IF(OR('TRANSPORT DASHBOARD'!$C$4="",ISNUMBER(SEARCH('TRANSPORT DASHBOARD'!$C$4,INDEX(MASTER_ZONES!$B:$B,182)))),181,""),""),""))</f>
        <v/>
      </c>
      <c r="G182">
        <f>IFERROR(SMALL($F$2:$F$1365,181),"")</f>
        <v/>
      </c>
      <c r="H182">
        <f>IF(G182="","",IF('TRANSPORT DASHBOARD'!$B$4="Area",INDEX(MASTER_AREAS!$B:$B,G182+1),INDEX(MASTER_ZONES!$B:$B,G182+1)))</f>
        <v/>
      </c>
    </row>
    <row r="183">
      <c r="A183">
        <f>IF('WSF DASHBOARD'!$B$4="Area",IF(182&lt;=$D$3,IF(OR('WSF DASHBOARD'!$C$4="",ISNUMBER(SEARCH('WSF DASHBOARD'!$C$4,INDEX(MASTER_AREAS!$B:$B,183)))),182,""),""),IF('WSF DASHBOARD'!$B$4="Zone",IF(182&lt;=$D$4,IF(OR('WSF DASHBOARD'!$C$4="",ISNUMBER(SEARCH('WSF DASHBOARD'!$C$4,INDEX(MASTER_ZONES!$B:$B,183)))),182,""),""),""))</f>
        <v/>
      </c>
      <c r="B183">
        <f>IFERROR(SMALL($A$2:$A$1365,182),"")</f>
        <v/>
      </c>
      <c r="C183">
        <f>IF(B183="","",IF('WSF DASHBOARD'!$B$4="Area",INDEX(MASTER_AREAS!$B:$B,B183+1),INDEX(MASTER_ZONES!$B:$B,B183+1)))</f>
        <v/>
      </c>
      <c r="F183">
        <f>IF('TRANSPORT DASHBOARD'!$B$4="Area",IF(182&lt;=$I$3,IF(OR('TRANSPORT DASHBOARD'!$C$4="",ISNUMBER(SEARCH('TRANSPORT DASHBOARD'!$C$4,INDEX(MASTER_AREAS!$B:$B,183)))),182,""),""),IF('TRANSPORT DASHBOARD'!$B$4="Zone",IF(182&lt;=$I$4,IF(OR('TRANSPORT DASHBOARD'!$C$4="",ISNUMBER(SEARCH('TRANSPORT DASHBOARD'!$C$4,INDEX(MASTER_ZONES!$B:$B,183)))),182,""),""),""))</f>
        <v/>
      </c>
      <c r="G183">
        <f>IFERROR(SMALL($F$2:$F$1365,182),"")</f>
        <v/>
      </c>
      <c r="H183">
        <f>IF(G183="","",IF('TRANSPORT DASHBOARD'!$B$4="Area",INDEX(MASTER_AREAS!$B:$B,G183+1),INDEX(MASTER_ZONES!$B:$B,G183+1)))</f>
        <v/>
      </c>
    </row>
    <row r="184">
      <c r="A184">
        <f>IF('WSF DASHBOARD'!$B$4="Area",IF(183&lt;=$D$3,IF(OR('WSF DASHBOARD'!$C$4="",ISNUMBER(SEARCH('WSF DASHBOARD'!$C$4,INDEX(MASTER_AREAS!$B:$B,184)))),183,""),""),IF('WSF DASHBOARD'!$B$4="Zone",IF(183&lt;=$D$4,IF(OR('WSF DASHBOARD'!$C$4="",ISNUMBER(SEARCH('WSF DASHBOARD'!$C$4,INDEX(MASTER_ZONES!$B:$B,184)))),183,""),""),""))</f>
        <v/>
      </c>
      <c r="B184">
        <f>IFERROR(SMALL($A$2:$A$1365,183),"")</f>
        <v/>
      </c>
      <c r="C184">
        <f>IF(B184="","",IF('WSF DASHBOARD'!$B$4="Area",INDEX(MASTER_AREAS!$B:$B,B184+1),INDEX(MASTER_ZONES!$B:$B,B184+1)))</f>
        <v/>
      </c>
      <c r="F184">
        <f>IF('TRANSPORT DASHBOARD'!$B$4="Area",IF(183&lt;=$I$3,IF(OR('TRANSPORT DASHBOARD'!$C$4="",ISNUMBER(SEARCH('TRANSPORT DASHBOARD'!$C$4,INDEX(MASTER_AREAS!$B:$B,184)))),183,""),""),IF('TRANSPORT DASHBOARD'!$B$4="Zone",IF(183&lt;=$I$4,IF(OR('TRANSPORT DASHBOARD'!$C$4="",ISNUMBER(SEARCH('TRANSPORT DASHBOARD'!$C$4,INDEX(MASTER_ZONES!$B:$B,184)))),183,""),""),""))</f>
        <v/>
      </c>
      <c r="G184">
        <f>IFERROR(SMALL($F$2:$F$1365,183),"")</f>
        <v/>
      </c>
      <c r="H184">
        <f>IF(G184="","",IF('TRANSPORT DASHBOARD'!$B$4="Area",INDEX(MASTER_AREAS!$B:$B,G184+1),INDEX(MASTER_ZONES!$B:$B,G184+1)))</f>
        <v/>
      </c>
    </row>
    <row r="185">
      <c r="A185">
        <f>IF('WSF DASHBOARD'!$B$4="Area",IF(184&lt;=$D$3,IF(OR('WSF DASHBOARD'!$C$4="",ISNUMBER(SEARCH('WSF DASHBOARD'!$C$4,INDEX(MASTER_AREAS!$B:$B,185)))),184,""),""),IF('WSF DASHBOARD'!$B$4="Zone",IF(184&lt;=$D$4,IF(OR('WSF DASHBOARD'!$C$4="",ISNUMBER(SEARCH('WSF DASHBOARD'!$C$4,INDEX(MASTER_ZONES!$B:$B,185)))),184,""),""),""))</f>
        <v/>
      </c>
      <c r="B185">
        <f>IFERROR(SMALL($A$2:$A$1365,184),"")</f>
        <v/>
      </c>
      <c r="C185">
        <f>IF(B185="","",IF('WSF DASHBOARD'!$B$4="Area",INDEX(MASTER_AREAS!$B:$B,B185+1),INDEX(MASTER_ZONES!$B:$B,B185+1)))</f>
        <v/>
      </c>
      <c r="F185">
        <f>IF('TRANSPORT DASHBOARD'!$B$4="Area",IF(184&lt;=$I$3,IF(OR('TRANSPORT DASHBOARD'!$C$4="",ISNUMBER(SEARCH('TRANSPORT DASHBOARD'!$C$4,INDEX(MASTER_AREAS!$B:$B,185)))),184,""),""),IF('TRANSPORT DASHBOARD'!$B$4="Zone",IF(184&lt;=$I$4,IF(OR('TRANSPORT DASHBOARD'!$C$4="",ISNUMBER(SEARCH('TRANSPORT DASHBOARD'!$C$4,INDEX(MASTER_ZONES!$B:$B,185)))),184,""),""),""))</f>
        <v/>
      </c>
      <c r="G185">
        <f>IFERROR(SMALL($F$2:$F$1365,184),"")</f>
        <v/>
      </c>
      <c r="H185">
        <f>IF(G185="","",IF('TRANSPORT DASHBOARD'!$B$4="Area",INDEX(MASTER_AREAS!$B:$B,G185+1),INDEX(MASTER_ZONES!$B:$B,G185+1)))</f>
        <v/>
      </c>
    </row>
    <row r="186">
      <c r="A186">
        <f>IF('WSF DASHBOARD'!$B$4="Area",IF(185&lt;=$D$3,IF(OR('WSF DASHBOARD'!$C$4="",ISNUMBER(SEARCH('WSF DASHBOARD'!$C$4,INDEX(MASTER_AREAS!$B:$B,186)))),185,""),""),IF('WSF DASHBOARD'!$B$4="Zone",IF(185&lt;=$D$4,IF(OR('WSF DASHBOARD'!$C$4="",ISNUMBER(SEARCH('WSF DASHBOARD'!$C$4,INDEX(MASTER_ZONES!$B:$B,186)))),185,""),""),""))</f>
        <v/>
      </c>
      <c r="B186">
        <f>IFERROR(SMALL($A$2:$A$1365,185),"")</f>
        <v/>
      </c>
      <c r="C186">
        <f>IF(B186="","",IF('WSF DASHBOARD'!$B$4="Area",INDEX(MASTER_AREAS!$B:$B,B186+1),INDEX(MASTER_ZONES!$B:$B,B186+1)))</f>
        <v/>
      </c>
      <c r="F186">
        <f>IF('TRANSPORT DASHBOARD'!$B$4="Area",IF(185&lt;=$I$3,IF(OR('TRANSPORT DASHBOARD'!$C$4="",ISNUMBER(SEARCH('TRANSPORT DASHBOARD'!$C$4,INDEX(MASTER_AREAS!$B:$B,186)))),185,""),""),IF('TRANSPORT DASHBOARD'!$B$4="Zone",IF(185&lt;=$I$4,IF(OR('TRANSPORT DASHBOARD'!$C$4="",ISNUMBER(SEARCH('TRANSPORT DASHBOARD'!$C$4,INDEX(MASTER_ZONES!$B:$B,186)))),185,""),""),""))</f>
        <v/>
      </c>
      <c r="G186">
        <f>IFERROR(SMALL($F$2:$F$1365,185),"")</f>
        <v/>
      </c>
      <c r="H186">
        <f>IF(G186="","",IF('TRANSPORT DASHBOARD'!$B$4="Area",INDEX(MASTER_AREAS!$B:$B,G186+1),INDEX(MASTER_ZONES!$B:$B,G186+1)))</f>
        <v/>
      </c>
    </row>
    <row r="187">
      <c r="A187">
        <f>IF('WSF DASHBOARD'!$B$4="Area",IF(186&lt;=$D$3,IF(OR('WSF DASHBOARD'!$C$4="",ISNUMBER(SEARCH('WSF DASHBOARD'!$C$4,INDEX(MASTER_AREAS!$B:$B,187)))),186,""),""),IF('WSF DASHBOARD'!$B$4="Zone",IF(186&lt;=$D$4,IF(OR('WSF DASHBOARD'!$C$4="",ISNUMBER(SEARCH('WSF DASHBOARD'!$C$4,INDEX(MASTER_ZONES!$B:$B,187)))),186,""),""),""))</f>
        <v/>
      </c>
      <c r="B187">
        <f>IFERROR(SMALL($A$2:$A$1365,186),"")</f>
        <v/>
      </c>
      <c r="C187">
        <f>IF(B187="","",IF('WSF DASHBOARD'!$B$4="Area",INDEX(MASTER_AREAS!$B:$B,B187+1),INDEX(MASTER_ZONES!$B:$B,B187+1)))</f>
        <v/>
      </c>
      <c r="F187">
        <f>IF('TRANSPORT DASHBOARD'!$B$4="Area",IF(186&lt;=$I$3,IF(OR('TRANSPORT DASHBOARD'!$C$4="",ISNUMBER(SEARCH('TRANSPORT DASHBOARD'!$C$4,INDEX(MASTER_AREAS!$B:$B,187)))),186,""),""),IF('TRANSPORT DASHBOARD'!$B$4="Zone",IF(186&lt;=$I$4,IF(OR('TRANSPORT DASHBOARD'!$C$4="",ISNUMBER(SEARCH('TRANSPORT DASHBOARD'!$C$4,INDEX(MASTER_ZONES!$B:$B,187)))),186,""),""),""))</f>
        <v/>
      </c>
      <c r="G187">
        <f>IFERROR(SMALL($F$2:$F$1365,186),"")</f>
        <v/>
      </c>
      <c r="H187">
        <f>IF(G187="","",IF('TRANSPORT DASHBOARD'!$B$4="Area",INDEX(MASTER_AREAS!$B:$B,G187+1),INDEX(MASTER_ZONES!$B:$B,G187+1)))</f>
        <v/>
      </c>
    </row>
    <row r="188">
      <c r="A188">
        <f>IF('WSF DASHBOARD'!$B$4="Area",IF(187&lt;=$D$3,IF(OR('WSF DASHBOARD'!$C$4="",ISNUMBER(SEARCH('WSF DASHBOARD'!$C$4,INDEX(MASTER_AREAS!$B:$B,188)))),187,""),""),IF('WSF DASHBOARD'!$B$4="Zone",IF(187&lt;=$D$4,IF(OR('WSF DASHBOARD'!$C$4="",ISNUMBER(SEARCH('WSF DASHBOARD'!$C$4,INDEX(MASTER_ZONES!$B:$B,188)))),187,""),""),""))</f>
        <v/>
      </c>
      <c r="B188">
        <f>IFERROR(SMALL($A$2:$A$1365,187),"")</f>
        <v/>
      </c>
      <c r="C188">
        <f>IF(B188="","",IF('WSF DASHBOARD'!$B$4="Area",INDEX(MASTER_AREAS!$B:$B,B188+1),INDEX(MASTER_ZONES!$B:$B,B188+1)))</f>
        <v/>
      </c>
      <c r="F188">
        <f>IF('TRANSPORT DASHBOARD'!$B$4="Area",IF(187&lt;=$I$3,IF(OR('TRANSPORT DASHBOARD'!$C$4="",ISNUMBER(SEARCH('TRANSPORT DASHBOARD'!$C$4,INDEX(MASTER_AREAS!$B:$B,188)))),187,""),""),IF('TRANSPORT DASHBOARD'!$B$4="Zone",IF(187&lt;=$I$4,IF(OR('TRANSPORT DASHBOARD'!$C$4="",ISNUMBER(SEARCH('TRANSPORT DASHBOARD'!$C$4,INDEX(MASTER_ZONES!$B:$B,188)))),187,""),""),""))</f>
        <v/>
      </c>
      <c r="G188">
        <f>IFERROR(SMALL($F$2:$F$1365,187),"")</f>
        <v/>
      </c>
      <c r="H188">
        <f>IF(G188="","",IF('TRANSPORT DASHBOARD'!$B$4="Area",INDEX(MASTER_AREAS!$B:$B,G188+1),INDEX(MASTER_ZONES!$B:$B,G188+1)))</f>
        <v/>
      </c>
    </row>
    <row r="189">
      <c r="A189">
        <f>IF('WSF DASHBOARD'!$B$4="Area",IF(188&lt;=$D$3,IF(OR('WSF DASHBOARD'!$C$4="",ISNUMBER(SEARCH('WSF DASHBOARD'!$C$4,INDEX(MASTER_AREAS!$B:$B,189)))),188,""),""),IF('WSF DASHBOARD'!$B$4="Zone",IF(188&lt;=$D$4,IF(OR('WSF DASHBOARD'!$C$4="",ISNUMBER(SEARCH('WSF DASHBOARD'!$C$4,INDEX(MASTER_ZONES!$B:$B,189)))),188,""),""),""))</f>
        <v/>
      </c>
      <c r="B189">
        <f>IFERROR(SMALL($A$2:$A$1365,188),"")</f>
        <v/>
      </c>
      <c r="C189">
        <f>IF(B189="","",IF('WSF DASHBOARD'!$B$4="Area",INDEX(MASTER_AREAS!$B:$B,B189+1),INDEX(MASTER_ZONES!$B:$B,B189+1)))</f>
        <v/>
      </c>
      <c r="F189">
        <f>IF('TRANSPORT DASHBOARD'!$B$4="Area",IF(188&lt;=$I$3,IF(OR('TRANSPORT DASHBOARD'!$C$4="",ISNUMBER(SEARCH('TRANSPORT DASHBOARD'!$C$4,INDEX(MASTER_AREAS!$B:$B,189)))),188,""),""),IF('TRANSPORT DASHBOARD'!$B$4="Zone",IF(188&lt;=$I$4,IF(OR('TRANSPORT DASHBOARD'!$C$4="",ISNUMBER(SEARCH('TRANSPORT DASHBOARD'!$C$4,INDEX(MASTER_ZONES!$B:$B,189)))),188,""),""),""))</f>
        <v/>
      </c>
      <c r="G189">
        <f>IFERROR(SMALL($F$2:$F$1365,188),"")</f>
        <v/>
      </c>
      <c r="H189">
        <f>IF(G189="","",IF('TRANSPORT DASHBOARD'!$B$4="Area",INDEX(MASTER_AREAS!$B:$B,G189+1),INDEX(MASTER_ZONES!$B:$B,G189+1)))</f>
        <v/>
      </c>
    </row>
    <row r="190">
      <c r="A190">
        <f>IF('WSF DASHBOARD'!$B$4="Area",IF(189&lt;=$D$3,IF(OR('WSF DASHBOARD'!$C$4="",ISNUMBER(SEARCH('WSF DASHBOARD'!$C$4,INDEX(MASTER_AREAS!$B:$B,190)))),189,""),""),IF('WSF DASHBOARD'!$B$4="Zone",IF(189&lt;=$D$4,IF(OR('WSF DASHBOARD'!$C$4="",ISNUMBER(SEARCH('WSF DASHBOARD'!$C$4,INDEX(MASTER_ZONES!$B:$B,190)))),189,""),""),""))</f>
        <v/>
      </c>
      <c r="B190">
        <f>IFERROR(SMALL($A$2:$A$1365,189),"")</f>
        <v/>
      </c>
      <c r="C190">
        <f>IF(B190="","",IF('WSF DASHBOARD'!$B$4="Area",INDEX(MASTER_AREAS!$B:$B,B190+1),INDEX(MASTER_ZONES!$B:$B,B190+1)))</f>
        <v/>
      </c>
      <c r="F190">
        <f>IF('TRANSPORT DASHBOARD'!$B$4="Area",IF(189&lt;=$I$3,IF(OR('TRANSPORT DASHBOARD'!$C$4="",ISNUMBER(SEARCH('TRANSPORT DASHBOARD'!$C$4,INDEX(MASTER_AREAS!$B:$B,190)))),189,""),""),IF('TRANSPORT DASHBOARD'!$B$4="Zone",IF(189&lt;=$I$4,IF(OR('TRANSPORT DASHBOARD'!$C$4="",ISNUMBER(SEARCH('TRANSPORT DASHBOARD'!$C$4,INDEX(MASTER_ZONES!$B:$B,190)))),189,""),""),""))</f>
        <v/>
      </c>
      <c r="G190">
        <f>IFERROR(SMALL($F$2:$F$1365,189),"")</f>
        <v/>
      </c>
      <c r="H190">
        <f>IF(G190="","",IF('TRANSPORT DASHBOARD'!$B$4="Area",INDEX(MASTER_AREAS!$B:$B,G190+1),INDEX(MASTER_ZONES!$B:$B,G190+1)))</f>
        <v/>
      </c>
    </row>
    <row r="191">
      <c r="A191">
        <f>IF('WSF DASHBOARD'!$B$4="Area",IF(190&lt;=$D$3,IF(OR('WSF DASHBOARD'!$C$4="",ISNUMBER(SEARCH('WSF DASHBOARD'!$C$4,INDEX(MASTER_AREAS!$B:$B,191)))),190,""),""),IF('WSF DASHBOARD'!$B$4="Zone",IF(190&lt;=$D$4,IF(OR('WSF DASHBOARD'!$C$4="",ISNUMBER(SEARCH('WSF DASHBOARD'!$C$4,INDEX(MASTER_ZONES!$B:$B,191)))),190,""),""),""))</f>
        <v/>
      </c>
      <c r="B191">
        <f>IFERROR(SMALL($A$2:$A$1365,190),"")</f>
        <v/>
      </c>
      <c r="C191">
        <f>IF(B191="","",IF('WSF DASHBOARD'!$B$4="Area",INDEX(MASTER_AREAS!$B:$B,B191+1),INDEX(MASTER_ZONES!$B:$B,B191+1)))</f>
        <v/>
      </c>
      <c r="F191">
        <f>IF('TRANSPORT DASHBOARD'!$B$4="Area",IF(190&lt;=$I$3,IF(OR('TRANSPORT DASHBOARD'!$C$4="",ISNUMBER(SEARCH('TRANSPORT DASHBOARD'!$C$4,INDEX(MASTER_AREAS!$B:$B,191)))),190,""),""),IF('TRANSPORT DASHBOARD'!$B$4="Zone",IF(190&lt;=$I$4,IF(OR('TRANSPORT DASHBOARD'!$C$4="",ISNUMBER(SEARCH('TRANSPORT DASHBOARD'!$C$4,INDEX(MASTER_ZONES!$B:$B,191)))),190,""),""),""))</f>
        <v/>
      </c>
      <c r="G191">
        <f>IFERROR(SMALL($F$2:$F$1365,190),"")</f>
        <v/>
      </c>
      <c r="H191">
        <f>IF(G191="","",IF('TRANSPORT DASHBOARD'!$B$4="Area",INDEX(MASTER_AREAS!$B:$B,G191+1),INDEX(MASTER_ZONES!$B:$B,G191+1)))</f>
        <v/>
      </c>
    </row>
    <row r="192">
      <c r="A192">
        <f>IF('WSF DASHBOARD'!$B$4="Area",IF(191&lt;=$D$3,IF(OR('WSF DASHBOARD'!$C$4="",ISNUMBER(SEARCH('WSF DASHBOARD'!$C$4,INDEX(MASTER_AREAS!$B:$B,192)))),191,""),""),IF('WSF DASHBOARD'!$B$4="Zone",IF(191&lt;=$D$4,IF(OR('WSF DASHBOARD'!$C$4="",ISNUMBER(SEARCH('WSF DASHBOARD'!$C$4,INDEX(MASTER_ZONES!$B:$B,192)))),191,""),""),""))</f>
        <v/>
      </c>
      <c r="B192">
        <f>IFERROR(SMALL($A$2:$A$1365,191),"")</f>
        <v/>
      </c>
      <c r="C192">
        <f>IF(B192="","",IF('WSF DASHBOARD'!$B$4="Area",INDEX(MASTER_AREAS!$B:$B,B192+1),INDEX(MASTER_ZONES!$B:$B,B192+1)))</f>
        <v/>
      </c>
      <c r="F192">
        <f>IF('TRANSPORT DASHBOARD'!$B$4="Area",IF(191&lt;=$I$3,IF(OR('TRANSPORT DASHBOARD'!$C$4="",ISNUMBER(SEARCH('TRANSPORT DASHBOARD'!$C$4,INDEX(MASTER_AREAS!$B:$B,192)))),191,""),""),IF('TRANSPORT DASHBOARD'!$B$4="Zone",IF(191&lt;=$I$4,IF(OR('TRANSPORT DASHBOARD'!$C$4="",ISNUMBER(SEARCH('TRANSPORT DASHBOARD'!$C$4,INDEX(MASTER_ZONES!$B:$B,192)))),191,""),""),""))</f>
        <v/>
      </c>
      <c r="G192">
        <f>IFERROR(SMALL($F$2:$F$1365,191),"")</f>
        <v/>
      </c>
      <c r="H192">
        <f>IF(G192="","",IF('TRANSPORT DASHBOARD'!$B$4="Area",INDEX(MASTER_AREAS!$B:$B,G192+1),INDEX(MASTER_ZONES!$B:$B,G192+1)))</f>
        <v/>
      </c>
    </row>
    <row r="193">
      <c r="A193">
        <f>IF('WSF DASHBOARD'!$B$4="Area",IF(192&lt;=$D$3,IF(OR('WSF DASHBOARD'!$C$4="",ISNUMBER(SEARCH('WSF DASHBOARD'!$C$4,INDEX(MASTER_AREAS!$B:$B,193)))),192,""),""),IF('WSF DASHBOARD'!$B$4="Zone",IF(192&lt;=$D$4,IF(OR('WSF DASHBOARD'!$C$4="",ISNUMBER(SEARCH('WSF DASHBOARD'!$C$4,INDEX(MASTER_ZONES!$B:$B,193)))),192,""),""),""))</f>
        <v/>
      </c>
      <c r="B193">
        <f>IFERROR(SMALL($A$2:$A$1365,192),"")</f>
        <v/>
      </c>
      <c r="C193">
        <f>IF(B193="","",IF('WSF DASHBOARD'!$B$4="Area",INDEX(MASTER_AREAS!$B:$B,B193+1),INDEX(MASTER_ZONES!$B:$B,B193+1)))</f>
        <v/>
      </c>
      <c r="F193">
        <f>IF('TRANSPORT DASHBOARD'!$B$4="Area",IF(192&lt;=$I$3,IF(OR('TRANSPORT DASHBOARD'!$C$4="",ISNUMBER(SEARCH('TRANSPORT DASHBOARD'!$C$4,INDEX(MASTER_AREAS!$B:$B,193)))),192,""),""),IF('TRANSPORT DASHBOARD'!$B$4="Zone",IF(192&lt;=$I$4,IF(OR('TRANSPORT DASHBOARD'!$C$4="",ISNUMBER(SEARCH('TRANSPORT DASHBOARD'!$C$4,INDEX(MASTER_ZONES!$B:$B,193)))),192,""),""),""))</f>
        <v/>
      </c>
      <c r="G193">
        <f>IFERROR(SMALL($F$2:$F$1365,192),"")</f>
        <v/>
      </c>
      <c r="H193">
        <f>IF(G193="","",IF('TRANSPORT DASHBOARD'!$B$4="Area",INDEX(MASTER_AREAS!$B:$B,G193+1),INDEX(MASTER_ZONES!$B:$B,G193+1)))</f>
        <v/>
      </c>
    </row>
    <row r="194">
      <c r="A194">
        <f>IF('WSF DASHBOARD'!$B$4="Area",IF(193&lt;=$D$3,IF(OR('WSF DASHBOARD'!$C$4="",ISNUMBER(SEARCH('WSF DASHBOARD'!$C$4,INDEX(MASTER_AREAS!$B:$B,194)))),193,""),""),IF('WSF DASHBOARD'!$B$4="Zone",IF(193&lt;=$D$4,IF(OR('WSF DASHBOARD'!$C$4="",ISNUMBER(SEARCH('WSF DASHBOARD'!$C$4,INDEX(MASTER_ZONES!$B:$B,194)))),193,""),""),""))</f>
        <v/>
      </c>
      <c r="B194">
        <f>IFERROR(SMALL($A$2:$A$1365,193),"")</f>
        <v/>
      </c>
      <c r="C194">
        <f>IF(B194="","",IF('WSF DASHBOARD'!$B$4="Area",INDEX(MASTER_AREAS!$B:$B,B194+1),INDEX(MASTER_ZONES!$B:$B,B194+1)))</f>
        <v/>
      </c>
      <c r="F194">
        <f>IF('TRANSPORT DASHBOARD'!$B$4="Area",IF(193&lt;=$I$3,IF(OR('TRANSPORT DASHBOARD'!$C$4="",ISNUMBER(SEARCH('TRANSPORT DASHBOARD'!$C$4,INDEX(MASTER_AREAS!$B:$B,194)))),193,""),""),IF('TRANSPORT DASHBOARD'!$B$4="Zone",IF(193&lt;=$I$4,IF(OR('TRANSPORT DASHBOARD'!$C$4="",ISNUMBER(SEARCH('TRANSPORT DASHBOARD'!$C$4,INDEX(MASTER_ZONES!$B:$B,194)))),193,""),""),""))</f>
        <v/>
      </c>
      <c r="G194">
        <f>IFERROR(SMALL($F$2:$F$1365,193),"")</f>
        <v/>
      </c>
      <c r="H194">
        <f>IF(G194="","",IF('TRANSPORT DASHBOARD'!$B$4="Area",INDEX(MASTER_AREAS!$B:$B,G194+1),INDEX(MASTER_ZONES!$B:$B,G194+1)))</f>
        <v/>
      </c>
    </row>
    <row r="195">
      <c r="A195">
        <f>IF('WSF DASHBOARD'!$B$4="Area",IF(194&lt;=$D$3,IF(OR('WSF DASHBOARD'!$C$4="",ISNUMBER(SEARCH('WSF DASHBOARD'!$C$4,INDEX(MASTER_AREAS!$B:$B,195)))),194,""),""),IF('WSF DASHBOARD'!$B$4="Zone",IF(194&lt;=$D$4,IF(OR('WSF DASHBOARD'!$C$4="",ISNUMBER(SEARCH('WSF DASHBOARD'!$C$4,INDEX(MASTER_ZONES!$B:$B,195)))),194,""),""),""))</f>
        <v/>
      </c>
      <c r="B195">
        <f>IFERROR(SMALL($A$2:$A$1365,194),"")</f>
        <v/>
      </c>
      <c r="C195">
        <f>IF(B195="","",IF('WSF DASHBOARD'!$B$4="Area",INDEX(MASTER_AREAS!$B:$B,B195+1),INDEX(MASTER_ZONES!$B:$B,B195+1)))</f>
        <v/>
      </c>
      <c r="F195">
        <f>IF('TRANSPORT DASHBOARD'!$B$4="Area",IF(194&lt;=$I$3,IF(OR('TRANSPORT DASHBOARD'!$C$4="",ISNUMBER(SEARCH('TRANSPORT DASHBOARD'!$C$4,INDEX(MASTER_AREAS!$B:$B,195)))),194,""),""),IF('TRANSPORT DASHBOARD'!$B$4="Zone",IF(194&lt;=$I$4,IF(OR('TRANSPORT DASHBOARD'!$C$4="",ISNUMBER(SEARCH('TRANSPORT DASHBOARD'!$C$4,INDEX(MASTER_ZONES!$B:$B,195)))),194,""),""),""))</f>
        <v/>
      </c>
      <c r="G195">
        <f>IFERROR(SMALL($F$2:$F$1365,194),"")</f>
        <v/>
      </c>
      <c r="H195">
        <f>IF(G195="","",IF('TRANSPORT DASHBOARD'!$B$4="Area",INDEX(MASTER_AREAS!$B:$B,G195+1),INDEX(MASTER_ZONES!$B:$B,G195+1)))</f>
        <v/>
      </c>
    </row>
    <row r="196">
      <c r="A196">
        <f>IF('WSF DASHBOARD'!$B$4="Area",IF(195&lt;=$D$3,IF(OR('WSF DASHBOARD'!$C$4="",ISNUMBER(SEARCH('WSF DASHBOARD'!$C$4,INDEX(MASTER_AREAS!$B:$B,196)))),195,""),""),IF('WSF DASHBOARD'!$B$4="Zone",IF(195&lt;=$D$4,IF(OR('WSF DASHBOARD'!$C$4="",ISNUMBER(SEARCH('WSF DASHBOARD'!$C$4,INDEX(MASTER_ZONES!$B:$B,196)))),195,""),""),""))</f>
        <v/>
      </c>
      <c r="B196">
        <f>IFERROR(SMALL($A$2:$A$1365,195),"")</f>
        <v/>
      </c>
      <c r="C196">
        <f>IF(B196="","",IF('WSF DASHBOARD'!$B$4="Area",INDEX(MASTER_AREAS!$B:$B,B196+1),INDEX(MASTER_ZONES!$B:$B,B196+1)))</f>
        <v/>
      </c>
      <c r="F196">
        <f>IF('TRANSPORT DASHBOARD'!$B$4="Area",IF(195&lt;=$I$3,IF(OR('TRANSPORT DASHBOARD'!$C$4="",ISNUMBER(SEARCH('TRANSPORT DASHBOARD'!$C$4,INDEX(MASTER_AREAS!$B:$B,196)))),195,""),""),IF('TRANSPORT DASHBOARD'!$B$4="Zone",IF(195&lt;=$I$4,IF(OR('TRANSPORT DASHBOARD'!$C$4="",ISNUMBER(SEARCH('TRANSPORT DASHBOARD'!$C$4,INDEX(MASTER_ZONES!$B:$B,196)))),195,""),""),""))</f>
        <v/>
      </c>
      <c r="G196">
        <f>IFERROR(SMALL($F$2:$F$1365,195),"")</f>
        <v/>
      </c>
      <c r="H196">
        <f>IF(G196="","",IF('TRANSPORT DASHBOARD'!$B$4="Area",INDEX(MASTER_AREAS!$B:$B,G196+1),INDEX(MASTER_ZONES!$B:$B,G196+1)))</f>
        <v/>
      </c>
    </row>
    <row r="197">
      <c r="A197">
        <f>IF('WSF DASHBOARD'!$B$4="Area",IF(196&lt;=$D$3,IF(OR('WSF DASHBOARD'!$C$4="",ISNUMBER(SEARCH('WSF DASHBOARD'!$C$4,INDEX(MASTER_AREAS!$B:$B,197)))),196,""),""),IF('WSF DASHBOARD'!$B$4="Zone",IF(196&lt;=$D$4,IF(OR('WSF DASHBOARD'!$C$4="",ISNUMBER(SEARCH('WSF DASHBOARD'!$C$4,INDEX(MASTER_ZONES!$B:$B,197)))),196,""),""),""))</f>
        <v/>
      </c>
      <c r="B197">
        <f>IFERROR(SMALL($A$2:$A$1365,196),"")</f>
        <v/>
      </c>
      <c r="C197">
        <f>IF(B197="","",IF('WSF DASHBOARD'!$B$4="Area",INDEX(MASTER_AREAS!$B:$B,B197+1),INDEX(MASTER_ZONES!$B:$B,B197+1)))</f>
        <v/>
      </c>
      <c r="F197">
        <f>IF('TRANSPORT DASHBOARD'!$B$4="Area",IF(196&lt;=$I$3,IF(OR('TRANSPORT DASHBOARD'!$C$4="",ISNUMBER(SEARCH('TRANSPORT DASHBOARD'!$C$4,INDEX(MASTER_AREAS!$B:$B,197)))),196,""),""),IF('TRANSPORT DASHBOARD'!$B$4="Zone",IF(196&lt;=$I$4,IF(OR('TRANSPORT DASHBOARD'!$C$4="",ISNUMBER(SEARCH('TRANSPORT DASHBOARD'!$C$4,INDEX(MASTER_ZONES!$B:$B,197)))),196,""),""),""))</f>
        <v/>
      </c>
      <c r="G197">
        <f>IFERROR(SMALL($F$2:$F$1365,196),"")</f>
        <v/>
      </c>
      <c r="H197">
        <f>IF(G197="","",IF('TRANSPORT DASHBOARD'!$B$4="Area",INDEX(MASTER_AREAS!$B:$B,G197+1),INDEX(MASTER_ZONES!$B:$B,G197+1)))</f>
        <v/>
      </c>
    </row>
    <row r="198">
      <c r="A198">
        <f>IF('WSF DASHBOARD'!$B$4="Area",IF(197&lt;=$D$3,IF(OR('WSF DASHBOARD'!$C$4="",ISNUMBER(SEARCH('WSF DASHBOARD'!$C$4,INDEX(MASTER_AREAS!$B:$B,198)))),197,""),""),IF('WSF DASHBOARD'!$B$4="Zone",IF(197&lt;=$D$4,IF(OR('WSF DASHBOARD'!$C$4="",ISNUMBER(SEARCH('WSF DASHBOARD'!$C$4,INDEX(MASTER_ZONES!$B:$B,198)))),197,""),""),""))</f>
        <v/>
      </c>
      <c r="B198">
        <f>IFERROR(SMALL($A$2:$A$1365,197),"")</f>
        <v/>
      </c>
      <c r="C198">
        <f>IF(B198="","",IF('WSF DASHBOARD'!$B$4="Area",INDEX(MASTER_AREAS!$B:$B,B198+1),INDEX(MASTER_ZONES!$B:$B,B198+1)))</f>
        <v/>
      </c>
      <c r="F198">
        <f>IF('TRANSPORT DASHBOARD'!$B$4="Area",IF(197&lt;=$I$3,IF(OR('TRANSPORT DASHBOARD'!$C$4="",ISNUMBER(SEARCH('TRANSPORT DASHBOARD'!$C$4,INDEX(MASTER_AREAS!$B:$B,198)))),197,""),""),IF('TRANSPORT DASHBOARD'!$B$4="Zone",IF(197&lt;=$I$4,IF(OR('TRANSPORT DASHBOARD'!$C$4="",ISNUMBER(SEARCH('TRANSPORT DASHBOARD'!$C$4,INDEX(MASTER_ZONES!$B:$B,198)))),197,""),""),""))</f>
        <v/>
      </c>
      <c r="G198">
        <f>IFERROR(SMALL($F$2:$F$1365,197),"")</f>
        <v/>
      </c>
      <c r="H198">
        <f>IF(G198="","",IF('TRANSPORT DASHBOARD'!$B$4="Area",INDEX(MASTER_AREAS!$B:$B,G198+1),INDEX(MASTER_ZONES!$B:$B,G198+1)))</f>
        <v/>
      </c>
    </row>
    <row r="199">
      <c r="A199">
        <f>IF('WSF DASHBOARD'!$B$4="Area",IF(198&lt;=$D$3,IF(OR('WSF DASHBOARD'!$C$4="",ISNUMBER(SEARCH('WSF DASHBOARD'!$C$4,INDEX(MASTER_AREAS!$B:$B,199)))),198,""),""),IF('WSF DASHBOARD'!$B$4="Zone",IF(198&lt;=$D$4,IF(OR('WSF DASHBOARD'!$C$4="",ISNUMBER(SEARCH('WSF DASHBOARD'!$C$4,INDEX(MASTER_ZONES!$B:$B,199)))),198,""),""),""))</f>
        <v/>
      </c>
      <c r="B199">
        <f>IFERROR(SMALL($A$2:$A$1365,198),"")</f>
        <v/>
      </c>
      <c r="C199">
        <f>IF(B199="","",IF('WSF DASHBOARD'!$B$4="Area",INDEX(MASTER_AREAS!$B:$B,B199+1),INDEX(MASTER_ZONES!$B:$B,B199+1)))</f>
        <v/>
      </c>
      <c r="F199">
        <f>IF('TRANSPORT DASHBOARD'!$B$4="Area",IF(198&lt;=$I$3,IF(OR('TRANSPORT DASHBOARD'!$C$4="",ISNUMBER(SEARCH('TRANSPORT DASHBOARD'!$C$4,INDEX(MASTER_AREAS!$B:$B,199)))),198,""),""),IF('TRANSPORT DASHBOARD'!$B$4="Zone",IF(198&lt;=$I$4,IF(OR('TRANSPORT DASHBOARD'!$C$4="",ISNUMBER(SEARCH('TRANSPORT DASHBOARD'!$C$4,INDEX(MASTER_ZONES!$B:$B,199)))),198,""),""),""))</f>
        <v/>
      </c>
      <c r="G199">
        <f>IFERROR(SMALL($F$2:$F$1365,198),"")</f>
        <v/>
      </c>
      <c r="H199">
        <f>IF(G199="","",IF('TRANSPORT DASHBOARD'!$B$4="Area",INDEX(MASTER_AREAS!$B:$B,G199+1),INDEX(MASTER_ZONES!$B:$B,G199+1)))</f>
        <v/>
      </c>
    </row>
    <row r="200">
      <c r="A200">
        <f>IF('WSF DASHBOARD'!$B$4="Area",IF(199&lt;=$D$3,IF(OR('WSF DASHBOARD'!$C$4="",ISNUMBER(SEARCH('WSF DASHBOARD'!$C$4,INDEX(MASTER_AREAS!$B:$B,200)))),199,""),""),IF('WSF DASHBOARD'!$B$4="Zone",IF(199&lt;=$D$4,IF(OR('WSF DASHBOARD'!$C$4="",ISNUMBER(SEARCH('WSF DASHBOARD'!$C$4,INDEX(MASTER_ZONES!$B:$B,200)))),199,""),""),""))</f>
        <v/>
      </c>
      <c r="B200">
        <f>IFERROR(SMALL($A$2:$A$1365,199),"")</f>
        <v/>
      </c>
      <c r="C200">
        <f>IF(B200="","",IF('WSF DASHBOARD'!$B$4="Area",INDEX(MASTER_AREAS!$B:$B,B200+1),INDEX(MASTER_ZONES!$B:$B,B200+1)))</f>
        <v/>
      </c>
      <c r="F200">
        <f>IF('TRANSPORT DASHBOARD'!$B$4="Area",IF(199&lt;=$I$3,IF(OR('TRANSPORT DASHBOARD'!$C$4="",ISNUMBER(SEARCH('TRANSPORT DASHBOARD'!$C$4,INDEX(MASTER_AREAS!$B:$B,200)))),199,""),""),IF('TRANSPORT DASHBOARD'!$B$4="Zone",IF(199&lt;=$I$4,IF(OR('TRANSPORT DASHBOARD'!$C$4="",ISNUMBER(SEARCH('TRANSPORT DASHBOARD'!$C$4,INDEX(MASTER_ZONES!$B:$B,200)))),199,""),""),""))</f>
        <v/>
      </c>
      <c r="G200">
        <f>IFERROR(SMALL($F$2:$F$1365,199),"")</f>
        <v/>
      </c>
      <c r="H200">
        <f>IF(G200="","",IF('TRANSPORT DASHBOARD'!$B$4="Area",INDEX(MASTER_AREAS!$B:$B,G200+1),INDEX(MASTER_ZONES!$B:$B,G200+1)))</f>
        <v/>
      </c>
    </row>
    <row r="201">
      <c r="A201">
        <f>IF('WSF DASHBOARD'!$B$4="Area",IF(200&lt;=$D$3,IF(OR('WSF DASHBOARD'!$C$4="",ISNUMBER(SEARCH('WSF DASHBOARD'!$C$4,INDEX(MASTER_AREAS!$B:$B,201)))),200,""),""),IF('WSF DASHBOARD'!$B$4="Zone",IF(200&lt;=$D$4,IF(OR('WSF DASHBOARD'!$C$4="",ISNUMBER(SEARCH('WSF DASHBOARD'!$C$4,INDEX(MASTER_ZONES!$B:$B,201)))),200,""),""),""))</f>
        <v/>
      </c>
      <c r="B201">
        <f>IFERROR(SMALL($A$2:$A$1365,200),"")</f>
        <v/>
      </c>
      <c r="C201">
        <f>IF(B201="","",IF('WSF DASHBOARD'!$B$4="Area",INDEX(MASTER_AREAS!$B:$B,B201+1),INDEX(MASTER_ZONES!$B:$B,B201+1)))</f>
        <v/>
      </c>
      <c r="F201">
        <f>IF('TRANSPORT DASHBOARD'!$B$4="Area",IF(200&lt;=$I$3,IF(OR('TRANSPORT DASHBOARD'!$C$4="",ISNUMBER(SEARCH('TRANSPORT DASHBOARD'!$C$4,INDEX(MASTER_AREAS!$B:$B,201)))),200,""),""),IF('TRANSPORT DASHBOARD'!$B$4="Zone",IF(200&lt;=$I$4,IF(OR('TRANSPORT DASHBOARD'!$C$4="",ISNUMBER(SEARCH('TRANSPORT DASHBOARD'!$C$4,INDEX(MASTER_ZONES!$B:$B,201)))),200,""),""),""))</f>
        <v/>
      </c>
      <c r="G201">
        <f>IFERROR(SMALL($F$2:$F$1365,200),"")</f>
        <v/>
      </c>
      <c r="H201">
        <f>IF(G201="","",IF('TRANSPORT DASHBOARD'!$B$4="Area",INDEX(MASTER_AREAS!$B:$B,G201+1),INDEX(MASTER_ZONES!$B:$B,G201+1)))</f>
        <v/>
      </c>
    </row>
    <row r="202">
      <c r="A202">
        <f>IF('WSF DASHBOARD'!$B$4="Area",IF(201&lt;=$D$3,IF(OR('WSF DASHBOARD'!$C$4="",ISNUMBER(SEARCH('WSF DASHBOARD'!$C$4,INDEX(MASTER_AREAS!$B:$B,202)))),201,""),""),IF('WSF DASHBOARD'!$B$4="Zone",IF(201&lt;=$D$4,IF(OR('WSF DASHBOARD'!$C$4="",ISNUMBER(SEARCH('WSF DASHBOARD'!$C$4,INDEX(MASTER_ZONES!$B:$B,202)))),201,""),""),""))</f>
        <v/>
      </c>
      <c r="B202">
        <f>IFERROR(SMALL($A$2:$A$1365,201),"")</f>
        <v/>
      </c>
      <c r="C202">
        <f>IF(B202="","",IF('WSF DASHBOARD'!$B$4="Area",INDEX(MASTER_AREAS!$B:$B,B202+1),INDEX(MASTER_ZONES!$B:$B,B202+1)))</f>
        <v/>
      </c>
      <c r="F202">
        <f>IF('TRANSPORT DASHBOARD'!$B$4="Area",IF(201&lt;=$I$3,IF(OR('TRANSPORT DASHBOARD'!$C$4="",ISNUMBER(SEARCH('TRANSPORT DASHBOARD'!$C$4,INDEX(MASTER_AREAS!$B:$B,202)))),201,""),""),IF('TRANSPORT DASHBOARD'!$B$4="Zone",IF(201&lt;=$I$4,IF(OR('TRANSPORT DASHBOARD'!$C$4="",ISNUMBER(SEARCH('TRANSPORT DASHBOARD'!$C$4,INDEX(MASTER_ZONES!$B:$B,202)))),201,""),""),""))</f>
        <v/>
      </c>
      <c r="G202">
        <f>IFERROR(SMALL($F$2:$F$1365,201),"")</f>
        <v/>
      </c>
      <c r="H202">
        <f>IF(G202="","",IF('TRANSPORT DASHBOARD'!$B$4="Area",INDEX(MASTER_AREAS!$B:$B,G202+1),INDEX(MASTER_ZONES!$B:$B,G202+1)))</f>
        <v/>
      </c>
    </row>
    <row r="203">
      <c r="A203">
        <f>IF('WSF DASHBOARD'!$B$4="Area",IF(202&lt;=$D$3,IF(OR('WSF DASHBOARD'!$C$4="",ISNUMBER(SEARCH('WSF DASHBOARD'!$C$4,INDEX(MASTER_AREAS!$B:$B,203)))),202,""),""),IF('WSF DASHBOARD'!$B$4="Zone",IF(202&lt;=$D$4,IF(OR('WSF DASHBOARD'!$C$4="",ISNUMBER(SEARCH('WSF DASHBOARD'!$C$4,INDEX(MASTER_ZONES!$B:$B,203)))),202,""),""),""))</f>
        <v/>
      </c>
      <c r="B203">
        <f>IFERROR(SMALL($A$2:$A$1365,202),"")</f>
        <v/>
      </c>
      <c r="C203">
        <f>IF(B203="","",IF('WSF DASHBOARD'!$B$4="Area",INDEX(MASTER_AREAS!$B:$B,B203+1),INDEX(MASTER_ZONES!$B:$B,B203+1)))</f>
        <v/>
      </c>
      <c r="F203">
        <f>IF('TRANSPORT DASHBOARD'!$B$4="Area",IF(202&lt;=$I$3,IF(OR('TRANSPORT DASHBOARD'!$C$4="",ISNUMBER(SEARCH('TRANSPORT DASHBOARD'!$C$4,INDEX(MASTER_AREAS!$B:$B,203)))),202,""),""),IF('TRANSPORT DASHBOARD'!$B$4="Zone",IF(202&lt;=$I$4,IF(OR('TRANSPORT DASHBOARD'!$C$4="",ISNUMBER(SEARCH('TRANSPORT DASHBOARD'!$C$4,INDEX(MASTER_ZONES!$B:$B,203)))),202,""),""),""))</f>
        <v/>
      </c>
      <c r="G203">
        <f>IFERROR(SMALL($F$2:$F$1365,202),"")</f>
        <v/>
      </c>
      <c r="H203">
        <f>IF(G203="","",IF('TRANSPORT DASHBOARD'!$B$4="Area",INDEX(MASTER_AREAS!$B:$B,G203+1),INDEX(MASTER_ZONES!$B:$B,G203+1)))</f>
        <v/>
      </c>
    </row>
    <row r="204">
      <c r="A204">
        <f>IF('WSF DASHBOARD'!$B$4="Area",IF(203&lt;=$D$3,IF(OR('WSF DASHBOARD'!$C$4="",ISNUMBER(SEARCH('WSF DASHBOARD'!$C$4,INDEX(MASTER_AREAS!$B:$B,204)))),203,""),""),IF('WSF DASHBOARD'!$B$4="Zone",IF(203&lt;=$D$4,IF(OR('WSF DASHBOARD'!$C$4="",ISNUMBER(SEARCH('WSF DASHBOARD'!$C$4,INDEX(MASTER_ZONES!$B:$B,204)))),203,""),""),""))</f>
        <v/>
      </c>
      <c r="B204">
        <f>IFERROR(SMALL($A$2:$A$1365,203),"")</f>
        <v/>
      </c>
      <c r="C204">
        <f>IF(B204="","",IF('WSF DASHBOARD'!$B$4="Area",INDEX(MASTER_AREAS!$B:$B,B204+1),INDEX(MASTER_ZONES!$B:$B,B204+1)))</f>
        <v/>
      </c>
      <c r="F204">
        <f>IF('TRANSPORT DASHBOARD'!$B$4="Area",IF(203&lt;=$I$3,IF(OR('TRANSPORT DASHBOARD'!$C$4="",ISNUMBER(SEARCH('TRANSPORT DASHBOARD'!$C$4,INDEX(MASTER_AREAS!$B:$B,204)))),203,""),""),IF('TRANSPORT DASHBOARD'!$B$4="Zone",IF(203&lt;=$I$4,IF(OR('TRANSPORT DASHBOARD'!$C$4="",ISNUMBER(SEARCH('TRANSPORT DASHBOARD'!$C$4,INDEX(MASTER_ZONES!$B:$B,204)))),203,""),""),""))</f>
        <v/>
      </c>
      <c r="G204">
        <f>IFERROR(SMALL($F$2:$F$1365,203),"")</f>
        <v/>
      </c>
      <c r="H204">
        <f>IF(G204="","",IF('TRANSPORT DASHBOARD'!$B$4="Area",INDEX(MASTER_AREAS!$B:$B,G204+1),INDEX(MASTER_ZONES!$B:$B,G204+1)))</f>
        <v/>
      </c>
    </row>
    <row r="205">
      <c r="A205">
        <f>IF('WSF DASHBOARD'!$B$4="Area",IF(204&lt;=$D$3,IF(OR('WSF DASHBOARD'!$C$4="",ISNUMBER(SEARCH('WSF DASHBOARD'!$C$4,INDEX(MASTER_AREAS!$B:$B,205)))),204,""),""),IF('WSF DASHBOARD'!$B$4="Zone",IF(204&lt;=$D$4,IF(OR('WSF DASHBOARD'!$C$4="",ISNUMBER(SEARCH('WSF DASHBOARD'!$C$4,INDEX(MASTER_ZONES!$B:$B,205)))),204,""),""),""))</f>
        <v/>
      </c>
      <c r="B205">
        <f>IFERROR(SMALL($A$2:$A$1365,204),"")</f>
        <v/>
      </c>
      <c r="C205">
        <f>IF(B205="","",IF('WSF DASHBOARD'!$B$4="Area",INDEX(MASTER_AREAS!$B:$B,B205+1),INDEX(MASTER_ZONES!$B:$B,B205+1)))</f>
        <v/>
      </c>
      <c r="F205">
        <f>IF('TRANSPORT DASHBOARD'!$B$4="Area",IF(204&lt;=$I$3,IF(OR('TRANSPORT DASHBOARD'!$C$4="",ISNUMBER(SEARCH('TRANSPORT DASHBOARD'!$C$4,INDEX(MASTER_AREAS!$B:$B,205)))),204,""),""),IF('TRANSPORT DASHBOARD'!$B$4="Zone",IF(204&lt;=$I$4,IF(OR('TRANSPORT DASHBOARD'!$C$4="",ISNUMBER(SEARCH('TRANSPORT DASHBOARD'!$C$4,INDEX(MASTER_ZONES!$B:$B,205)))),204,""),""),""))</f>
        <v/>
      </c>
      <c r="G205">
        <f>IFERROR(SMALL($F$2:$F$1365,204),"")</f>
        <v/>
      </c>
      <c r="H205">
        <f>IF(G205="","",IF('TRANSPORT DASHBOARD'!$B$4="Area",INDEX(MASTER_AREAS!$B:$B,G205+1),INDEX(MASTER_ZONES!$B:$B,G205+1)))</f>
        <v/>
      </c>
    </row>
    <row r="206">
      <c r="A206">
        <f>IF('WSF DASHBOARD'!$B$4="Area",IF(205&lt;=$D$3,IF(OR('WSF DASHBOARD'!$C$4="",ISNUMBER(SEARCH('WSF DASHBOARD'!$C$4,INDEX(MASTER_AREAS!$B:$B,206)))),205,""),""),IF('WSF DASHBOARD'!$B$4="Zone",IF(205&lt;=$D$4,IF(OR('WSF DASHBOARD'!$C$4="",ISNUMBER(SEARCH('WSF DASHBOARD'!$C$4,INDEX(MASTER_ZONES!$B:$B,206)))),205,""),""),""))</f>
        <v/>
      </c>
      <c r="B206">
        <f>IFERROR(SMALL($A$2:$A$1365,205),"")</f>
        <v/>
      </c>
      <c r="C206">
        <f>IF(B206="","",IF('WSF DASHBOARD'!$B$4="Area",INDEX(MASTER_AREAS!$B:$B,B206+1),INDEX(MASTER_ZONES!$B:$B,B206+1)))</f>
        <v/>
      </c>
      <c r="F206">
        <f>IF('TRANSPORT DASHBOARD'!$B$4="Area",IF(205&lt;=$I$3,IF(OR('TRANSPORT DASHBOARD'!$C$4="",ISNUMBER(SEARCH('TRANSPORT DASHBOARD'!$C$4,INDEX(MASTER_AREAS!$B:$B,206)))),205,""),""),IF('TRANSPORT DASHBOARD'!$B$4="Zone",IF(205&lt;=$I$4,IF(OR('TRANSPORT DASHBOARD'!$C$4="",ISNUMBER(SEARCH('TRANSPORT DASHBOARD'!$C$4,INDEX(MASTER_ZONES!$B:$B,206)))),205,""),""),""))</f>
        <v/>
      </c>
      <c r="G206">
        <f>IFERROR(SMALL($F$2:$F$1365,205),"")</f>
        <v/>
      </c>
      <c r="H206">
        <f>IF(G206="","",IF('TRANSPORT DASHBOARD'!$B$4="Area",INDEX(MASTER_AREAS!$B:$B,G206+1),INDEX(MASTER_ZONES!$B:$B,G206+1)))</f>
        <v/>
      </c>
    </row>
    <row r="207">
      <c r="A207">
        <f>IF('WSF DASHBOARD'!$B$4="Area",IF(206&lt;=$D$3,IF(OR('WSF DASHBOARD'!$C$4="",ISNUMBER(SEARCH('WSF DASHBOARD'!$C$4,INDEX(MASTER_AREAS!$B:$B,207)))),206,""),""),IF('WSF DASHBOARD'!$B$4="Zone",IF(206&lt;=$D$4,IF(OR('WSF DASHBOARD'!$C$4="",ISNUMBER(SEARCH('WSF DASHBOARD'!$C$4,INDEX(MASTER_ZONES!$B:$B,207)))),206,""),""),""))</f>
        <v/>
      </c>
      <c r="B207">
        <f>IFERROR(SMALL($A$2:$A$1365,206),"")</f>
        <v/>
      </c>
      <c r="C207">
        <f>IF(B207="","",IF('WSF DASHBOARD'!$B$4="Area",INDEX(MASTER_AREAS!$B:$B,B207+1),INDEX(MASTER_ZONES!$B:$B,B207+1)))</f>
        <v/>
      </c>
      <c r="F207">
        <f>IF('TRANSPORT DASHBOARD'!$B$4="Area",IF(206&lt;=$I$3,IF(OR('TRANSPORT DASHBOARD'!$C$4="",ISNUMBER(SEARCH('TRANSPORT DASHBOARD'!$C$4,INDEX(MASTER_AREAS!$B:$B,207)))),206,""),""),IF('TRANSPORT DASHBOARD'!$B$4="Zone",IF(206&lt;=$I$4,IF(OR('TRANSPORT DASHBOARD'!$C$4="",ISNUMBER(SEARCH('TRANSPORT DASHBOARD'!$C$4,INDEX(MASTER_ZONES!$B:$B,207)))),206,""),""),""))</f>
        <v/>
      </c>
      <c r="G207">
        <f>IFERROR(SMALL($F$2:$F$1365,206),"")</f>
        <v/>
      </c>
      <c r="H207">
        <f>IF(G207="","",IF('TRANSPORT DASHBOARD'!$B$4="Area",INDEX(MASTER_AREAS!$B:$B,G207+1),INDEX(MASTER_ZONES!$B:$B,G207+1)))</f>
        <v/>
      </c>
    </row>
    <row r="208">
      <c r="A208">
        <f>IF('WSF DASHBOARD'!$B$4="Area",IF(207&lt;=$D$3,IF(OR('WSF DASHBOARD'!$C$4="",ISNUMBER(SEARCH('WSF DASHBOARD'!$C$4,INDEX(MASTER_AREAS!$B:$B,208)))),207,""),""),IF('WSF DASHBOARD'!$B$4="Zone",IF(207&lt;=$D$4,IF(OR('WSF DASHBOARD'!$C$4="",ISNUMBER(SEARCH('WSF DASHBOARD'!$C$4,INDEX(MASTER_ZONES!$B:$B,208)))),207,""),""),""))</f>
        <v/>
      </c>
      <c r="B208">
        <f>IFERROR(SMALL($A$2:$A$1365,207),"")</f>
        <v/>
      </c>
      <c r="C208">
        <f>IF(B208="","",IF('WSF DASHBOARD'!$B$4="Area",INDEX(MASTER_AREAS!$B:$B,B208+1),INDEX(MASTER_ZONES!$B:$B,B208+1)))</f>
        <v/>
      </c>
      <c r="F208">
        <f>IF('TRANSPORT DASHBOARD'!$B$4="Area",IF(207&lt;=$I$3,IF(OR('TRANSPORT DASHBOARD'!$C$4="",ISNUMBER(SEARCH('TRANSPORT DASHBOARD'!$C$4,INDEX(MASTER_AREAS!$B:$B,208)))),207,""),""),IF('TRANSPORT DASHBOARD'!$B$4="Zone",IF(207&lt;=$I$4,IF(OR('TRANSPORT DASHBOARD'!$C$4="",ISNUMBER(SEARCH('TRANSPORT DASHBOARD'!$C$4,INDEX(MASTER_ZONES!$B:$B,208)))),207,""),""),""))</f>
        <v/>
      </c>
      <c r="G208">
        <f>IFERROR(SMALL($F$2:$F$1365,207),"")</f>
        <v/>
      </c>
      <c r="H208">
        <f>IF(G208="","",IF('TRANSPORT DASHBOARD'!$B$4="Area",INDEX(MASTER_AREAS!$B:$B,G208+1),INDEX(MASTER_ZONES!$B:$B,G208+1)))</f>
        <v/>
      </c>
    </row>
    <row r="209">
      <c r="A209">
        <f>IF('WSF DASHBOARD'!$B$4="Area",IF(208&lt;=$D$3,IF(OR('WSF DASHBOARD'!$C$4="",ISNUMBER(SEARCH('WSF DASHBOARD'!$C$4,INDEX(MASTER_AREAS!$B:$B,209)))),208,""),""),IF('WSF DASHBOARD'!$B$4="Zone",IF(208&lt;=$D$4,IF(OR('WSF DASHBOARD'!$C$4="",ISNUMBER(SEARCH('WSF DASHBOARD'!$C$4,INDEX(MASTER_ZONES!$B:$B,209)))),208,""),""),""))</f>
        <v/>
      </c>
      <c r="B209">
        <f>IFERROR(SMALL($A$2:$A$1365,208),"")</f>
        <v/>
      </c>
      <c r="C209">
        <f>IF(B209="","",IF('WSF DASHBOARD'!$B$4="Area",INDEX(MASTER_AREAS!$B:$B,B209+1),INDEX(MASTER_ZONES!$B:$B,B209+1)))</f>
        <v/>
      </c>
      <c r="F209">
        <f>IF('TRANSPORT DASHBOARD'!$B$4="Area",IF(208&lt;=$I$3,IF(OR('TRANSPORT DASHBOARD'!$C$4="",ISNUMBER(SEARCH('TRANSPORT DASHBOARD'!$C$4,INDEX(MASTER_AREAS!$B:$B,209)))),208,""),""),IF('TRANSPORT DASHBOARD'!$B$4="Zone",IF(208&lt;=$I$4,IF(OR('TRANSPORT DASHBOARD'!$C$4="",ISNUMBER(SEARCH('TRANSPORT DASHBOARD'!$C$4,INDEX(MASTER_ZONES!$B:$B,209)))),208,""),""),""))</f>
        <v/>
      </c>
      <c r="G209">
        <f>IFERROR(SMALL($F$2:$F$1365,208),"")</f>
        <v/>
      </c>
      <c r="H209">
        <f>IF(G209="","",IF('TRANSPORT DASHBOARD'!$B$4="Area",INDEX(MASTER_AREAS!$B:$B,G209+1),INDEX(MASTER_ZONES!$B:$B,G209+1)))</f>
        <v/>
      </c>
    </row>
    <row r="210">
      <c r="A210">
        <f>IF('WSF DASHBOARD'!$B$4="Area",IF(209&lt;=$D$3,IF(OR('WSF DASHBOARD'!$C$4="",ISNUMBER(SEARCH('WSF DASHBOARD'!$C$4,INDEX(MASTER_AREAS!$B:$B,210)))),209,""),""),IF('WSF DASHBOARD'!$B$4="Zone",IF(209&lt;=$D$4,IF(OR('WSF DASHBOARD'!$C$4="",ISNUMBER(SEARCH('WSF DASHBOARD'!$C$4,INDEX(MASTER_ZONES!$B:$B,210)))),209,""),""),""))</f>
        <v/>
      </c>
      <c r="B210">
        <f>IFERROR(SMALL($A$2:$A$1365,209),"")</f>
        <v/>
      </c>
      <c r="C210">
        <f>IF(B210="","",IF('WSF DASHBOARD'!$B$4="Area",INDEX(MASTER_AREAS!$B:$B,B210+1),INDEX(MASTER_ZONES!$B:$B,B210+1)))</f>
        <v/>
      </c>
      <c r="F210">
        <f>IF('TRANSPORT DASHBOARD'!$B$4="Area",IF(209&lt;=$I$3,IF(OR('TRANSPORT DASHBOARD'!$C$4="",ISNUMBER(SEARCH('TRANSPORT DASHBOARD'!$C$4,INDEX(MASTER_AREAS!$B:$B,210)))),209,""),""),IF('TRANSPORT DASHBOARD'!$B$4="Zone",IF(209&lt;=$I$4,IF(OR('TRANSPORT DASHBOARD'!$C$4="",ISNUMBER(SEARCH('TRANSPORT DASHBOARD'!$C$4,INDEX(MASTER_ZONES!$B:$B,210)))),209,""),""),""))</f>
        <v/>
      </c>
      <c r="G210">
        <f>IFERROR(SMALL($F$2:$F$1365,209),"")</f>
        <v/>
      </c>
      <c r="H210">
        <f>IF(G210="","",IF('TRANSPORT DASHBOARD'!$B$4="Area",INDEX(MASTER_AREAS!$B:$B,G210+1),INDEX(MASTER_ZONES!$B:$B,G210+1)))</f>
        <v/>
      </c>
    </row>
    <row r="211">
      <c r="A211">
        <f>IF('WSF DASHBOARD'!$B$4="Area",IF(210&lt;=$D$3,IF(OR('WSF DASHBOARD'!$C$4="",ISNUMBER(SEARCH('WSF DASHBOARD'!$C$4,INDEX(MASTER_AREAS!$B:$B,211)))),210,""),""),IF('WSF DASHBOARD'!$B$4="Zone",IF(210&lt;=$D$4,IF(OR('WSF DASHBOARD'!$C$4="",ISNUMBER(SEARCH('WSF DASHBOARD'!$C$4,INDEX(MASTER_ZONES!$B:$B,211)))),210,""),""),""))</f>
        <v/>
      </c>
      <c r="B211">
        <f>IFERROR(SMALL($A$2:$A$1365,210),"")</f>
        <v/>
      </c>
      <c r="C211">
        <f>IF(B211="","",IF('WSF DASHBOARD'!$B$4="Area",INDEX(MASTER_AREAS!$B:$B,B211+1),INDEX(MASTER_ZONES!$B:$B,B211+1)))</f>
        <v/>
      </c>
      <c r="F211">
        <f>IF('TRANSPORT DASHBOARD'!$B$4="Area",IF(210&lt;=$I$3,IF(OR('TRANSPORT DASHBOARD'!$C$4="",ISNUMBER(SEARCH('TRANSPORT DASHBOARD'!$C$4,INDEX(MASTER_AREAS!$B:$B,211)))),210,""),""),IF('TRANSPORT DASHBOARD'!$B$4="Zone",IF(210&lt;=$I$4,IF(OR('TRANSPORT DASHBOARD'!$C$4="",ISNUMBER(SEARCH('TRANSPORT DASHBOARD'!$C$4,INDEX(MASTER_ZONES!$B:$B,211)))),210,""),""),""))</f>
        <v/>
      </c>
      <c r="G211">
        <f>IFERROR(SMALL($F$2:$F$1365,210),"")</f>
        <v/>
      </c>
      <c r="H211">
        <f>IF(G211="","",IF('TRANSPORT DASHBOARD'!$B$4="Area",INDEX(MASTER_AREAS!$B:$B,G211+1),INDEX(MASTER_ZONES!$B:$B,G211+1)))</f>
        <v/>
      </c>
    </row>
    <row r="212">
      <c r="A212">
        <f>IF('WSF DASHBOARD'!$B$4="Area",IF(211&lt;=$D$3,IF(OR('WSF DASHBOARD'!$C$4="",ISNUMBER(SEARCH('WSF DASHBOARD'!$C$4,INDEX(MASTER_AREAS!$B:$B,212)))),211,""),""),IF('WSF DASHBOARD'!$B$4="Zone",IF(211&lt;=$D$4,IF(OR('WSF DASHBOARD'!$C$4="",ISNUMBER(SEARCH('WSF DASHBOARD'!$C$4,INDEX(MASTER_ZONES!$B:$B,212)))),211,""),""),""))</f>
        <v/>
      </c>
      <c r="B212">
        <f>IFERROR(SMALL($A$2:$A$1365,211),"")</f>
        <v/>
      </c>
      <c r="C212">
        <f>IF(B212="","",IF('WSF DASHBOARD'!$B$4="Area",INDEX(MASTER_AREAS!$B:$B,B212+1),INDEX(MASTER_ZONES!$B:$B,B212+1)))</f>
        <v/>
      </c>
      <c r="F212">
        <f>IF('TRANSPORT DASHBOARD'!$B$4="Area",IF(211&lt;=$I$3,IF(OR('TRANSPORT DASHBOARD'!$C$4="",ISNUMBER(SEARCH('TRANSPORT DASHBOARD'!$C$4,INDEX(MASTER_AREAS!$B:$B,212)))),211,""),""),IF('TRANSPORT DASHBOARD'!$B$4="Zone",IF(211&lt;=$I$4,IF(OR('TRANSPORT DASHBOARD'!$C$4="",ISNUMBER(SEARCH('TRANSPORT DASHBOARD'!$C$4,INDEX(MASTER_ZONES!$B:$B,212)))),211,""),""),""))</f>
        <v/>
      </c>
      <c r="G212">
        <f>IFERROR(SMALL($F$2:$F$1365,211),"")</f>
        <v/>
      </c>
      <c r="H212">
        <f>IF(G212="","",IF('TRANSPORT DASHBOARD'!$B$4="Area",INDEX(MASTER_AREAS!$B:$B,G212+1),INDEX(MASTER_ZONES!$B:$B,G212+1)))</f>
        <v/>
      </c>
    </row>
    <row r="213">
      <c r="A213">
        <f>IF('WSF DASHBOARD'!$B$4="Area",IF(212&lt;=$D$3,IF(OR('WSF DASHBOARD'!$C$4="",ISNUMBER(SEARCH('WSF DASHBOARD'!$C$4,INDEX(MASTER_AREAS!$B:$B,213)))),212,""),""),IF('WSF DASHBOARD'!$B$4="Zone",IF(212&lt;=$D$4,IF(OR('WSF DASHBOARD'!$C$4="",ISNUMBER(SEARCH('WSF DASHBOARD'!$C$4,INDEX(MASTER_ZONES!$B:$B,213)))),212,""),""),""))</f>
        <v/>
      </c>
      <c r="B213">
        <f>IFERROR(SMALL($A$2:$A$1365,212),"")</f>
        <v/>
      </c>
      <c r="C213">
        <f>IF(B213="","",IF('WSF DASHBOARD'!$B$4="Area",INDEX(MASTER_AREAS!$B:$B,B213+1),INDEX(MASTER_ZONES!$B:$B,B213+1)))</f>
        <v/>
      </c>
      <c r="F213">
        <f>IF('TRANSPORT DASHBOARD'!$B$4="Area",IF(212&lt;=$I$3,IF(OR('TRANSPORT DASHBOARD'!$C$4="",ISNUMBER(SEARCH('TRANSPORT DASHBOARD'!$C$4,INDEX(MASTER_AREAS!$B:$B,213)))),212,""),""),IF('TRANSPORT DASHBOARD'!$B$4="Zone",IF(212&lt;=$I$4,IF(OR('TRANSPORT DASHBOARD'!$C$4="",ISNUMBER(SEARCH('TRANSPORT DASHBOARD'!$C$4,INDEX(MASTER_ZONES!$B:$B,213)))),212,""),""),""))</f>
        <v/>
      </c>
      <c r="G213">
        <f>IFERROR(SMALL($F$2:$F$1365,212),"")</f>
        <v/>
      </c>
      <c r="H213">
        <f>IF(G213="","",IF('TRANSPORT DASHBOARD'!$B$4="Area",INDEX(MASTER_AREAS!$B:$B,G213+1),INDEX(MASTER_ZONES!$B:$B,G213+1)))</f>
        <v/>
      </c>
    </row>
    <row r="214">
      <c r="A214">
        <f>IF('WSF DASHBOARD'!$B$4="Area",IF(213&lt;=$D$3,IF(OR('WSF DASHBOARD'!$C$4="",ISNUMBER(SEARCH('WSF DASHBOARD'!$C$4,INDEX(MASTER_AREAS!$B:$B,214)))),213,""),""),IF('WSF DASHBOARD'!$B$4="Zone",IF(213&lt;=$D$4,IF(OR('WSF DASHBOARD'!$C$4="",ISNUMBER(SEARCH('WSF DASHBOARD'!$C$4,INDEX(MASTER_ZONES!$B:$B,214)))),213,""),""),""))</f>
        <v/>
      </c>
      <c r="B214">
        <f>IFERROR(SMALL($A$2:$A$1365,213),"")</f>
        <v/>
      </c>
      <c r="C214">
        <f>IF(B214="","",IF('WSF DASHBOARD'!$B$4="Area",INDEX(MASTER_AREAS!$B:$B,B214+1),INDEX(MASTER_ZONES!$B:$B,B214+1)))</f>
        <v/>
      </c>
      <c r="F214">
        <f>IF('TRANSPORT DASHBOARD'!$B$4="Area",IF(213&lt;=$I$3,IF(OR('TRANSPORT DASHBOARD'!$C$4="",ISNUMBER(SEARCH('TRANSPORT DASHBOARD'!$C$4,INDEX(MASTER_AREAS!$B:$B,214)))),213,""),""),IF('TRANSPORT DASHBOARD'!$B$4="Zone",IF(213&lt;=$I$4,IF(OR('TRANSPORT DASHBOARD'!$C$4="",ISNUMBER(SEARCH('TRANSPORT DASHBOARD'!$C$4,INDEX(MASTER_ZONES!$B:$B,214)))),213,""),""),""))</f>
        <v/>
      </c>
      <c r="G214">
        <f>IFERROR(SMALL($F$2:$F$1365,213),"")</f>
        <v/>
      </c>
      <c r="H214">
        <f>IF(G214="","",IF('TRANSPORT DASHBOARD'!$B$4="Area",INDEX(MASTER_AREAS!$B:$B,G214+1),INDEX(MASTER_ZONES!$B:$B,G214+1)))</f>
        <v/>
      </c>
    </row>
    <row r="215">
      <c r="A215">
        <f>IF('WSF DASHBOARD'!$B$4="Area",IF(214&lt;=$D$3,IF(OR('WSF DASHBOARD'!$C$4="",ISNUMBER(SEARCH('WSF DASHBOARD'!$C$4,INDEX(MASTER_AREAS!$B:$B,215)))),214,""),""),IF('WSF DASHBOARD'!$B$4="Zone",IF(214&lt;=$D$4,IF(OR('WSF DASHBOARD'!$C$4="",ISNUMBER(SEARCH('WSF DASHBOARD'!$C$4,INDEX(MASTER_ZONES!$B:$B,215)))),214,""),""),""))</f>
        <v/>
      </c>
      <c r="B215">
        <f>IFERROR(SMALL($A$2:$A$1365,214),"")</f>
        <v/>
      </c>
      <c r="C215">
        <f>IF(B215="","",IF('WSF DASHBOARD'!$B$4="Area",INDEX(MASTER_AREAS!$B:$B,B215+1),INDEX(MASTER_ZONES!$B:$B,B215+1)))</f>
        <v/>
      </c>
      <c r="F215">
        <f>IF('TRANSPORT DASHBOARD'!$B$4="Area",IF(214&lt;=$I$3,IF(OR('TRANSPORT DASHBOARD'!$C$4="",ISNUMBER(SEARCH('TRANSPORT DASHBOARD'!$C$4,INDEX(MASTER_AREAS!$B:$B,215)))),214,""),""),IF('TRANSPORT DASHBOARD'!$B$4="Zone",IF(214&lt;=$I$4,IF(OR('TRANSPORT DASHBOARD'!$C$4="",ISNUMBER(SEARCH('TRANSPORT DASHBOARD'!$C$4,INDEX(MASTER_ZONES!$B:$B,215)))),214,""),""),""))</f>
        <v/>
      </c>
      <c r="G215">
        <f>IFERROR(SMALL($F$2:$F$1365,214),"")</f>
        <v/>
      </c>
      <c r="H215">
        <f>IF(G215="","",IF('TRANSPORT DASHBOARD'!$B$4="Area",INDEX(MASTER_AREAS!$B:$B,G215+1),INDEX(MASTER_ZONES!$B:$B,G215+1)))</f>
        <v/>
      </c>
    </row>
    <row r="216">
      <c r="A216">
        <f>IF('WSF DASHBOARD'!$B$4="Area",IF(215&lt;=$D$3,IF(OR('WSF DASHBOARD'!$C$4="",ISNUMBER(SEARCH('WSF DASHBOARD'!$C$4,INDEX(MASTER_AREAS!$B:$B,216)))),215,""),""),IF('WSF DASHBOARD'!$B$4="Zone",IF(215&lt;=$D$4,IF(OR('WSF DASHBOARD'!$C$4="",ISNUMBER(SEARCH('WSF DASHBOARD'!$C$4,INDEX(MASTER_ZONES!$B:$B,216)))),215,""),""),""))</f>
        <v/>
      </c>
      <c r="B216">
        <f>IFERROR(SMALL($A$2:$A$1365,215),"")</f>
        <v/>
      </c>
      <c r="C216">
        <f>IF(B216="","",IF('WSF DASHBOARD'!$B$4="Area",INDEX(MASTER_AREAS!$B:$B,B216+1),INDEX(MASTER_ZONES!$B:$B,B216+1)))</f>
        <v/>
      </c>
      <c r="F216">
        <f>IF('TRANSPORT DASHBOARD'!$B$4="Area",IF(215&lt;=$I$3,IF(OR('TRANSPORT DASHBOARD'!$C$4="",ISNUMBER(SEARCH('TRANSPORT DASHBOARD'!$C$4,INDEX(MASTER_AREAS!$B:$B,216)))),215,""),""),IF('TRANSPORT DASHBOARD'!$B$4="Zone",IF(215&lt;=$I$4,IF(OR('TRANSPORT DASHBOARD'!$C$4="",ISNUMBER(SEARCH('TRANSPORT DASHBOARD'!$C$4,INDEX(MASTER_ZONES!$B:$B,216)))),215,""),""),""))</f>
        <v/>
      </c>
      <c r="G216">
        <f>IFERROR(SMALL($F$2:$F$1365,215),"")</f>
        <v/>
      </c>
      <c r="H216">
        <f>IF(G216="","",IF('TRANSPORT DASHBOARD'!$B$4="Area",INDEX(MASTER_AREAS!$B:$B,G216+1),INDEX(MASTER_ZONES!$B:$B,G216+1)))</f>
        <v/>
      </c>
    </row>
    <row r="217">
      <c r="A217">
        <f>IF('WSF DASHBOARD'!$B$4="Area",IF(216&lt;=$D$3,IF(OR('WSF DASHBOARD'!$C$4="",ISNUMBER(SEARCH('WSF DASHBOARD'!$C$4,INDEX(MASTER_AREAS!$B:$B,217)))),216,""),""),IF('WSF DASHBOARD'!$B$4="Zone",IF(216&lt;=$D$4,IF(OR('WSF DASHBOARD'!$C$4="",ISNUMBER(SEARCH('WSF DASHBOARD'!$C$4,INDEX(MASTER_ZONES!$B:$B,217)))),216,""),""),""))</f>
        <v/>
      </c>
      <c r="B217">
        <f>IFERROR(SMALL($A$2:$A$1365,216),"")</f>
        <v/>
      </c>
      <c r="C217">
        <f>IF(B217="","",IF('WSF DASHBOARD'!$B$4="Area",INDEX(MASTER_AREAS!$B:$B,B217+1),INDEX(MASTER_ZONES!$B:$B,B217+1)))</f>
        <v/>
      </c>
      <c r="F217">
        <f>IF('TRANSPORT DASHBOARD'!$B$4="Area",IF(216&lt;=$I$3,IF(OR('TRANSPORT DASHBOARD'!$C$4="",ISNUMBER(SEARCH('TRANSPORT DASHBOARD'!$C$4,INDEX(MASTER_AREAS!$B:$B,217)))),216,""),""),IF('TRANSPORT DASHBOARD'!$B$4="Zone",IF(216&lt;=$I$4,IF(OR('TRANSPORT DASHBOARD'!$C$4="",ISNUMBER(SEARCH('TRANSPORT DASHBOARD'!$C$4,INDEX(MASTER_ZONES!$B:$B,217)))),216,""),""),""))</f>
        <v/>
      </c>
      <c r="G217">
        <f>IFERROR(SMALL($F$2:$F$1365,216),"")</f>
        <v/>
      </c>
      <c r="H217">
        <f>IF(G217="","",IF('TRANSPORT DASHBOARD'!$B$4="Area",INDEX(MASTER_AREAS!$B:$B,G217+1),INDEX(MASTER_ZONES!$B:$B,G217+1)))</f>
        <v/>
      </c>
    </row>
    <row r="218">
      <c r="A218">
        <f>IF('WSF DASHBOARD'!$B$4="Area",IF(217&lt;=$D$3,IF(OR('WSF DASHBOARD'!$C$4="",ISNUMBER(SEARCH('WSF DASHBOARD'!$C$4,INDEX(MASTER_AREAS!$B:$B,218)))),217,""),""),IF('WSF DASHBOARD'!$B$4="Zone",IF(217&lt;=$D$4,IF(OR('WSF DASHBOARD'!$C$4="",ISNUMBER(SEARCH('WSF DASHBOARD'!$C$4,INDEX(MASTER_ZONES!$B:$B,218)))),217,""),""),""))</f>
        <v/>
      </c>
      <c r="B218">
        <f>IFERROR(SMALL($A$2:$A$1365,217),"")</f>
        <v/>
      </c>
      <c r="C218">
        <f>IF(B218="","",IF('WSF DASHBOARD'!$B$4="Area",INDEX(MASTER_AREAS!$B:$B,B218+1),INDEX(MASTER_ZONES!$B:$B,B218+1)))</f>
        <v/>
      </c>
      <c r="F218">
        <f>IF('TRANSPORT DASHBOARD'!$B$4="Area",IF(217&lt;=$I$3,IF(OR('TRANSPORT DASHBOARD'!$C$4="",ISNUMBER(SEARCH('TRANSPORT DASHBOARD'!$C$4,INDEX(MASTER_AREAS!$B:$B,218)))),217,""),""),IF('TRANSPORT DASHBOARD'!$B$4="Zone",IF(217&lt;=$I$4,IF(OR('TRANSPORT DASHBOARD'!$C$4="",ISNUMBER(SEARCH('TRANSPORT DASHBOARD'!$C$4,INDEX(MASTER_ZONES!$B:$B,218)))),217,""),""),""))</f>
        <v/>
      </c>
      <c r="G218">
        <f>IFERROR(SMALL($F$2:$F$1365,217),"")</f>
        <v/>
      </c>
      <c r="H218">
        <f>IF(G218="","",IF('TRANSPORT DASHBOARD'!$B$4="Area",INDEX(MASTER_AREAS!$B:$B,G218+1),INDEX(MASTER_ZONES!$B:$B,G218+1)))</f>
        <v/>
      </c>
    </row>
    <row r="219">
      <c r="A219">
        <f>IF('WSF DASHBOARD'!$B$4="Area",IF(218&lt;=$D$3,IF(OR('WSF DASHBOARD'!$C$4="",ISNUMBER(SEARCH('WSF DASHBOARD'!$C$4,INDEX(MASTER_AREAS!$B:$B,219)))),218,""),""),IF('WSF DASHBOARD'!$B$4="Zone",IF(218&lt;=$D$4,IF(OR('WSF DASHBOARD'!$C$4="",ISNUMBER(SEARCH('WSF DASHBOARD'!$C$4,INDEX(MASTER_ZONES!$B:$B,219)))),218,""),""),""))</f>
        <v/>
      </c>
      <c r="B219">
        <f>IFERROR(SMALL($A$2:$A$1365,218),"")</f>
        <v/>
      </c>
      <c r="C219">
        <f>IF(B219="","",IF('WSF DASHBOARD'!$B$4="Area",INDEX(MASTER_AREAS!$B:$B,B219+1),INDEX(MASTER_ZONES!$B:$B,B219+1)))</f>
        <v/>
      </c>
      <c r="F219">
        <f>IF('TRANSPORT DASHBOARD'!$B$4="Area",IF(218&lt;=$I$3,IF(OR('TRANSPORT DASHBOARD'!$C$4="",ISNUMBER(SEARCH('TRANSPORT DASHBOARD'!$C$4,INDEX(MASTER_AREAS!$B:$B,219)))),218,""),""),IF('TRANSPORT DASHBOARD'!$B$4="Zone",IF(218&lt;=$I$4,IF(OR('TRANSPORT DASHBOARD'!$C$4="",ISNUMBER(SEARCH('TRANSPORT DASHBOARD'!$C$4,INDEX(MASTER_ZONES!$B:$B,219)))),218,""),""),""))</f>
        <v/>
      </c>
      <c r="G219">
        <f>IFERROR(SMALL($F$2:$F$1365,218),"")</f>
        <v/>
      </c>
      <c r="H219">
        <f>IF(G219="","",IF('TRANSPORT DASHBOARD'!$B$4="Area",INDEX(MASTER_AREAS!$B:$B,G219+1),INDEX(MASTER_ZONES!$B:$B,G219+1)))</f>
        <v/>
      </c>
    </row>
    <row r="220">
      <c r="A220">
        <f>IF('WSF DASHBOARD'!$B$4="Area",IF(219&lt;=$D$3,IF(OR('WSF DASHBOARD'!$C$4="",ISNUMBER(SEARCH('WSF DASHBOARD'!$C$4,INDEX(MASTER_AREAS!$B:$B,220)))),219,""),""),IF('WSF DASHBOARD'!$B$4="Zone",IF(219&lt;=$D$4,IF(OR('WSF DASHBOARD'!$C$4="",ISNUMBER(SEARCH('WSF DASHBOARD'!$C$4,INDEX(MASTER_ZONES!$B:$B,220)))),219,""),""),""))</f>
        <v/>
      </c>
      <c r="B220">
        <f>IFERROR(SMALL($A$2:$A$1365,219),"")</f>
        <v/>
      </c>
      <c r="C220">
        <f>IF(B220="","",IF('WSF DASHBOARD'!$B$4="Area",INDEX(MASTER_AREAS!$B:$B,B220+1),INDEX(MASTER_ZONES!$B:$B,B220+1)))</f>
        <v/>
      </c>
      <c r="F220">
        <f>IF('TRANSPORT DASHBOARD'!$B$4="Area",IF(219&lt;=$I$3,IF(OR('TRANSPORT DASHBOARD'!$C$4="",ISNUMBER(SEARCH('TRANSPORT DASHBOARD'!$C$4,INDEX(MASTER_AREAS!$B:$B,220)))),219,""),""),IF('TRANSPORT DASHBOARD'!$B$4="Zone",IF(219&lt;=$I$4,IF(OR('TRANSPORT DASHBOARD'!$C$4="",ISNUMBER(SEARCH('TRANSPORT DASHBOARD'!$C$4,INDEX(MASTER_ZONES!$B:$B,220)))),219,""),""),""))</f>
        <v/>
      </c>
      <c r="G220">
        <f>IFERROR(SMALL($F$2:$F$1365,219),"")</f>
        <v/>
      </c>
      <c r="H220">
        <f>IF(G220="","",IF('TRANSPORT DASHBOARD'!$B$4="Area",INDEX(MASTER_AREAS!$B:$B,G220+1),INDEX(MASTER_ZONES!$B:$B,G220+1)))</f>
        <v/>
      </c>
    </row>
    <row r="221">
      <c r="A221">
        <f>IF('WSF DASHBOARD'!$B$4="Area",IF(220&lt;=$D$3,IF(OR('WSF DASHBOARD'!$C$4="",ISNUMBER(SEARCH('WSF DASHBOARD'!$C$4,INDEX(MASTER_AREAS!$B:$B,221)))),220,""),""),IF('WSF DASHBOARD'!$B$4="Zone",IF(220&lt;=$D$4,IF(OR('WSF DASHBOARD'!$C$4="",ISNUMBER(SEARCH('WSF DASHBOARD'!$C$4,INDEX(MASTER_ZONES!$B:$B,221)))),220,""),""),""))</f>
        <v/>
      </c>
      <c r="B221">
        <f>IFERROR(SMALL($A$2:$A$1365,220),"")</f>
        <v/>
      </c>
      <c r="C221">
        <f>IF(B221="","",IF('WSF DASHBOARD'!$B$4="Area",INDEX(MASTER_AREAS!$B:$B,B221+1),INDEX(MASTER_ZONES!$B:$B,B221+1)))</f>
        <v/>
      </c>
      <c r="F221">
        <f>IF('TRANSPORT DASHBOARD'!$B$4="Area",IF(220&lt;=$I$3,IF(OR('TRANSPORT DASHBOARD'!$C$4="",ISNUMBER(SEARCH('TRANSPORT DASHBOARD'!$C$4,INDEX(MASTER_AREAS!$B:$B,221)))),220,""),""),IF('TRANSPORT DASHBOARD'!$B$4="Zone",IF(220&lt;=$I$4,IF(OR('TRANSPORT DASHBOARD'!$C$4="",ISNUMBER(SEARCH('TRANSPORT DASHBOARD'!$C$4,INDEX(MASTER_ZONES!$B:$B,221)))),220,""),""),""))</f>
        <v/>
      </c>
      <c r="G221">
        <f>IFERROR(SMALL($F$2:$F$1365,220),"")</f>
        <v/>
      </c>
      <c r="H221">
        <f>IF(G221="","",IF('TRANSPORT DASHBOARD'!$B$4="Area",INDEX(MASTER_AREAS!$B:$B,G221+1),INDEX(MASTER_ZONES!$B:$B,G221+1)))</f>
        <v/>
      </c>
    </row>
    <row r="222">
      <c r="A222">
        <f>IF('WSF DASHBOARD'!$B$4="Area",IF(221&lt;=$D$3,IF(OR('WSF DASHBOARD'!$C$4="",ISNUMBER(SEARCH('WSF DASHBOARD'!$C$4,INDEX(MASTER_AREAS!$B:$B,222)))),221,""),""),IF('WSF DASHBOARD'!$B$4="Zone",IF(221&lt;=$D$4,IF(OR('WSF DASHBOARD'!$C$4="",ISNUMBER(SEARCH('WSF DASHBOARD'!$C$4,INDEX(MASTER_ZONES!$B:$B,222)))),221,""),""),""))</f>
        <v/>
      </c>
      <c r="B222">
        <f>IFERROR(SMALL($A$2:$A$1365,221),"")</f>
        <v/>
      </c>
      <c r="C222">
        <f>IF(B222="","",IF('WSF DASHBOARD'!$B$4="Area",INDEX(MASTER_AREAS!$B:$B,B222+1),INDEX(MASTER_ZONES!$B:$B,B222+1)))</f>
        <v/>
      </c>
      <c r="F222">
        <f>IF('TRANSPORT DASHBOARD'!$B$4="Area",IF(221&lt;=$I$3,IF(OR('TRANSPORT DASHBOARD'!$C$4="",ISNUMBER(SEARCH('TRANSPORT DASHBOARD'!$C$4,INDEX(MASTER_AREAS!$B:$B,222)))),221,""),""),IF('TRANSPORT DASHBOARD'!$B$4="Zone",IF(221&lt;=$I$4,IF(OR('TRANSPORT DASHBOARD'!$C$4="",ISNUMBER(SEARCH('TRANSPORT DASHBOARD'!$C$4,INDEX(MASTER_ZONES!$B:$B,222)))),221,""),""),""))</f>
        <v/>
      </c>
      <c r="G222">
        <f>IFERROR(SMALL($F$2:$F$1365,221),"")</f>
        <v/>
      </c>
      <c r="H222">
        <f>IF(G222="","",IF('TRANSPORT DASHBOARD'!$B$4="Area",INDEX(MASTER_AREAS!$B:$B,G222+1),INDEX(MASTER_ZONES!$B:$B,G222+1)))</f>
        <v/>
      </c>
    </row>
    <row r="223">
      <c r="A223">
        <f>IF('WSF DASHBOARD'!$B$4="Area",IF(222&lt;=$D$3,IF(OR('WSF DASHBOARD'!$C$4="",ISNUMBER(SEARCH('WSF DASHBOARD'!$C$4,INDEX(MASTER_AREAS!$B:$B,223)))),222,""),""),IF('WSF DASHBOARD'!$B$4="Zone",IF(222&lt;=$D$4,IF(OR('WSF DASHBOARD'!$C$4="",ISNUMBER(SEARCH('WSF DASHBOARD'!$C$4,INDEX(MASTER_ZONES!$B:$B,223)))),222,""),""),""))</f>
        <v/>
      </c>
      <c r="B223">
        <f>IFERROR(SMALL($A$2:$A$1365,222),"")</f>
        <v/>
      </c>
      <c r="C223">
        <f>IF(B223="","",IF('WSF DASHBOARD'!$B$4="Area",INDEX(MASTER_AREAS!$B:$B,B223+1),INDEX(MASTER_ZONES!$B:$B,B223+1)))</f>
        <v/>
      </c>
      <c r="F223">
        <f>IF('TRANSPORT DASHBOARD'!$B$4="Area",IF(222&lt;=$I$3,IF(OR('TRANSPORT DASHBOARD'!$C$4="",ISNUMBER(SEARCH('TRANSPORT DASHBOARD'!$C$4,INDEX(MASTER_AREAS!$B:$B,223)))),222,""),""),IF('TRANSPORT DASHBOARD'!$B$4="Zone",IF(222&lt;=$I$4,IF(OR('TRANSPORT DASHBOARD'!$C$4="",ISNUMBER(SEARCH('TRANSPORT DASHBOARD'!$C$4,INDEX(MASTER_ZONES!$B:$B,223)))),222,""),""),""))</f>
        <v/>
      </c>
      <c r="G223">
        <f>IFERROR(SMALL($F$2:$F$1365,222),"")</f>
        <v/>
      </c>
      <c r="H223">
        <f>IF(G223="","",IF('TRANSPORT DASHBOARD'!$B$4="Area",INDEX(MASTER_AREAS!$B:$B,G223+1),INDEX(MASTER_ZONES!$B:$B,G223+1)))</f>
        <v/>
      </c>
    </row>
    <row r="224">
      <c r="A224">
        <f>IF('WSF DASHBOARD'!$B$4="Area",IF(223&lt;=$D$3,IF(OR('WSF DASHBOARD'!$C$4="",ISNUMBER(SEARCH('WSF DASHBOARD'!$C$4,INDEX(MASTER_AREAS!$B:$B,224)))),223,""),""),IF('WSF DASHBOARD'!$B$4="Zone",IF(223&lt;=$D$4,IF(OR('WSF DASHBOARD'!$C$4="",ISNUMBER(SEARCH('WSF DASHBOARD'!$C$4,INDEX(MASTER_ZONES!$B:$B,224)))),223,""),""),""))</f>
        <v/>
      </c>
      <c r="B224">
        <f>IFERROR(SMALL($A$2:$A$1365,223),"")</f>
        <v/>
      </c>
      <c r="C224">
        <f>IF(B224="","",IF('WSF DASHBOARD'!$B$4="Area",INDEX(MASTER_AREAS!$B:$B,B224+1),INDEX(MASTER_ZONES!$B:$B,B224+1)))</f>
        <v/>
      </c>
      <c r="F224">
        <f>IF('TRANSPORT DASHBOARD'!$B$4="Area",IF(223&lt;=$I$3,IF(OR('TRANSPORT DASHBOARD'!$C$4="",ISNUMBER(SEARCH('TRANSPORT DASHBOARD'!$C$4,INDEX(MASTER_AREAS!$B:$B,224)))),223,""),""),IF('TRANSPORT DASHBOARD'!$B$4="Zone",IF(223&lt;=$I$4,IF(OR('TRANSPORT DASHBOARD'!$C$4="",ISNUMBER(SEARCH('TRANSPORT DASHBOARD'!$C$4,INDEX(MASTER_ZONES!$B:$B,224)))),223,""),""),""))</f>
        <v/>
      </c>
      <c r="G224">
        <f>IFERROR(SMALL($F$2:$F$1365,223),"")</f>
        <v/>
      </c>
      <c r="H224">
        <f>IF(G224="","",IF('TRANSPORT DASHBOARD'!$B$4="Area",INDEX(MASTER_AREAS!$B:$B,G224+1),INDEX(MASTER_ZONES!$B:$B,G224+1)))</f>
        <v/>
      </c>
    </row>
    <row r="225">
      <c r="A225">
        <f>IF('WSF DASHBOARD'!$B$4="Area",IF(224&lt;=$D$3,IF(OR('WSF DASHBOARD'!$C$4="",ISNUMBER(SEARCH('WSF DASHBOARD'!$C$4,INDEX(MASTER_AREAS!$B:$B,225)))),224,""),""),IF('WSF DASHBOARD'!$B$4="Zone",IF(224&lt;=$D$4,IF(OR('WSF DASHBOARD'!$C$4="",ISNUMBER(SEARCH('WSF DASHBOARD'!$C$4,INDEX(MASTER_ZONES!$B:$B,225)))),224,""),""),""))</f>
        <v/>
      </c>
      <c r="B225">
        <f>IFERROR(SMALL($A$2:$A$1365,224),"")</f>
        <v/>
      </c>
      <c r="C225">
        <f>IF(B225="","",IF('WSF DASHBOARD'!$B$4="Area",INDEX(MASTER_AREAS!$B:$B,B225+1),INDEX(MASTER_ZONES!$B:$B,B225+1)))</f>
        <v/>
      </c>
      <c r="F225">
        <f>IF('TRANSPORT DASHBOARD'!$B$4="Area",IF(224&lt;=$I$3,IF(OR('TRANSPORT DASHBOARD'!$C$4="",ISNUMBER(SEARCH('TRANSPORT DASHBOARD'!$C$4,INDEX(MASTER_AREAS!$B:$B,225)))),224,""),""),IF('TRANSPORT DASHBOARD'!$B$4="Zone",IF(224&lt;=$I$4,IF(OR('TRANSPORT DASHBOARD'!$C$4="",ISNUMBER(SEARCH('TRANSPORT DASHBOARD'!$C$4,INDEX(MASTER_ZONES!$B:$B,225)))),224,""),""),""))</f>
        <v/>
      </c>
      <c r="G225">
        <f>IFERROR(SMALL($F$2:$F$1365,224),"")</f>
        <v/>
      </c>
      <c r="H225">
        <f>IF(G225="","",IF('TRANSPORT DASHBOARD'!$B$4="Area",INDEX(MASTER_AREAS!$B:$B,G225+1),INDEX(MASTER_ZONES!$B:$B,G225+1)))</f>
        <v/>
      </c>
    </row>
    <row r="226">
      <c r="A226">
        <f>IF('WSF DASHBOARD'!$B$4="Area",IF(225&lt;=$D$3,IF(OR('WSF DASHBOARD'!$C$4="",ISNUMBER(SEARCH('WSF DASHBOARD'!$C$4,INDEX(MASTER_AREAS!$B:$B,226)))),225,""),""),IF('WSF DASHBOARD'!$B$4="Zone",IF(225&lt;=$D$4,IF(OR('WSF DASHBOARD'!$C$4="",ISNUMBER(SEARCH('WSF DASHBOARD'!$C$4,INDEX(MASTER_ZONES!$B:$B,226)))),225,""),""),""))</f>
        <v/>
      </c>
      <c r="B226">
        <f>IFERROR(SMALL($A$2:$A$1365,225),"")</f>
        <v/>
      </c>
      <c r="C226">
        <f>IF(B226="","",IF('WSF DASHBOARD'!$B$4="Area",INDEX(MASTER_AREAS!$B:$B,B226+1),INDEX(MASTER_ZONES!$B:$B,B226+1)))</f>
        <v/>
      </c>
      <c r="F226">
        <f>IF('TRANSPORT DASHBOARD'!$B$4="Area",IF(225&lt;=$I$3,IF(OR('TRANSPORT DASHBOARD'!$C$4="",ISNUMBER(SEARCH('TRANSPORT DASHBOARD'!$C$4,INDEX(MASTER_AREAS!$B:$B,226)))),225,""),""),IF('TRANSPORT DASHBOARD'!$B$4="Zone",IF(225&lt;=$I$4,IF(OR('TRANSPORT DASHBOARD'!$C$4="",ISNUMBER(SEARCH('TRANSPORT DASHBOARD'!$C$4,INDEX(MASTER_ZONES!$B:$B,226)))),225,""),""),""))</f>
        <v/>
      </c>
      <c r="G226">
        <f>IFERROR(SMALL($F$2:$F$1365,225),"")</f>
        <v/>
      </c>
      <c r="H226">
        <f>IF(G226="","",IF('TRANSPORT DASHBOARD'!$B$4="Area",INDEX(MASTER_AREAS!$B:$B,G226+1),INDEX(MASTER_ZONES!$B:$B,G226+1)))</f>
        <v/>
      </c>
    </row>
    <row r="227">
      <c r="A227">
        <f>IF('WSF DASHBOARD'!$B$4="Area",IF(226&lt;=$D$3,IF(OR('WSF DASHBOARD'!$C$4="",ISNUMBER(SEARCH('WSF DASHBOARD'!$C$4,INDEX(MASTER_AREAS!$B:$B,227)))),226,""),""),IF('WSF DASHBOARD'!$B$4="Zone",IF(226&lt;=$D$4,IF(OR('WSF DASHBOARD'!$C$4="",ISNUMBER(SEARCH('WSF DASHBOARD'!$C$4,INDEX(MASTER_ZONES!$B:$B,227)))),226,""),""),""))</f>
        <v/>
      </c>
      <c r="B227">
        <f>IFERROR(SMALL($A$2:$A$1365,226),"")</f>
        <v/>
      </c>
      <c r="C227">
        <f>IF(B227="","",IF('WSF DASHBOARD'!$B$4="Area",INDEX(MASTER_AREAS!$B:$B,B227+1),INDEX(MASTER_ZONES!$B:$B,B227+1)))</f>
        <v/>
      </c>
      <c r="F227">
        <f>IF('TRANSPORT DASHBOARD'!$B$4="Area",IF(226&lt;=$I$3,IF(OR('TRANSPORT DASHBOARD'!$C$4="",ISNUMBER(SEARCH('TRANSPORT DASHBOARD'!$C$4,INDEX(MASTER_AREAS!$B:$B,227)))),226,""),""),IF('TRANSPORT DASHBOARD'!$B$4="Zone",IF(226&lt;=$I$4,IF(OR('TRANSPORT DASHBOARD'!$C$4="",ISNUMBER(SEARCH('TRANSPORT DASHBOARD'!$C$4,INDEX(MASTER_ZONES!$B:$B,227)))),226,""),""),""))</f>
        <v/>
      </c>
      <c r="G227">
        <f>IFERROR(SMALL($F$2:$F$1365,226),"")</f>
        <v/>
      </c>
      <c r="H227">
        <f>IF(G227="","",IF('TRANSPORT DASHBOARD'!$B$4="Area",INDEX(MASTER_AREAS!$B:$B,G227+1),INDEX(MASTER_ZONES!$B:$B,G227+1)))</f>
        <v/>
      </c>
    </row>
    <row r="228">
      <c r="A228">
        <f>IF('WSF DASHBOARD'!$B$4="Area",IF(227&lt;=$D$3,IF(OR('WSF DASHBOARD'!$C$4="",ISNUMBER(SEARCH('WSF DASHBOARD'!$C$4,INDEX(MASTER_AREAS!$B:$B,228)))),227,""),""),IF('WSF DASHBOARD'!$B$4="Zone",IF(227&lt;=$D$4,IF(OR('WSF DASHBOARD'!$C$4="",ISNUMBER(SEARCH('WSF DASHBOARD'!$C$4,INDEX(MASTER_ZONES!$B:$B,228)))),227,""),""),""))</f>
        <v/>
      </c>
      <c r="B228">
        <f>IFERROR(SMALL($A$2:$A$1365,227),"")</f>
        <v/>
      </c>
      <c r="C228">
        <f>IF(B228="","",IF('WSF DASHBOARD'!$B$4="Area",INDEX(MASTER_AREAS!$B:$B,B228+1),INDEX(MASTER_ZONES!$B:$B,B228+1)))</f>
        <v/>
      </c>
      <c r="F228">
        <f>IF('TRANSPORT DASHBOARD'!$B$4="Area",IF(227&lt;=$I$3,IF(OR('TRANSPORT DASHBOARD'!$C$4="",ISNUMBER(SEARCH('TRANSPORT DASHBOARD'!$C$4,INDEX(MASTER_AREAS!$B:$B,228)))),227,""),""),IF('TRANSPORT DASHBOARD'!$B$4="Zone",IF(227&lt;=$I$4,IF(OR('TRANSPORT DASHBOARD'!$C$4="",ISNUMBER(SEARCH('TRANSPORT DASHBOARD'!$C$4,INDEX(MASTER_ZONES!$B:$B,228)))),227,""),""),""))</f>
        <v/>
      </c>
      <c r="G228">
        <f>IFERROR(SMALL($F$2:$F$1365,227),"")</f>
        <v/>
      </c>
      <c r="H228">
        <f>IF(G228="","",IF('TRANSPORT DASHBOARD'!$B$4="Area",INDEX(MASTER_AREAS!$B:$B,G228+1),INDEX(MASTER_ZONES!$B:$B,G228+1)))</f>
        <v/>
      </c>
    </row>
    <row r="229">
      <c r="A229">
        <f>IF('WSF DASHBOARD'!$B$4="Area",IF(228&lt;=$D$3,IF(OR('WSF DASHBOARD'!$C$4="",ISNUMBER(SEARCH('WSF DASHBOARD'!$C$4,INDEX(MASTER_AREAS!$B:$B,229)))),228,""),""),IF('WSF DASHBOARD'!$B$4="Zone",IF(228&lt;=$D$4,IF(OR('WSF DASHBOARD'!$C$4="",ISNUMBER(SEARCH('WSF DASHBOARD'!$C$4,INDEX(MASTER_ZONES!$B:$B,229)))),228,""),""),""))</f>
        <v/>
      </c>
      <c r="B229">
        <f>IFERROR(SMALL($A$2:$A$1365,228),"")</f>
        <v/>
      </c>
      <c r="C229">
        <f>IF(B229="","",IF('WSF DASHBOARD'!$B$4="Area",INDEX(MASTER_AREAS!$B:$B,B229+1),INDEX(MASTER_ZONES!$B:$B,B229+1)))</f>
        <v/>
      </c>
      <c r="F229">
        <f>IF('TRANSPORT DASHBOARD'!$B$4="Area",IF(228&lt;=$I$3,IF(OR('TRANSPORT DASHBOARD'!$C$4="",ISNUMBER(SEARCH('TRANSPORT DASHBOARD'!$C$4,INDEX(MASTER_AREAS!$B:$B,229)))),228,""),""),IF('TRANSPORT DASHBOARD'!$B$4="Zone",IF(228&lt;=$I$4,IF(OR('TRANSPORT DASHBOARD'!$C$4="",ISNUMBER(SEARCH('TRANSPORT DASHBOARD'!$C$4,INDEX(MASTER_ZONES!$B:$B,229)))),228,""),""),""))</f>
        <v/>
      </c>
      <c r="G229">
        <f>IFERROR(SMALL($F$2:$F$1365,228),"")</f>
        <v/>
      </c>
      <c r="H229">
        <f>IF(G229="","",IF('TRANSPORT DASHBOARD'!$B$4="Area",INDEX(MASTER_AREAS!$B:$B,G229+1),INDEX(MASTER_ZONES!$B:$B,G229+1)))</f>
        <v/>
      </c>
    </row>
    <row r="230">
      <c r="A230">
        <f>IF('WSF DASHBOARD'!$B$4="Area",IF(229&lt;=$D$3,IF(OR('WSF DASHBOARD'!$C$4="",ISNUMBER(SEARCH('WSF DASHBOARD'!$C$4,INDEX(MASTER_AREAS!$B:$B,230)))),229,""),""),IF('WSF DASHBOARD'!$B$4="Zone",IF(229&lt;=$D$4,IF(OR('WSF DASHBOARD'!$C$4="",ISNUMBER(SEARCH('WSF DASHBOARD'!$C$4,INDEX(MASTER_ZONES!$B:$B,230)))),229,""),""),""))</f>
        <v/>
      </c>
      <c r="B230">
        <f>IFERROR(SMALL($A$2:$A$1365,229),"")</f>
        <v/>
      </c>
      <c r="C230">
        <f>IF(B230="","",IF('WSF DASHBOARD'!$B$4="Area",INDEX(MASTER_AREAS!$B:$B,B230+1),INDEX(MASTER_ZONES!$B:$B,B230+1)))</f>
        <v/>
      </c>
      <c r="F230">
        <f>IF('TRANSPORT DASHBOARD'!$B$4="Area",IF(229&lt;=$I$3,IF(OR('TRANSPORT DASHBOARD'!$C$4="",ISNUMBER(SEARCH('TRANSPORT DASHBOARD'!$C$4,INDEX(MASTER_AREAS!$B:$B,230)))),229,""),""),IF('TRANSPORT DASHBOARD'!$B$4="Zone",IF(229&lt;=$I$4,IF(OR('TRANSPORT DASHBOARD'!$C$4="",ISNUMBER(SEARCH('TRANSPORT DASHBOARD'!$C$4,INDEX(MASTER_ZONES!$B:$B,230)))),229,""),""),""))</f>
        <v/>
      </c>
      <c r="G230">
        <f>IFERROR(SMALL($F$2:$F$1365,229),"")</f>
        <v/>
      </c>
      <c r="H230">
        <f>IF(G230="","",IF('TRANSPORT DASHBOARD'!$B$4="Area",INDEX(MASTER_AREAS!$B:$B,G230+1),INDEX(MASTER_ZONES!$B:$B,G230+1)))</f>
        <v/>
      </c>
    </row>
    <row r="231">
      <c r="A231">
        <f>IF('WSF DASHBOARD'!$B$4="Area",IF(230&lt;=$D$3,IF(OR('WSF DASHBOARD'!$C$4="",ISNUMBER(SEARCH('WSF DASHBOARD'!$C$4,INDEX(MASTER_AREAS!$B:$B,231)))),230,""),""),IF('WSF DASHBOARD'!$B$4="Zone",IF(230&lt;=$D$4,IF(OR('WSF DASHBOARD'!$C$4="",ISNUMBER(SEARCH('WSF DASHBOARD'!$C$4,INDEX(MASTER_ZONES!$B:$B,231)))),230,""),""),""))</f>
        <v/>
      </c>
      <c r="B231">
        <f>IFERROR(SMALL($A$2:$A$1365,230),"")</f>
        <v/>
      </c>
      <c r="C231">
        <f>IF(B231="","",IF('WSF DASHBOARD'!$B$4="Area",INDEX(MASTER_AREAS!$B:$B,B231+1),INDEX(MASTER_ZONES!$B:$B,B231+1)))</f>
        <v/>
      </c>
      <c r="F231">
        <f>IF('TRANSPORT DASHBOARD'!$B$4="Area",IF(230&lt;=$I$3,IF(OR('TRANSPORT DASHBOARD'!$C$4="",ISNUMBER(SEARCH('TRANSPORT DASHBOARD'!$C$4,INDEX(MASTER_AREAS!$B:$B,231)))),230,""),""),IF('TRANSPORT DASHBOARD'!$B$4="Zone",IF(230&lt;=$I$4,IF(OR('TRANSPORT DASHBOARD'!$C$4="",ISNUMBER(SEARCH('TRANSPORT DASHBOARD'!$C$4,INDEX(MASTER_ZONES!$B:$B,231)))),230,""),""),""))</f>
        <v/>
      </c>
      <c r="G231">
        <f>IFERROR(SMALL($F$2:$F$1365,230),"")</f>
        <v/>
      </c>
      <c r="H231">
        <f>IF(G231="","",IF('TRANSPORT DASHBOARD'!$B$4="Area",INDEX(MASTER_AREAS!$B:$B,G231+1),INDEX(MASTER_ZONES!$B:$B,G231+1)))</f>
        <v/>
      </c>
    </row>
    <row r="232">
      <c r="A232">
        <f>IF('WSF DASHBOARD'!$B$4="Area",IF(231&lt;=$D$3,IF(OR('WSF DASHBOARD'!$C$4="",ISNUMBER(SEARCH('WSF DASHBOARD'!$C$4,INDEX(MASTER_AREAS!$B:$B,232)))),231,""),""),IF('WSF DASHBOARD'!$B$4="Zone",IF(231&lt;=$D$4,IF(OR('WSF DASHBOARD'!$C$4="",ISNUMBER(SEARCH('WSF DASHBOARD'!$C$4,INDEX(MASTER_ZONES!$B:$B,232)))),231,""),""),""))</f>
        <v/>
      </c>
      <c r="B232">
        <f>IFERROR(SMALL($A$2:$A$1365,231),"")</f>
        <v/>
      </c>
      <c r="C232">
        <f>IF(B232="","",IF('WSF DASHBOARD'!$B$4="Area",INDEX(MASTER_AREAS!$B:$B,B232+1),INDEX(MASTER_ZONES!$B:$B,B232+1)))</f>
        <v/>
      </c>
      <c r="F232">
        <f>IF('TRANSPORT DASHBOARD'!$B$4="Area",IF(231&lt;=$I$3,IF(OR('TRANSPORT DASHBOARD'!$C$4="",ISNUMBER(SEARCH('TRANSPORT DASHBOARD'!$C$4,INDEX(MASTER_AREAS!$B:$B,232)))),231,""),""),IF('TRANSPORT DASHBOARD'!$B$4="Zone",IF(231&lt;=$I$4,IF(OR('TRANSPORT DASHBOARD'!$C$4="",ISNUMBER(SEARCH('TRANSPORT DASHBOARD'!$C$4,INDEX(MASTER_ZONES!$B:$B,232)))),231,""),""),""))</f>
        <v/>
      </c>
      <c r="G232">
        <f>IFERROR(SMALL($F$2:$F$1365,231),"")</f>
        <v/>
      </c>
      <c r="H232">
        <f>IF(G232="","",IF('TRANSPORT DASHBOARD'!$B$4="Area",INDEX(MASTER_AREAS!$B:$B,G232+1),INDEX(MASTER_ZONES!$B:$B,G232+1)))</f>
        <v/>
      </c>
    </row>
    <row r="233">
      <c r="A233">
        <f>IF('WSF DASHBOARD'!$B$4="Area",IF(232&lt;=$D$3,IF(OR('WSF DASHBOARD'!$C$4="",ISNUMBER(SEARCH('WSF DASHBOARD'!$C$4,INDEX(MASTER_AREAS!$B:$B,233)))),232,""),""),IF('WSF DASHBOARD'!$B$4="Zone",IF(232&lt;=$D$4,IF(OR('WSF DASHBOARD'!$C$4="",ISNUMBER(SEARCH('WSF DASHBOARD'!$C$4,INDEX(MASTER_ZONES!$B:$B,233)))),232,""),""),""))</f>
        <v/>
      </c>
      <c r="B233">
        <f>IFERROR(SMALL($A$2:$A$1365,232),"")</f>
        <v/>
      </c>
      <c r="C233">
        <f>IF(B233="","",IF('WSF DASHBOARD'!$B$4="Area",INDEX(MASTER_AREAS!$B:$B,B233+1),INDEX(MASTER_ZONES!$B:$B,B233+1)))</f>
        <v/>
      </c>
      <c r="F233">
        <f>IF('TRANSPORT DASHBOARD'!$B$4="Area",IF(232&lt;=$I$3,IF(OR('TRANSPORT DASHBOARD'!$C$4="",ISNUMBER(SEARCH('TRANSPORT DASHBOARD'!$C$4,INDEX(MASTER_AREAS!$B:$B,233)))),232,""),""),IF('TRANSPORT DASHBOARD'!$B$4="Zone",IF(232&lt;=$I$4,IF(OR('TRANSPORT DASHBOARD'!$C$4="",ISNUMBER(SEARCH('TRANSPORT DASHBOARD'!$C$4,INDEX(MASTER_ZONES!$B:$B,233)))),232,""),""),""))</f>
        <v/>
      </c>
      <c r="G233">
        <f>IFERROR(SMALL($F$2:$F$1365,232),"")</f>
        <v/>
      </c>
      <c r="H233">
        <f>IF(G233="","",IF('TRANSPORT DASHBOARD'!$B$4="Area",INDEX(MASTER_AREAS!$B:$B,G233+1),INDEX(MASTER_ZONES!$B:$B,G233+1)))</f>
        <v/>
      </c>
    </row>
    <row r="234">
      <c r="A234">
        <f>IF('WSF DASHBOARD'!$B$4="Area",IF(233&lt;=$D$3,IF(OR('WSF DASHBOARD'!$C$4="",ISNUMBER(SEARCH('WSF DASHBOARD'!$C$4,INDEX(MASTER_AREAS!$B:$B,234)))),233,""),""),IF('WSF DASHBOARD'!$B$4="Zone",IF(233&lt;=$D$4,IF(OR('WSF DASHBOARD'!$C$4="",ISNUMBER(SEARCH('WSF DASHBOARD'!$C$4,INDEX(MASTER_ZONES!$B:$B,234)))),233,""),""),""))</f>
        <v/>
      </c>
      <c r="B234">
        <f>IFERROR(SMALL($A$2:$A$1365,233),"")</f>
        <v/>
      </c>
      <c r="C234">
        <f>IF(B234="","",IF('WSF DASHBOARD'!$B$4="Area",INDEX(MASTER_AREAS!$B:$B,B234+1),INDEX(MASTER_ZONES!$B:$B,B234+1)))</f>
        <v/>
      </c>
      <c r="F234">
        <f>IF('TRANSPORT DASHBOARD'!$B$4="Area",IF(233&lt;=$I$3,IF(OR('TRANSPORT DASHBOARD'!$C$4="",ISNUMBER(SEARCH('TRANSPORT DASHBOARD'!$C$4,INDEX(MASTER_AREAS!$B:$B,234)))),233,""),""),IF('TRANSPORT DASHBOARD'!$B$4="Zone",IF(233&lt;=$I$4,IF(OR('TRANSPORT DASHBOARD'!$C$4="",ISNUMBER(SEARCH('TRANSPORT DASHBOARD'!$C$4,INDEX(MASTER_ZONES!$B:$B,234)))),233,""),""),""))</f>
        <v/>
      </c>
      <c r="G234">
        <f>IFERROR(SMALL($F$2:$F$1365,233),"")</f>
        <v/>
      </c>
      <c r="H234">
        <f>IF(G234="","",IF('TRANSPORT DASHBOARD'!$B$4="Area",INDEX(MASTER_AREAS!$B:$B,G234+1),INDEX(MASTER_ZONES!$B:$B,G234+1)))</f>
        <v/>
      </c>
    </row>
    <row r="235">
      <c r="A235">
        <f>IF('WSF DASHBOARD'!$B$4="Area",IF(234&lt;=$D$3,IF(OR('WSF DASHBOARD'!$C$4="",ISNUMBER(SEARCH('WSF DASHBOARD'!$C$4,INDEX(MASTER_AREAS!$B:$B,235)))),234,""),""),IF('WSF DASHBOARD'!$B$4="Zone",IF(234&lt;=$D$4,IF(OR('WSF DASHBOARD'!$C$4="",ISNUMBER(SEARCH('WSF DASHBOARD'!$C$4,INDEX(MASTER_ZONES!$B:$B,235)))),234,""),""),""))</f>
        <v/>
      </c>
      <c r="B235">
        <f>IFERROR(SMALL($A$2:$A$1365,234),"")</f>
        <v/>
      </c>
      <c r="C235">
        <f>IF(B235="","",IF('WSF DASHBOARD'!$B$4="Area",INDEX(MASTER_AREAS!$B:$B,B235+1),INDEX(MASTER_ZONES!$B:$B,B235+1)))</f>
        <v/>
      </c>
      <c r="F235">
        <f>IF('TRANSPORT DASHBOARD'!$B$4="Area",IF(234&lt;=$I$3,IF(OR('TRANSPORT DASHBOARD'!$C$4="",ISNUMBER(SEARCH('TRANSPORT DASHBOARD'!$C$4,INDEX(MASTER_AREAS!$B:$B,235)))),234,""),""),IF('TRANSPORT DASHBOARD'!$B$4="Zone",IF(234&lt;=$I$4,IF(OR('TRANSPORT DASHBOARD'!$C$4="",ISNUMBER(SEARCH('TRANSPORT DASHBOARD'!$C$4,INDEX(MASTER_ZONES!$B:$B,235)))),234,""),""),""))</f>
        <v/>
      </c>
      <c r="G235">
        <f>IFERROR(SMALL($F$2:$F$1365,234),"")</f>
        <v/>
      </c>
      <c r="H235">
        <f>IF(G235="","",IF('TRANSPORT DASHBOARD'!$B$4="Area",INDEX(MASTER_AREAS!$B:$B,G235+1),INDEX(MASTER_ZONES!$B:$B,G235+1)))</f>
        <v/>
      </c>
    </row>
    <row r="236">
      <c r="A236">
        <f>IF('WSF DASHBOARD'!$B$4="Area",IF(235&lt;=$D$3,IF(OR('WSF DASHBOARD'!$C$4="",ISNUMBER(SEARCH('WSF DASHBOARD'!$C$4,INDEX(MASTER_AREAS!$B:$B,236)))),235,""),""),IF('WSF DASHBOARD'!$B$4="Zone",IF(235&lt;=$D$4,IF(OR('WSF DASHBOARD'!$C$4="",ISNUMBER(SEARCH('WSF DASHBOARD'!$C$4,INDEX(MASTER_ZONES!$B:$B,236)))),235,""),""),""))</f>
        <v/>
      </c>
      <c r="B236">
        <f>IFERROR(SMALL($A$2:$A$1365,235),"")</f>
        <v/>
      </c>
      <c r="C236">
        <f>IF(B236="","",IF('WSF DASHBOARD'!$B$4="Area",INDEX(MASTER_AREAS!$B:$B,B236+1),INDEX(MASTER_ZONES!$B:$B,B236+1)))</f>
        <v/>
      </c>
      <c r="F236">
        <f>IF('TRANSPORT DASHBOARD'!$B$4="Area",IF(235&lt;=$I$3,IF(OR('TRANSPORT DASHBOARD'!$C$4="",ISNUMBER(SEARCH('TRANSPORT DASHBOARD'!$C$4,INDEX(MASTER_AREAS!$B:$B,236)))),235,""),""),IF('TRANSPORT DASHBOARD'!$B$4="Zone",IF(235&lt;=$I$4,IF(OR('TRANSPORT DASHBOARD'!$C$4="",ISNUMBER(SEARCH('TRANSPORT DASHBOARD'!$C$4,INDEX(MASTER_ZONES!$B:$B,236)))),235,""),""),""))</f>
        <v/>
      </c>
      <c r="G236">
        <f>IFERROR(SMALL($F$2:$F$1365,235),"")</f>
        <v/>
      </c>
      <c r="H236">
        <f>IF(G236="","",IF('TRANSPORT DASHBOARD'!$B$4="Area",INDEX(MASTER_AREAS!$B:$B,G236+1),INDEX(MASTER_ZONES!$B:$B,G236+1)))</f>
        <v/>
      </c>
    </row>
    <row r="237">
      <c r="A237">
        <f>IF('WSF DASHBOARD'!$B$4="Area",IF(236&lt;=$D$3,IF(OR('WSF DASHBOARD'!$C$4="",ISNUMBER(SEARCH('WSF DASHBOARD'!$C$4,INDEX(MASTER_AREAS!$B:$B,237)))),236,""),""),IF('WSF DASHBOARD'!$B$4="Zone",IF(236&lt;=$D$4,IF(OR('WSF DASHBOARD'!$C$4="",ISNUMBER(SEARCH('WSF DASHBOARD'!$C$4,INDEX(MASTER_ZONES!$B:$B,237)))),236,""),""),""))</f>
        <v/>
      </c>
      <c r="B237">
        <f>IFERROR(SMALL($A$2:$A$1365,236),"")</f>
        <v/>
      </c>
      <c r="C237">
        <f>IF(B237="","",IF('WSF DASHBOARD'!$B$4="Area",INDEX(MASTER_AREAS!$B:$B,B237+1),INDEX(MASTER_ZONES!$B:$B,B237+1)))</f>
        <v/>
      </c>
      <c r="F237">
        <f>IF('TRANSPORT DASHBOARD'!$B$4="Area",IF(236&lt;=$I$3,IF(OR('TRANSPORT DASHBOARD'!$C$4="",ISNUMBER(SEARCH('TRANSPORT DASHBOARD'!$C$4,INDEX(MASTER_AREAS!$B:$B,237)))),236,""),""),IF('TRANSPORT DASHBOARD'!$B$4="Zone",IF(236&lt;=$I$4,IF(OR('TRANSPORT DASHBOARD'!$C$4="",ISNUMBER(SEARCH('TRANSPORT DASHBOARD'!$C$4,INDEX(MASTER_ZONES!$B:$B,237)))),236,""),""),""))</f>
        <v/>
      </c>
      <c r="G237">
        <f>IFERROR(SMALL($F$2:$F$1365,236),"")</f>
        <v/>
      </c>
      <c r="H237">
        <f>IF(G237="","",IF('TRANSPORT DASHBOARD'!$B$4="Area",INDEX(MASTER_AREAS!$B:$B,G237+1),INDEX(MASTER_ZONES!$B:$B,G237+1)))</f>
        <v/>
      </c>
    </row>
    <row r="238">
      <c r="A238">
        <f>IF('WSF DASHBOARD'!$B$4="Area",IF(237&lt;=$D$3,IF(OR('WSF DASHBOARD'!$C$4="",ISNUMBER(SEARCH('WSF DASHBOARD'!$C$4,INDEX(MASTER_AREAS!$B:$B,238)))),237,""),""),IF('WSF DASHBOARD'!$B$4="Zone",IF(237&lt;=$D$4,IF(OR('WSF DASHBOARD'!$C$4="",ISNUMBER(SEARCH('WSF DASHBOARD'!$C$4,INDEX(MASTER_ZONES!$B:$B,238)))),237,""),""),""))</f>
        <v/>
      </c>
      <c r="B238">
        <f>IFERROR(SMALL($A$2:$A$1365,237),"")</f>
        <v/>
      </c>
      <c r="C238">
        <f>IF(B238="","",IF('WSF DASHBOARD'!$B$4="Area",INDEX(MASTER_AREAS!$B:$B,B238+1),INDEX(MASTER_ZONES!$B:$B,B238+1)))</f>
        <v/>
      </c>
      <c r="F238">
        <f>IF('TRANSPORT DASHBOARD'!$B$4="Area",IF(237&lt;=$I$3,IF(OR('TRANSPORT DASHBOARD'!$C$4="",ISNUMBER(SEARCH('TRANSPORT DASHBOARD'!$C$4,INDEX(MASTER_AREAS!$B:$B,238)))),237,""),""),IF('TRANSPORT DASHBOARD'!$B$4="Zone",IF(237&lt;=$I$4,IF(OR('TRANSPORT DASHBOARD'!$C$4="",ISNUMBER(SEARCH('TRANSPORT DASHBOARD'!$C$4,INDEX(MASTER_ZONES!$B:$B,238)))),237,""),""),""))</f>
        <v/>
      </c>
      <c r="G238">
        <f>IFERROR(SMALL($F$2:$F$1365,237),"")</f>
        <v/>
      </c>
      <c r="H238">
        <f>IF(G238="","",IF('TRANSPORT DASHBOARD'!$B$4="Area",INDEX(MASTER_AREAS!$B:$B,G238+1),INDEX(MASTER_ZONES!$B:$B,G238+1)))</f>
        <v/>
      </c>
    </row>
    <row r="239">
      <c r="A239">
        <f>IF('WSF DASHBOARD'!$B$4="Area",IF(238&lt;=$D$3,IF(OR('WSF DASHBOARD'!$C$4="",ISNUMBER(SEARCH('WSF DASHBOARD'!$C$4,INDEX(MASTER_AREAS!$B:$B,239)))),238,""),""),IF('WSF DASHBOARD'!$B$4="Zone",IF(238&lt;=$D$4,IF(OR('WSF DASHBOARD'!$C$4="",ISNUMBER(SEARCH('WSF DASHBOARD'!$C$4,INDEX(MASTER_ZONES!$B:$B,239)))),238,""),""),""))</f>
        <v/>
      </c>
      <c r="B239">
        <f>IFERROR(SMALL($A$2:$A$1365,238),"")</f>
        <v/>
      </c>
      <c r="C239">
        <f>IF(B239="","",IF('WSF DASHBOARD'!$B$4="Area",INDEX(MASTER_AREAS!$B:$B,B239+1),INDEX(MASTER_ZONES!$B:$B,B239+1)))</f>
        <v/>
      </c>
      <c r="F239">
        <f>IF('TRANSPORT DASHBOARD'!$B$4="Area",IF(238&lt;=$I$3,IF(OR('TRANSPORT DASHBOARD'!$C$4="",ISNUMBER(SEARCH('TRANSPORT DASHBOARD'!$C$4,INDEX(MASTER_AREAS!$B:$B,239)))),238,""),""),IF('TRANSPORT DASHBOARD'!$B$4="Zone",IF(238&lt;=$I$4,IF(OR('TRANSPORT DASHBOARD'!$C$4="",ISNUMBER(SEARCH('TRANSPORT DASHBOARD'!$C$4,INDEX(MASTER_ZONES!$B:$B,239)))),238,""),""),""))</f>
        <v/>
      </c>
      <c r="G239">
        <f>IFERROR(SMALL($F$2:$F$1365,238),"")</f>
        <v/>
      </c>
      <c r="H239">
        <f>IF(G239="","",IF('TRANSPORT DASHBOARD'!$B$4="Area",INDEX(MASTER_AREAS!$B:$B,G239+1),INDEX(MASTER_ZONES!$B:$B,G239+1)))</f>
        <v/>
      </c>
    </row>
    <row r="240">
      <c r="A240">
        <f>IF('WSF DASHBOARD'!$B$4="Area",IF(239&lt;=$D$3,IF(OR('WSF DASHBOARD'!$C$4="",ISNUMBER(SEARCH('WSF DASHBOARD'!$C$4,INDEX(MASTER_AREAS!$B:$B,240)))),239,""),""),IF('WSF DASHBOARD'!$B$4="Zone",IF(239&lt;=$D$4,IF(OR('WSF DASHBOARD'!$C$4="",ISNUMBER(SEARCH('WSF DASHBOARD'!$C$4,INDEX(MASTER_ZONES!$B:$B,240)))),239,""),""),""))</f>
        <v/>
      </c>
      <c r="B240">
        <f>IFERROR(SMALL($A$2:$A$1365,239),"")</f>
        <v/>
      </c>
      <c r="C240">
        <f>IF(B240="","",IF('WSF DASHBOARD'!$B$4="Area",INDEX(MASTER_AREAS!$B:$B,B240+1),INDEX(MASTER_ZONES!$B:$B,B240+1)))</f>
        <v/>
      </c>
      <c r="F240">
        <f>IF('TRANSPORT DASHBOARD'!$B$4="Area",IF(239&lt;=$I$3,IF(OR('TRANSPORT DASHBOARD'!$C$4="",ISNUMBER(SEARCH('TRANSPORT DASHBOARD'!$C$4,INDEX(MASTER_AREAS!$B:$B,240)))),239,""),""),IF('TRANSPORT DASHBOARD'!$B$4="Zone",IF(239&lt;=$I$4,IF(OR('TRANSPORT DASHBOARD'!$C$4="",ISNUMBER(SEARCH('TRANSPORT DASHBOARD'!$C$4,INDEX(MASTER_ZONES!$B:$B,240)))),239,""),""),""))</f>
        <v/>
      </c>
      <c r="G240">
        <f>IFERROR(SMALL($F$2:$F$1365,239),"")</f>
        <v/>
      </c>
      <c r="H240">
        <f>IF(G240="","",IF('TRANSPORT DASHBOARD'!$B$4="Area",INDEX(MASTER_AREAS!$B:$B,G240+1),INDEX(MASTER_ZONES!$B:$B,G240+1)))</f>
        <v/>
      </c>
    </row>
    <row r="241">
      <c r="A241">
        <f>IF('WSF DASHBOARD'!$B$4="Area",IF(240&lt;=$D$3,IF(OR('WSF DASHBOARD'!$C$4="",ISNUMBER(SEARCH('WSF DASHBOARD'!$C$4,INDEX(MASTER_AREAS!$B:$B,241)))),240,""),""),IF('WSF DASHBOARD'!$B$4="Zone",IF(240&lt;=$D$4,IF(OR('WSF DASHBOARD'!$C$4="",ISNUMBER(SEARCH('WSF DASHBOARD'!$C$4,INDEX(MASTER_ZONES!$B:$B,241)))),240,""),""),""))</f>
        <v/>
      </c>
      <c r="B241">
        <f>IFERROR(SMALL($A$2:$A$1365,240),"")</f>
        <v/>
      </c>
      <c r="C241">
        <f>IF(B241="","",IF('WSF DASHBOARD'!$B$4="Area",INDEX(MASTER_AREAS!$B:$B,B241+1),INDEX(MASTER_ZONES!$B:$B,B241+1)))</f>
        <v/>
      </c>
      <c r="F241">
        <f>IF('TRANSPORT DASHBOARD'!$B$4="Area",IF(240&lt;=$I$3,IF(OR('TRANSPORT DASHBOARD'!$C$4="",ISNUMBER(SEARCH('TRANSPORT DASHBOARD'!$C$4,INDEX(MASTER_AREAS!$B:$B,241)))),240,""),""),IF('TRANSPORT DASHBOARD'!$B$4="Zone",IF(240&lt;=$I$4,IF(OR('TRANSPORT DASHBOARD'!$C$4="",ISNUMBER(SEARCH('TRANSPORT DASHBOARD'!$C$4,INDEX(MASTER_ZONES!$B:$B,241)))),240,""),""),""))</f>
        <v/>
      </c>
      <c r="G241">
        <f>IFERROR(SMALL($F$2:$F$1365,240),"")</f>
        <v/>
      </c>
      <c r="H241">
        <f>IF(G241="","",IF('TRANSPORT DASHBOARD'!$B$4="Area",INDEX(MASTER_AREAS!$B:$B,G241+1),INDEX(MASTER_ZONES!$B:$B,G241+1)))</f>
        <v/>
      </c>
    </row>
    <row r="242">
      <c r="A242">
        <f>IF('WSF DASHBOARD'!$B$4="Area",IF(241&lt;=$D$3,IF(OR('WSF DASHBOARD'!$C$4="",ISNUMBER(SEARCH('WSF DASHBOARD'!$C$4,INDEX(MASTER_AREAS!$B:$B,242)))),241,""),""),IF('WSF DASHBOARD'!$B$4="Zone",IF(241&lt;=$D$4,IF(OR('WSF DASHBOARD'!$C$4="",ISNUMBER(SEARCH('WSF DASHBOARD'!$C$4,INDEX(MASTER_ZONES!$B:$B,242)))),241,""),""),""))</f>
        <v/>
      </c>
      <c r="B242">
        <f>IFERROR(SMALL($A$2:$A$1365,241),"")</f>
        <v/>
      </c>
      <c r="C242">
        <f>IF(B242="","",IF('WSF DASHBOARD'!$B$4="Area",INDEX(MASTER_AREAS!$B:$B,B242+1),INDEX(MASTER_ZONES!$B:$B,B242+1)))</f>
        <v/>
      </c>
      <c r="F242">
        <f>IF('TRANSPORT DASHBOARD'!$B$4="Area",IF(241&lt;=$I$3,IF(OR('TRANSPORT DASHBOARD'!$C$4="",ISNUMBER(SEARCH('TRANSPORT DASHBOARD'!$C$4,INDEX(MASTER_AREAS!$B:$B,242)))),241,""),""),IF('TRANSPORT DASHBOARD'!$B$4="Zone",IF(241&lt;=$I$4,IF(OR('TRANSPORT DASHBOARD'!$C$4="",ISNUMBER(SEARCH('TRANSPORT DASHBOARD'!$C$4,INDEX(MASTER_ZONES!$B:$B,242)))),241,""),""),""))</f>
        <v/>
      </c>
      <c r="G242">
        <f>IFERROR(SMALL($F$2:$F$1365,241),"")</f>
        <v/>
      </c>
      <c r="H242">
        <f>IF(G242="","",IF('TRANSPORT DASHBOARD'!$B$4="Area",INDEX(MASTER_AREAS!$B:$B,G242+1),INDEX(MASTER_ZONES!$B:$B,G242+1)))</f>
        <v/>
      </c>
    </row>
    <row r="243">
      <c r="A243">
        <f>IF('WSF DASHBOARD'!$B$4="Area",IF(242&lt;=$D$3,IF(OR('WSF DASHBOARD'!$C$4="",ISNUMBER(SEARCH('WSF DASHBOARD'!$C$4,INDEX(MASTER_AREAS!$B:$B,243)))),242,""),""),IF('WSF DASHBOARD'!$B$4="Zone",IF(242&lt;=$D$4,IF(OR('WSF DASHBOARD'!$C$4="",ISNUMBER(SEARCH('WSF DASHBOARD'!$C$4,INDEX(MASTER_ZONES!$B:$B,243)))),242,""),""),""))</f>
        <v/>
      </c>
      <c r="B243">
        <f>IFERROR(SMALL($A$2:$A$1365,242),"")</f>
        <v/>
      </c>
      <c r="C243">
        <f>IF(B243="","",IF('WSF DASHBOARD'!$B$4="Area",INDEX(MASTER_AREAS!$B:$B,B243+1),INDEX(MASTER_ZONES!$B:$B,B243+1)))</f>
        <v/>
      </c>
      <c r="F243">
        <f>IF('TRANSPORT DASHBOARD'!$B$4="Area",IF(242&lt;=$I$3,IF(OR('TRANSPORT DASHBOARD'!$C$4="",ISNUMBER(SEARCH('TRANSPORT DASHBOARD'!$C$4,INDEX(MASTER_AREAS!$B:$B,243)))),242,""),""),IF('TRANSPORT DASHBOARD'!$B$4="Zone",IF(242&lt;=$I$4,IF(OR('TRANSPORT DASHBOARD'!$C$4="",ISNUMBER(SEARCH('TRANSPORT DASHBOARD'!$C$4,INDEX(MASTER_ZONES!$B:$B,243)))),242,""),""),""))</f>
        <v/>
      </c>
      <c r="G243">
        <f>IFERROR(SMALL($F$2:$F$1365,242),"")</f>
        <v/>
      </c>
      <c r="H243">
        <f>IF(G243="","",IF('TRANSPORT DASHBOARD'!$B$4="Area",INDEX(MASTER_AREAS!$B:$B,G243+1),INDEX(MASTER_ZONES!$B:$B,G243+1)))</f>
        <v/>
      </c>
    </row>
    <row r="244">
      <c r="A244">
        <f>IF('WSF DASHBOARD'!$B$4="Area",IF(243&lt;=$D$3,IF(OR('WSF DASHBOARD'!$C$4="",ISNUMBER(SEARCH('WSF DASHBOARD'!$C$4,INDEX(MASTER_AREAS!$B:$B,244)))),243,""),""),IF('WSF DASHBOARD'!$B$4="Zone",IF(243&lt;=$D$4,IF(OR('WSF DASHBOARD'!$C$4="",ISNUMBER(SEARCH('WSF DASHBOARD'!$C$4,INDEX(MASTER_ZONES!$B:$B,244)))),243,""),""),""))</f>
        <v/>
      </c>
      <c r="B244">
        <f>IFERROR(SMALL($A$2:$A$1365,243),"")</f>
        <v/>
      </c>
      <c r="C244">
        <f>IF(B244="","",IF('WSF DASHBOARD'!$B$4="Area",INDEX(MASTER_AREAS!$B:$B,B244+1),INDEX(MASTER_ZONES!$B:$B,B244+1)))</f>
        <v/>
      </c>
      <c r="F244">
        <f>IF('TRANSPORT DASHBOARD'!$B$4="Area",IF(243&lt;=$I$3,IF(OR('TRANSPORT DASHBOARD'!$C$4="",ISNUMBER(SEARCH('TRANSPORT DASHBOARD'!$C$4,INDEX(MASTER_AREAS!$B:$B,244)))),243,""),""),IF('TRANSPORT DASHBOARD'!$B$4="Zone",IF(243&lt;=$I$4,IF(OR('TRANSPORT DASHBOARD'!$C$4="",ISNUMBER(SEARCH('TRANSPORT DASHBOARD'!$C$4,INDEX(MASTER_ZONES!$B:$B,244)))),243,""),""),""))</f>
        <v/>
      </c>
      <c r="G244">
        <f>IFERROR(SMALL($F$2:$F$1365,243),"")</f>
        <v/>
      </c>
      <c r="H244">
        <f>IF(G244="","",IF('TRANSPORT DASHBOARD'!$B$4="Area",INDEX(MASTER_AREAS!$B:$B,G244+1),INDEX(MASTER_ZONES!$B:$B,G244+1)))</f>
        <v/>
      </c>
    </row>
    <row r="245">
      <c r="A245">
        <f>IF('WSF DASHBOARD'!$B$4="Area",IF(244&lt;=$D$3,IF(OR('WSF DASHBOARD'!$C$4="",ISNUMBER(SEARCH('WSF DASHBOARD'!$C$4,INDEX(MASTER_AREAS!$B:$B,245)))),244,""),""),IF('WSF DASHBOARD'!$B$4="Zone",IF(244&lt;=$D$4,IF(OR('WSF DASHBOARD'!$C$4="",ISNUMBER(SEARCH('WSF DASHBOARD'!$C$4,INDEX(MASTER_ZONES!$B:$B,245)))),244,""),""),""))</f>
        <v/>
      </c>
      <c r="B245">
        <f>IFERROR(SMALL($A$2:$A$1365,244),"")</f>
        <v/>
      </c>
      <c r="C245">
        <f>IF(B245="","",IF('WSF DASHBOARD'!$B$4="Area",INDEX(MASTER_AREAS!$B:$B,B245+1),INDEX(MASTER_ZONES!$B:$B,B245+1)))</f>
        <v/>
      </c>
      <c r="F245">
        <f>IF('TRANSPORT DASHBOARD'!$B$4="Area",IF(244&lt;=$I$3,IF(OR('TRANSPORT DASHBOARD'!$C$4="",ISNUMBER(SEARCH('TRANSPORT DASHBOARD'!$C$4,INDEX(MASTER_AREAS!$B:$B,245)))),244,""),""),IF('TRANSPORT DASHBOARD'!$B$4="Zone",IF(244&lt;=$I$4,IF(OR('TRANSPORT DASHBOARD'!$C$4="",ISNUMBER(SEARCH('TRANSPORT DASHBOARD'!$C$4,INDEX(MASTER_ZONES!$B:$B,245)))),244,""),""),""))</f>
        <v/>
      </c>
      <c r="G245">
        <f>IFERROR(SMALL($F$2:$F$1365,244),"")</f>
        <v/>
      </c>
      <c r="H245">
        <f>IF(G245="","",IF('TRANSPORT DASHBOARD'!$B$4="Area",INDEX(MASTER_AREAS!$B:$B,G245+1),INDEX(MASTER_ZONES!$B:$B,G245+1)))</f>
        <v/>
      </c>
    </row>
    <row r="246">
      <c r="A246">
        <f>IF('WSF DASHBOARD'!$B$4="Area",IF(245&lt;=$D$3,IF(OR('WSF DASHBOARD'!$C$4="",ISNUMBER(SEARCH('WSF DASHBOARD'!$C$4,INDEX(MASTER_AREAS!$B:$B,246)))),245,""),""),IF('WSF DASHBOARD'!$B$4="Zone",IF(245&lt;=$D$4,IF(OR('WSF DASHBOARD'!$C$4="",ISNUMBER(SEARCH('WSF DASHBOARD'!$C$4,INDEX(MASTER_ZONES!$B:$B,246)))),245,""),""),""))</f>
        <v/>
      </c>
      <c r="B246">
        <f>IFERROR(SMALL($A$2:$A$1365,245),"")</f>
        <v/>
      </c>
      <c r="C246">
        <f>IF(B246="","",IF('WSF DASHBOARD'!$B$4="Area",INDEX(MASTER_AREAS!$B:$B,B246+1),INDEX(MASTER_ZONES!$B:$B,B246+1)))</f>
        <v/>
      </c>
      <c r="F246">
        <f>IF('TRANSPORT DASHBOARD'!$B$4="Area",IF(245&lt;=$I$3,IF(OR('TRANSPORT DASHBOARD'!$C$4="",ISNUMBER(SEARCH('TRANSPORT DASHBOARD'!$C$4,INDEX(MASTER_AREAS!$B:$B,246)))),245,""),""),IF('TRANSPORT DASHBOARD'!$B$4="Zone",IF(245&lt;=$I$4,IF(OR('TRANSPORT DASHBOARD'!$C$4="",ISNUMBER(SEARCH('TRANSPORT DASHBOARD'!$C$4,INDEX(MASTER_ZONES!$B:$B,246)))),245,""),""),""))</f>
        <v/>
      </c>
      <c r="G246">
        <f>IFERROR(SMALL($F$2:$F$1365,245),"")</f>
        <v/>
      </c>
      <c r="H246">
        <f>IF(G246="","",IF('TRANSPORT DASHBOARD'!$B$4="Area",INDEX(MASTER_AREAS!$B:$B,G246+1),INDEX(MASTER_ZONES!$B:$B,G246+1)))</f>
        <v/>
      </c>
    </row>
    <row r="247">
      <c r="A247">
        <f>IF('WSF DASHBOARD'!$B$4="Area",IF(246&lt;=$D$3,IF(OR('WSF DASHBOARD'!$C$4="",ISNUMBER(SEARCH('WSF DASHBOARD'!$C$4,INDEX(MASTER_AREAS!$B:$B,247)))),246,""),""),IF('WSF DASHBOARD'!$B$4="Zone",IF(246&lt;=$D$4,IF(OR('WSF DASHBOARD'!$C$4="",ISNUMBER(SEARCH('WSF DASHBOARD'!$C$4,INDEX(MASTER_ZONES!$B:$B,247)))),246,""),""),""))</f>
        <v/>
      </c>
      <c r="B247">
        <f>IFERROR(SMALL($A$2:$A$1365,246),"")</f>
        <v/>
      </c>
      <c r="C247">
        <f>IF(B247="","",IF('WSF DASHBOARD'!$B$4="Area",INDEX(MASTER_AREAS!$B:$B,B247+1),INDEX(MASTER_ZONES!$B:$B,B247+1)))</f>
        <v/>
      </c>
      <c r="F247">
        <f>IF('TRANSPORT DASHBOARD'!$B$4="Area",IF(246&lt;=$I$3,IF(OR('TRANSPORT DASHBOARD'!$C$4="",ISNUMBER(SEARCH('TRANSPORT DASHBOARD'!$C$4,INDEX(MASTER_AREAS!$B:$B,247)))),246,""),""),IF('TRANSPORT DASHBOARD'!$B$4="Zone",IF(246&lt;=$I$4,IF(OR('TRANSPORT DASHBOARD'!$C$4="",ISNUMBER(SEARCH('TRANSPORT DASHBOARD'!$C$4,INDEX(MASTER_ZONES!$B:$B,247)))),246,""),""),""))</f>
        <v/>
      </c>
      <c r="G247">
        <f>IFERROR(SMALL($F$2:$F$1365,246),"")</f>
        <v/>
      </c>
      <c r="H247">
        <f>IF(G247="","",IF('TRANSPORT DASHBOARD'!$B$4="Area",INDEX(MASTER_AREAS!$B:$B,G247+1),INDEX(MASTER_ZONES!$B:$B,G247+1)))</f>
        <v/>
      </c>
    </row>
    <row r="248">
      <c r="A248">
        <f>IF('WSF DASHBOARD'!$B$4="Area",IF(247&lt;=$D$3,IF(OR('WSF DASHBOARD'!$C$4="",ISNUMBER(SEARCH('WSF DASHBOARD'!$C$4,INDEX(MASTER_AREAS!$B:$B,248)))),247,""),""),IF('WSF DASHBOARD'!$B$4="Zone",IF(247&lt;=$D$4,IF(OR('WSF DASHBOARD'!$C$4="",ISNUMBER(SEARCH('WSF DASHBOARD'!$C$4,INDEX(MASTER_ZONES!$B:$B,248)))),247,""),""),""))</f>
        <v/>
      </c>
      <c r="B248">
        <f>IFERROR(SMALL($A$2:$A$1365,247),"")</f>
        <v/>
      </c>
      <c r="C248">
        <f>IF(B248="","",IF('WSF DASHBOARD'!$B$4="Area",INDEX(MASTER_AREAS!$B:$B,B248+1),INDEX(MASTER_ZONES!$B:$B,B248+1)))</f>
        <v/>
      </c>
      <c r="F248">
        <f>IF('TRANSPORT DASHBOARD'!$B$4="Area",IF(247&lt;=$I$3,IF(OR('TRANSPORT DASHBOARD'!$C$4="",ISNUMBER(SEARCH('TRANSPORT DASHBOARD'!$C$4,INDEX(MASTER_AREAS!$B:$B,248)))),247,""),""),IF('TRANSPORT DASHBOARD'!$B$4="Zone",IF(247&lt;=$I$4,IF(OR('TRANSPORT DASHBOARD'!$C$4="",ISNUMBER(SEARCH('TRANSPORT DASHBOARD'!$C$4,INDEX(MASTER_ZONES!$B:$B,248)))),247,""),""),""))</f>
        <v/>
      </c>
      <c r="G248">
        <f>IFERROR(SMALL($F$2:$F$1365,247),"")</f>
        <v/>
      </c>
      <c r="H248">
        <f>IF(G248="","",IF('TRANSPORT DASHBOARD'!$B$4="Area",INDEX(MASTER_AREAS!$B:$B,G248+1),INDEX(MASTER_ZONES!$B:$B,G248+1)))</f>
        <v/>
      </c>
    </row>
    <row r="249">
      <c r="A249">
        <f>IF('WSF DASHBOARD'!$B$4="Area",IF(248&lt;=$D$3,IF(OR('WSF DASHBOARD'!$C$4="",ISNUMBER(SEARCH('WSF DASHBOARD'!$C$4,INDEX(MASTER_AREAS!$B:$B,249)))),248,""),""),IF('WSF DASHBOARD'!$B$4="Zone",IF(248&lt;=$D$4,IF(OR('WSF DASHBOARD'!$C$4="",ISNUMBER(SEARCH('WSF DASHBOARD'!$C$4,INDEX(MASTER_ZONES!$B:$B,249)))),248,""),""),""))</f>
        <v/>
      </c>
      <c r="B249">
        <f>IFERROR(SMALL($A$2:$A$1365,248),"")</f>
        <v/>
      </c>
      <c r="C249">
        <f>IF(B249="","",IF('WSF DASHBOARD'!$B$4="Area",INDEX(MASTER_AREAS!$B:$B,B249+1),INDEX(MASTER_ZONES!$B:$B,B249+1)))</f>
        <v/>
      </c>
      <c r="F249">
        <f>IF('TRANSPORT DASHBOARD'!$B$4="Area",IF(248&lt;=$I$3,IF(OR('TRANSPORT DASHBOARD'!$C$4="",ISNUMBER(SEARCH('TRANSPORT DASHBOARD'!$C$4,INDEX(MASTER_AREAS!$B:$B,249)))),248,""),""),IF('TRANSPORT DASHBOARD'!$B$4="Zone",IF(248&lt;=$I$4,IF(OR('TRANSPORT DASHBOARD'!$C$4="",ISNUMBER(SEARCH('TRANSPORT DASHBOARD'!$C$4,INDEX(MASTER_ZONES!$B:$B,249)))),248,""),""),""))</f>
        <v/>
      </c>
      <c r="G249">
        <f>IFERROR(SMALL($F$2:$F$1365,248),"")</f>
        <v/>
      </c>
      <c r="H249">
        <f>IF(G249="","",IF('TRANSPORT DASHBOARD'!$B$4="Area",INDEX(MASTER_AREAS!$B:$B,G249+1),INDEX(MASTER_ZONES!$B:$B,G249+1)))</f>
        <v/>
      </c>
    </row>
    <row r="250">
      <c r="A250">
        <f>IF('WSF DASHBOARD'!$B$4="Area",IF(249&lt;=$D$3,IF(OR('WSF DASHBOARD'!$C$4="",ISNUMBER(SEARCH('WSF DASHBOARD'!$C$4,INDEX(MASTER_AREAS!$B:$B,250)))),249,""),""),IF('WSF DASHBOARD'!$B$4="Zone",IF(249&lt;=$D$4,IF(OR('WSF DASHBOARD'!$C$4="",ISNUMBER(SEARCH('WSF DASHBOARD'!$C$4,INDEX(MASTER_ZONES!$B:$B,250)))),249,""),""),""))</f>
        <v/>
      </c>
      <c r="B250">
        <f>IFERROR(SMALL($A$2:$A$1365,249),"")</f>
        <v/>
      </c>
      <c r="C250">
        <f>IF(B250="","",IF('WSF DASHBOARD'!$B$4="Area",INDEX(MASTER_AREAS!$B:$B,B250+1),INDEX(MASTER_ZONES!$B:$B,B250+1)))</f>
        <v/>
      </c>
      <c r="F250">
        <f>IF('TRANSPORT DASHBOARD'!$B$4="Area",IF(249&lt;=$I$3,IF(OR('TRANSPORT DASHBOARD'!$C$4="",ISNUMBER(SEARCH('TRANSPORT DASHBOARD'!$C$4,INDEX(MASTER_AREAS!$B:$B,250)))),249,""),""),IF('TRANSPORT DASHBOARD'!$B$4="Zone",IF(249&lt;=$I$4,IF(OR('TRANSPORT DASHBOARD'!$C$4="",ISNUMBER(SEARCH('TRANSPORT DASHBOARD'!$C$4,INDEX(MASTER_ZONES!$B:$B,250)))),249,""),""),""))</f>
        <v/>
      </c>
      <c r="G250">
        <f>IFERROR(SMALL($F$2:$F$1365,249),"")</f>
        <v/>
      </c>
      <c r="H250">
        <f>IF(G250="","",IF('TRANSPORT DASHBOARD'!$B$4="Area",INDEX(MASTER_AREAS!$B:$B,G250+1),INDEX(MASTER_ZONES!$B:$B,G250+1)))</f>
        <v/>
      </c>
    </row>
    <row r="251">
      <c r="A251">
        <f>IF('WSF DASHBOARD'!$B$4="Area",IF(250&lt;=$D$3,IF(OR('WSF DASHBOARD'!$C$4="",ISNUMBER(SEARCH('WSF DASHBOARD'!$C$4,INDEX(MASTER_AREAS!$B:$B,251)))),250,""),""),IF('WSF DASHBOARD'!$B$4="Zone",IF(250&lt;=$D$4,IF(OR('WSF DASHBOARD'!$C$4="",ISNUMBER(SEARCH('WSF DASHBOARD'!$C$4,INDEX(MASTER_ZONES!$B:$B,251)))),250,""),""),""))</f>
        <v/>
      </c>
      <c r="B251">
        <f>IFERROR(SMALL($A$2:$A$1365,250),"")</f>
        <v/>
      </c>
      <c r="C251">
        <f>IF(B251="","",IF('WSF DASHBOARD'!$B$4="Area",INDEX(MASTER_AREAS!$B:$B,B251+1),INDEX(MASTER_ZONES!$B:$B,B251+1)))</f>
        <v/>
      </c>
      <c r="F251">
        <f>IF('TRANSPORT DASHBOARD'!$B$4="Area",IF(250&lt;=$I$3,IF(OR('TRANSPORT DASHBOARD'!$C$4="",ISNUMBER(SEARCH('TRANSPORT DASHBOARD'!$C$4,INDEX(MASTER_AREAS!$B:$B,251)))),250,""),""),IF('TRANSPORT DASHBOARD'!$B$4="Zone",IF(250&lt;=$I$4,IF(OR('TRANSPORT DASHBOARD'!$C$4="",ISNUMBER(SEARCH('TRANSPORT DASHBOARD'!$C$4,INDEX(MASTER_ZONES!$B:$B,251)))),250,""),""),""))</f>
        <v/>
      </c>
      <c r="G251">
        <f>IFERROR(SMALL($F$2:$F$1365,250),"")</f>
        <v/>
      </c>
      <c r="H251">
        <f>IF(G251="","",IF('TRANSPORT DASHBOARD'!$B$4="Area",INDEX(MASTER_AREAS!$B:$B,G251+1),INDEX(MASTER_ZONES!$B:$B,G251+1)))</f>
        <v/>
      </c>
    </row>
    <row r="252">
      <c r="A252">
        <f>IF('WSF DASHBOARD'!$B$4="Area",IF(251&lt;=$D$3,IF(OR('WSF DASHBOARD'!$C$4="",ISNUMBER(SEARCH('WSF DASHBOARD'!$C$4,INDEX(MASTER_AREAS!$B:$B,252)))),251,""),""),IF('WSF DASHBOARD'!$B$4="Zone",IF(251&lt;=$D$4,IF(OR('WSF DASHBOARD'!$C$4="",ISNUMBER(SEARCH('WSF DASHBOARD'!$C$4,INDEX(MASTER_ZONES!$B:$B,252)))),251,""),""),""))</f>
        <v/>
      </c>
      <c r="F252">
        <f>IF('TRANSPORT DASHBOARD'!$B$4="Area",IF(251&lt;=$I$3,IF(OR('TRANSPORT DASHBOARD'!$C$4="",ISNUMBER(SEARCH('TRANSPORT DASHBOARD'!$C$4,INDEX(MASTER_AREAS!$B:$B,252)))),251,""),""),IF('TRANSPORT DASHBOARD'!$B$4="Zone",IF(251&lt;=$I$4,IF(OR('TRANSPORT DASHBOARD'!$C$4="",ISNUMBER(SEARCH('TRANSPORT DASHBOARD'!$C$4,INDEX(MASTER_ZONES!$B:$B,252)))),251,""),""),""))</f>
        <v/>
      </c>
    </row>
    <row r="253">
      <c r="A253">
        <f>IF('WSF DASHBOARD'!$B$4="Area",IF(252&lt;=$D$3,IF(OR('WSF DASHBOARD'!$C$4="",ISNUMBER(SEARCH('WSF DASHBOARD'!$C$4,INDEX(MASTER_AREAS!$B:$B,253)))),252,""),""),IF('WSF DASHBOARD'!$B$4="Zone",IF(252&lt;=$D$4,IF(OR('WSF DASHBOARD'!$C$4="",ISNUMBER(SEARCH('WSF DASHBOARD'!$C$4,INDEX(MASTER_ZONES!$B:$B,253)))),252,""),""),""))</f>
        <v/>
      </c>
      <c r="F253">
        <f>IF('TRANSPORT DASHBOARD'!$B$4="Area",IF(252&lt;=$I$3,IF(OR('TRANSPORT DASHBOARD'!$C$4="",ISNUMBER(SEARCH('TRANSPORT DASHBOARD'!$C$4,INDEX(MASTER_AREAS!$B:$B,253)))),252,""),""),IF('TRANSPORT DASHBOARD'!$B$4="Zone",IF(252&lt;=$I$4,IF(OR('TRANSPORT DASHBOARD'!$C$4="",ISNUMBER(SEARCH('TRANSPORT DASHBOARD'!$C$4,INDEX(MASTER_ZONES!$B:$B,253)))),252,""),""),""))</f>
        <v/>
      </c>
    </row>
    <row r="254">
      <c r="A254">
        <f>IF('WSF DASHBOARD'!$B$4="Area",IF(253&lt;=$D$3,IF(OR('WSF DASHBOARD'!$C$4="",ISNUMBER(SEARCH('WSF DASHBOARD'!$C$4,INDEX(MASTER_AREAS!$B:$B,254)))),253,""),""),IF('WSF DASHBOARD'!$B$4="Zone",IF(253&lt;=$D$4,IF(OR('WSF DASHBOARD'!$C$4="",ISNUMBER(SEARCH('WSF DASHBOARD'!$C$4,INDEX(MASTER_ZONES!$B:$B,254)))),253,""),""),""))</f>
        <v/>
      </c>
      <c r="F254">
        <f>IF('TRANSPORT DASHBOARD'!$B$4="Area",IF(253&lt;=$I$3,IF(OR('TRANSPORT DASHBOARD'!$C$4="",ISNUMBER(SEARCH('TRANSPORT DASHBOARD'!$C$4,INDEX(MASTER_AREAS!$B:$B,254)))),253,""),""),IF('TRANSPORT DASHBOARD'!$B$4="Zone",IF(253&lt;=$I$4,IF(OR('TRANSPORT DASHBOARD'!$C$4="",ISNUMBER(SEARCH('TRANSPORT DASHBOARD'!$C$4,INDEX(MASTER_ZONES!$B:$B,254)))),253,""),""),""))</f>
        <v/>
      </c>
    </row>
    <row r="255">
      <c r="A255">
        <f>IF('WSF DASHBOARD'!$B$4="Area",IF(254&lt;=$D$3,IF(OR('WSF DASHBOARD'!$C$4="",ISNUMBER(SEARCH('WSF DASHBOARD'!$C$4,INDEX(MASTER_AREAS!$B:$B,255)))),254,""),""),IF('WSF DASHBOARD'!$B$4="Zone",IF(254&lt;=$D$4,IF(OR('WSF DASHBOARD'!$C$4="",ISNUMBER(SEARCH('WSF DASHBOARD'!$C$4,INDEX(MASTER_ZONES!$B:$B,255)))),254,""),""),""))</f>
        <v/>
      </c>
      <c r="F255">
        <f>IF('TRANSPORT DASHBOARD'!$B$4="Area",IF(254&lt;=$I$3,IF(OR('TRANSPORT DASHBOARD'!$C$4="",ISNUMBER(SEARCH('TRANSPORT DASHBOARD'!$C$4,INDEX(MASTER_AREAS!$B:$B,255)))),254,""),""),IF('TRANSPORT DASHBOARD'!$B$4="Zone",IF(254&lt;=$I$4,IF(OR('TRANSPORT DASHBOARD'!$C$4="",ISNUMBER(SEARCH('TRANSPORT DASHBOARD'!$C$4,INDEX(MASTER_ZONES!$B:$B,255)))),254,""),""),""))</f>
        <v/>
      </c>
    </row>
    <row r="256">
      <c r="A256">
        <f>IF('WSF DASHBOARD'!$B$4="Area",IF(255&lt;=$D$3,IF(OR('WSF DASHBOARD'!$C$4="",ISNUMBER(SEARCH('WSF DASHBOARD'!$C$4,INDEX(MASTER_AREAS!$B:$B,256)))),255,""),""),IF('WSF DASHBOARD'!$B$4="Zone",IF(255&lt;=$D$4,IF(OR('WSF DASHBOARD'!$C$4="",ISNUMBER(SEARCH('WSF DASHBOARD'!$C$4,INDEX(MASTER_ZONES!$B:$B,256)))),255,""),""),""))</f>
        <v/>
      </c>
      <c r="F256">
        <f>IF('TRANSPORT DASHBOARD'!$B$4="Area",IF(255&lt;=$I$3,IF(OR('TRANSPORT DASHBOARD'!$C$4="",ISNUMBER(SEARCH('TRANSPORT DASHBOARD'!$C$4,INDEX(MASTER_AREAS!$B:$B,256)))),255,""),""),IF('TRANSPORT DASHBOARD'!$B$4="Zone",IF(255&lt;=$I$4,IF(OR('TRANSPORT DASHBOARD'!$C$4="",ISNUMBER(SEARCH('TRANSPORT DASHBOARD'!$C$4,INDEX(MASTER_ZONES!$B:$B,256)))),255,""),""),""))</f>
        <v/>
      </c>
    </row>
    <row r="257">
      <c r="A257">
        <f>IF('WSF DASHBOARD'!$B$4="Area",IF(256&lt;=$D$3,IF(OR('WSF DASHBOARD'!$C$4="",ISNUMBER(SEARCH('WSF DASHBOARD'!$C$4,INDEX(MASTER_AREAS!$B:$B,257)))),256,""),""),IF('WSF DASHBOARD'!$B$4="Zone",IF(256&lt;=$D$4,IF(OR('WSF DASHBOARD'!$C$4="",ISNUMBER(SEARCH('WSF DASHBOARD'!$C$4,INDEX(MASTER_ZONES!$B:$B,257)))),256,""),""),""))</f>
        <v/>
      </c>
      <c r="F257">
        <f>IF('TRANSPORT DASHBOARD'!$B$4="Area",IF(256&lt;=$I$3,IF(OR('TRANSPORT DASHBOARD'!$C$4="",ISNUMBER(SEARCH('TRANSPORT DASHBOARD'!$C$4,INDEX(MASTER_AREAS!$B:$B,257)))),256,""),""),IF('TRANSPORT DASHBOARD'!$B$4="Zone",IF(256&lt;=$I$4,IF(OR('TRANSPORT DASHBOARD'!$C$4="",ISNUMBER(SEARCH('TRANSPORT DASHBOARD'!$C$4,INDEX(MASTER_ZONES!$B:$B,257)))),256,""),""),""))</f>
        <v/>
      </c>
    </row>
    <row r="258">
      <c r="A258">
        <f>IF('WSF DASHBOARD'!$B$4="Area",IF(257&lt;=$D$3,IF(OR('WSF DASHBOARD'!$C$4="",ISNUMBER(SEARCH('WSF DASHBOARD'!$C$4,INDEX(MASTER_AREAS!$B:$B,258)))),257,""),""),IF('WSF DASHBOARD'!$B$4="Zone",IF(257&lt;=$D$4,IF(OR('WSF DASHBOARD'!$C$4="",ISNUMBER(SEARCH('WSF DASHBOARD'!$C$4,INDEX(MASTER_ZONES!$B:$B,258)))),257,""),""),""))</f>
        <v/>
      </c>
      <c r="F258">
        <f>IF('TRANSPORT DASHBOARD'!$B$4="Area",IF(257&lt;=$I$3,IF(OR('TRANSPORT DASHBOARD'!$C$4="",ISNUMBER(SEARCH('TRANSPORT DASHBOARD'!$C$4,INDEX(MASTER_AREAS!$B:$B,258)))),257,""),""),IF('TRANSPORT DASHBOARD'!$B$4="Zone",IF(257&lt;=$I$4,IF(OR('TRANSPORT DASHBOARD'!$C$4="",ISNUMBER(SEARCH('TRANSPORT DASHBOARD'!$C$4,INDEX(MASTER_ZONES!$B:$B,258)))),257,""),""),""))</f>
        <v/>
      </c>
    </row>
    <row r="259">
      <c r="A259">
        <f>IF('WSF DASHBOARD'!$B$4="Area",IF(258&lt;=$D$3,IF(OR('WSF DASHBOARD'!$C$4="",ISNUMBER(SEARCH('WSF DASHBOARD'!$C$4,INDEX(MASTER_AREAS!$B:$B,259)))),258,""),""),IF('WSF DASHBOARD'!$B$4="Zone",IF(258&lt;=$D$4,IF(OR('WSF DASHBOARD'!$C$4="",ISNUMBER(SEARCH('WSF DASHBOARD'!$C$4,INDEX(MASTER_ZONES!$B:$B,259)))),258,""),""),""))</f>
        <v/>
      </c>
      <c r="F259">
        <f>IF('TRANSPORT DASHBOARD'!$B$4="Area",IF(258&lt;=$I$3,IF(OR('TRANSPORT DASHBOARD'!$C$4="",ISNUMBER(SEARCH('TRANSPORT DASHBOARD'!$C$4,INDEX(MASTER_AREAS!$B:$B,259)))),258,""),""),IF('TRANSPORT DASHBOARD'!$B$4="Zone",IF(258&lt;=$I$4,IF(OR('TRANSPORT DASHBOARD'!$C$4="",ISNUMBER(SEARCH('TRANSPORT DASHBOARD'!$C$4,INDEX(MASTER_ZONES!$B:$B,259)))),258,""),""),""))</f>
        <v/>
      </c>
    </row>
    <row r="260">
      <c r="A260">
        <f>IF('WSF DASHBOARD'!$B$4="Area",IF(259&lt;=$D$3,IF(OR('WSF DASHBOARD'!$C$4="",ISNUMBER(SEARCH('WSF DASHBOARD'!$C$4,INDEX(MASTER_AREAS!$B:$B,260)))),259,""),""),IF('WSF DASHBOARD'!$B$4="Zone",IF(259&lt;=$D$4,IF(OR('WSF DASHBOARD'!$C$4="",ISNUMBER(SEARCH('WSF DASHBOARD'!$C$4,INDEX(MASTER_ZONES!$B:$B,260)))),259,""),""),""))</f>
        <v/>
      </c>
      <c r="F260">
        <f>IF('TRANSPORT DASHBOARD'!$B$4="Area",IF(259&lt;=$I$3,IF(OR('TRANSPORT DASHBOARD'!$C$4="",ISNUMBER(SEARCH('TRANSPORT DASHBOARD'!$C$4,INDEX(MASTER_AREAS!$B:$B,260)))),259,""),""),IF('TRANSPORT DASHBOARD'!$B$4="Zone",IF(259&lt;=$I$4,IF(OR('TRANSPORT DASHBOARD'!$C$4="",ISNUMBER(SEARCH('TRANSPORT DASHBOARD'!$C$4,INDEX(MASTER_ZONES!$B:$B,260)))),259,""),""),""))</f>
        <v/>
      </c>
    </row>
    <row r="261">
      <c r="A261">
        <f>IF('WSF DASHBOARD'!$B$4="Area",IF(260&lt;=$D$3,IF(OR('WSF DASHBOARD'!$C$4="",ISNUMBER(SEARCH('WSF DASHBOARD'!$C$4,INDEX(MASTER_AREAS!$B:$B,261)))),260,""),""),IF('WSF DASHBOARD'!$B$4="Zone",IF(260&lt;=$D$4,IF(OR('WSF DASHBOARD'!$C$4="",ISNUMBER(SEARCH('WSF DASHBOARD'!$C$4,INDEX(MASTER_ZONES!$B:$B,261)))),260,""),""),""))</f>
        <v/>
      </c>
      <c r="F261">
        <f>IF('TRANSPORT DASHBOARD'!$B$4="Area",IF(260&lt;=$I$3,IF(OR('TRANSPORT DASHBOARD'!$C$4="",ISNUMBER(SEARCH('TRANSPORT DASHBOARD'!$C$4,INDEX(MASTER_AREAS!$B:$B,261)))),260,""),""),IF('TRANSPORT DASHBOARD'!$B$4="Zone",IF(260&lt;=$I$4,IF(OR('TRANSPORT DASHBOARD'!$C$4="",ISNUMBER(SEARCH('TRANSPORT DASHBOARD'!$C$4,INDEX(MASTER_ZONES!$B:$B,261)))),260,""),""),""))</f>
        <v/>
      </c>
    </row>
    <row r="262">
      <c r="A262">
        <f>IF('WSF DASHBOARD'!$B$4="Area",IF(261&lt;=$D$3,IF(OR('WSF DASHBOARD'!$C$4="",ISNUMBER(SEARCH('WSF DASHBOARD'!$C$4,INDEX(MASTER_AREAS!$B:$B,262)))),261,""),""),IF('WSF DASHBOARD'!$B$4="Zone",IF(261&lt;=$D$4,IF(OR('WSF DASHBOARD'!$C$4="",ISNUMBER(SEARCH('WSF DASHBOARD'!$C$4,INDEX(MASTER_ZONES!$B:$B,262)))),261,""),""),""))</f>
        <v/>
      </c>
      <c r="F262">
        <f>IF('TRANSPORT DASHBOARD'!$B$4="Area",IF(261&lt;=$I$3,IF(OR('TRANSPORT DASHBOARD'!$C$4="",ISNUMBER(SEARCH('TRANSPORT DASHBOARD'!$C$4,INDEX(MASTER_AREAS!$B:$B,262)))),261,""),""),IF('TRANSPORT DASHBOARD'!$B$4="Zone",IF(261&lt;=$I$4,IF(OR('TRANSPORT DASHBOARD'!$C$4="",ISNUMBER(SEARCH('TRANSPORT DASHBOARD'!$C$4,INDEX(MASTER_ZONES!$B:$B,262)))),261,""),""),""))</f>
        <v/>
      </c>
    </row>
    <row r="263">
      <c r="A263">
        <f>IF('WSF DASHBOARD'!$B$4="Area",IF(262&lt;=$D$3,IF(OR('WSF DASHBOARD'!$C$4="",ISNUMBER(SEARCH('WSF DASHBOARD'!$C$4,INDEX(MASTER_AREAS!$B:$B,263)))),262,""),""),IF('WSF DASHBOARD'!$B$4="Zone",IF(262&lt;=$D$4,IF(OR('WSF DASHBOARD'!$C$4="",ISNUMBER(SEARCH('WSF DASHBOARD'!$C$4,INDEX(MASTER_ZONES!$B:$B,263)))),262,""),""),""))</f>
        <v/>
      </c>
      <c r="F263">
        <f>IF('TRANSPORT DASHBOARD'!$B$4="Area",IF(262&lt;=$I$3,IF(OR('TRANSPORT DASHBOARD'!$C$4="",ISNUMBER(SEARCH('TRANSPORT DASHBOARD'!$C$4,INDEX(MASTER_AREAS!$B:$B,263)))),262,""),""),IF('TRANSPORT DASHBOARD'!$B$4="Zone",IF(262&lt;=$I$4,IF(OR('TRANSPORT DASHBOARD'!$C$4="",ISNUMBER(SEARCH('TRANSPORT DASHBOARD'!$C$4,INDEX(MASTER_ZONES!$B:$B,263)))),262,""),""),""))</f>
        <v/>
      </c>
    </row>
    <row r="264">
      <c r="A264">
        <f>IF('WSF DASHBOARD'!$B$4="Area",IF(263&lt;=$D$3,IF(OR('WSF DASHBOARD'!$C$4="",ISNUMBER(SEARCH('WSF DASHBOARD'!$C$4,INDEX(MASTER_AREAS!$B:$B,264)))),263,""),""),IF('WSF DASHBOARD'!$B$4="Zone",IF(263&lt;=$D$4,IF(OR('WSF DASHBOARD'!$C$4="",ISNUMBER(SEARCH('WSF DASHBOARD'!$C$4,INDEX(MASTER_ZONES!$B:$B,264)))),263,""),""),""))</f>
        <v/>
      </c>
      <c r="F264">
        <f>IF('TRANSPORT DASHBOARD'!$B$4="Area",IF(263&lt;=$I$3,IF(OR('TRANSPORT DASHBOARD'!$C$4="",ISNUMBER(SEARCH('TRANSPORT DASHBOARD'!$C$4,INDEX(MASTER_AREAS!$B:$B,264)))),263,""),""),IF('TRANSPORT DASHBOARD'!$B$4="Zone",IF(263&lt;=$I$4,IF(OR('TRANSPORT DASHBOARD'!$C$4="",ISNUMBER(SEARCH('TRANSPORT DASHBOARD'!$C$4,INDEX(MASTER_ZONES!$B:$B,264)))),263,""),""),""))</f>
        <v/>
      </c>
    </row>
    <row r="265">
      <c r="A265">
        <f>IF('WSF DASHBOARD'!$B$4="Area",IF(264&lt;=$D$3,IF(OR('WSF DASHBOARD'!$C$4="",ISNUMBER(SEARCH('WSF DASHBOARD'!$C$4,INDEX(MASTER_AREAS!$B:$B,265)))),264,""),""),IF('WSF DASHBOARD'!$B$4="Zone",IF(264&lt;=$D$4,IF(OR('WSF DASHBOARD'!$C$4="",ISNUMBER(SEARCH('WSF DASHBOARD'!$C$4,INDEX(MASTER_ZONES!$B:$B,265)))),264,""),""),""))</f>
        <v/>
      </c>
      <c r="F265">
        <f>IF('TRANSPORT DASHBOARD'!$B$4="Area",IF(264&lt;=$I$3,IF(OR('TRANSPORT DASHBOARD'!$C$4="",ISNUMBER(SEARCH('TRANSPORT DASHBOARD'!$C$4,INDEX(MASTER_AREAS!$B:$B,265)))),264,""),""),IF('TRANSPORT DASHBOARD'!$B$4="Zone",IF(264&lt;=$I$4,IF(OR('TRANSPORT DASHBOARD'!$C$4="",ISNUMBER(SEARCH('TRANSPORT DASHBOARD'!$C$4,INDEX(MASTER_ZONES!$B:$B,265)))),264,""),""),""))</f>
        <v/>
      </c>
    </row>
    <row r="266">
      <c r="A266">
        <f>IF('WSF DASHBOARD'!$B$4="Area",IF(265&lt;=$D$3,IF(OR('WSF DASHBOARD'!$C$4="",ISNUMBER(SEARCH('WSF DASHBOARD'!$C$4,INDEX(MASTER_AREAS!$B:$B,266)))),265,""),""),IF('WSF DASHBOARD'!$B$4="Zone",IF(265&lt;=$D$4,IF(OR('WSF DASHBOARD'!$C$4="",ISNUMBER(SEARCH('WSF DASHBOARD'!$C$4,INDEX(MASTER_ZONES!$B:$B,266)))),265,""),""),""))</f>
        <v/>
      </c>
      <c r="F266">
        <f>IF('TRANSPORT DASHBOARD'!$B$4="Area",IF(265&lt;=$I$3,IF(OR('TRANSPORT DASHBOARD'!$C$4="",ISNUMBER(SEARCH('TRANSPORT DASHBOARD'!$C$4,INDEX(MASTER_AREAS!$B:$B,266)))),265,""),""),IF('TRANSPORT DASHBOARD'!$B$4="Zone",IF(265&lt;=$I$4,IF(OR('TRANSPORT DASHBOARD'!$C$4="",ISNUMBER(SEARCH('TRANSPORT DASHBOARD'!$C$4,INDEX(MASTER_ZONES!$B:$B,266)))),265,""),""),""))</f>
        <v/>
      </c>
    </row>
    <row r="267">
      <c r="A267">
        <f>IF('WSF DASHBOARD'!$B$4="Area",IF(266&lt;=$D$3,IF(OR('WSF DASHBOARD'!$C$4="",ISNUMBER(SEARCH('WSF DASHBOARD'!$C$4,INDEX(MASTER_AREAS!$B:$B,267)))),266,""),""),IF('WSF DASHBOARD'!$B$4="Zone",IF(266&lt;=$D$4,IF(OR('WSF DASHBOARD'!$C$4="",ISNUMBER(SEARCH('WSF DASHBOARD'!$C$4,INDEX(MASTER_ZONES!$B:$B,267)))),266,""),""),""))</f>
        <v/>
      </c>
      <c r="F267">
        <f>IF('TRANSPORT DASHBOARD'!$B$4="Area",IF(266&lt;=$I$3,IF(OR('TRANSPORT DASHBOARD'!$C$4="",ISNUMBER(SEARCH('TRANSPORT DASHBOARD'!$C$4,INDEX(MASTER_AREAS!$B:$B,267)))),266,""),""),IF('TRANSPORT DASHBOARD'!$B$4="Zone",IF(266&lt;=$I$4,IF(OR('TRANSPORT DASHBOARD'!$C$4="",ISNUMBER(SEARCH('TRANSPORT DASHBOARD'!$C$4,INDEX(MASTER_ZONES!$B:$B,267)))),266,""),""),""))</f>
        <v/>
      </c>
    </row>
    <row r="268">
      <c r="A268">
        <f>IF('WSF DASHBOARD'!$B$4="Area",IF(267&lt;=$D$3,IF(OR('WSF DASHBOARD'!$C$4="",ISNUMBER(SEARCH('WSF DASHBOARD'!$C$4,INDEX(MASTER_AREAS!$B:$B,268)))),267,""),""),IF('WSF DASHBOARD'!$B$4="Zone",IF(267&lt;=$D$4,IF(OR('WSF DASHBOARD'!$C$4="",ISNUMBER(SEARCH('WSF DASHBOARD'!$C$4,INDEX(MASTER_ZONES!$B:$B,268)))),267,""),""),""))</f>
        <v/>
      </c>
      <c r="F268">
        <f>IF('TRANSPORT DASHBOARD'!$B$4="Area",IF(267&lt;=$I$3,IF(OR('TRANSPORT DASHBOARD'!$C$4="",ISNUMBER(SEARCH('TRANSPORT DASHBOARD'!$C$4,INDEX(MASTER_AREAS!$B:$B,268)))),267,""),""),IF('TRANSPORT DASHBOARD'!$B$4="Zone",IF(267&lt;=$I$4,IF(OR('TRANSPORT DASHBOARD'!$C$4="",ISNUMBER(SEARCH('TRANSPORT DASHBOARD'!$C$4,INDEX(MASTER_ZONES!$B:$B,268)))),267,""),""),""))</f>
        <v/>
      </c>
    </row>
    <row r="269">
      <c r="A269">
        <f>IF('WSF DASHBOARD'!$B$4="Area",IF(268&lt;=$D$3,IF(OR('WSF DASHBOARD'!$C$4="",ISNUMBER(SEARCH('WSF DASHBOARD'!$C$4,INDEX(MASTER_AREAS!$B:$B,269)))),268,""),""),IF('WSF DASHBOARD'!$B$4="Zone",IF(268&lt;=$D$4,IF(OR('WSF DASHBOARD'!$C$4="",ISNUMBER(SEARCH('WSF DASHBOARD'!$C$4,INDEX(MASTER_ZONES!$B:$B,269)))),268,""),""),""))</f>
        <v/>
      </c>
      <c r="F269">
        <f>IF('TRANSPORT DASHBOARD'!$B$4="Area",IF(268&lt;=$I$3,IF(OR('TRANSPORT DASHBOARD'!$C$4="",ISNUMBER(SEARCH('TRANSPORT DASHBOARD'!$C$4,INDEX(MASTER_AREAS!$B:$B,269)))),268,""),""),IF('TRANSPORT DASHBOARD'!$B$4="Zone",IF(268&lt;=$I$4,IF(OR('TRANSPORT DASHBOARD'!$C$4="",ISNUMBER(SEARCH('TRANSPORT DASHBOARD'!$C$4,INDEX(MASTER_ZONES!$B:$B,269)))),268,""),""),""))</f>
        <v/>
      </c>
    </row>
    <row r="270">
      <c r="A270">
        <f>IF('WSF DASHBOARD'!$B$4="Area",IF(269&lt;=$D$3,IF(OR('WSF DASHBOARD'!$C$4="",ISNUMBER(SEARCH('WSF DASHBOARD'!$C$4,INDEX(MASTER_AREAS!$B:$B,270)))),269,""),""),IF('WSF DASHBOARD'!$B$4="Zone",IF(269&lt;=$D$4,IF(OR('WSF DASHBOARD'!$C$4="",ISNUMBER(SEARCH('WSF DASHBOARD'!$C$4,INDEX(MASTER_ZONES!$B:$B,270)))),269,""),""),""))</f>
        <v/>
      </c>
      <c r="F270">
        <f>IF('TRANSPORT DASHBOARD'!$B$4="Area",IF(269&lt;=$I$3,IF(OR('TRANSPORT DASHBOARD'!$C$4="",ISNUMBER(SEARCH('TRANSPORT DASHBOARD'!$C$4,INDEX(MASTER_AREAS!$B:$B,270)))),269,""),""),IF('TRANSPORT DASHBOARD'!$B$4="Zone",IF(269&lt;=$I$4,IF(OR('TRANSPORT DASHBOARD'!$C$4="",ISNUMBER(SEARCH('TRANSPORT DASHBOARD'!$C$4,INDEX(MASTER_ZONES!$B:$B,270)))),269,""),""),""))</f>
        <v/>
      </c>
    </row>
    <row r="271">
      <c r="A271">
        <f>IF('WSF DASHBOARD'!$B$4="Area",IF(270&lt;=$D$3,IF(OR('WSF DASHBOARD'!$C$4="",ISNUMBER(SEARCH('WSF DASHBOARD'!$C$4,INDEX(MASTER_AREAS!$B:$B,271)))),270,""),""),IF('WSF DASHBOARD'!$B$4="Zone",IF(270&lt;=$D$4,IF(OR('WSF DASHBOARD'!$C$4="",ISNUMBER(SEARCH('WSF DASHBOARD'!$C$4,INDEX(MASTER_ZONES!$B:$B,271)))),270,""),""),""))</f>
        <v/>
      </c>
      <c r="F271">
        <f>IF('TRANSPORT DASHBOARD'!$B$4="Area",IF(270&lt;=$I$3,IF(OR('TRANSPORT DASHBOARD'!$C$4="",ISNUMBER(SEARCH('TRANSPORT DASHBOARD'!$C$4,INDEX(MASTER_AREAS!$B:$B,271)))),270,""),""),IF('TRANSPORT DASHBOARD'!$B$4="Zone",IF(270&lt;=$I$4,IF(OR('TRANSPORT DASHBOARD'!$C$4="",ISNUMBER(SEARCH('TRANSPORT DASHBOARD'!$C$4,INDEX(MASTER_ZONES!$B:$B,271)))),270,""),""),""))</f>
        <v/>
      </c>
    </row>
    <row r="272">
      <c r="A272">
        <f>IF('WSF DASHBOARD'!$B$4="Area",IF(271&lt;=$D$3,IF(OR('WSF DASHBOARD'!$C$4="",ISNUMBER(SEARCH('WSF DASHBOARD'!$C$4,INDEX(MASTER_AREAS!$B:$B,272)))),271,""),""),IF('WSF DASHBOARD'!$B$4="Zone",IF(271&lt;=$D$4,IF(OR('WSF DASHBOARD'!$C$4="",ISNUMBER(SEARCH('WSF DASHBOARD'!$C$4,INDEX(MASTER_ZONES!$B:$B,272)))),271,""),""),""))</f>
        <v/>
      </c>
      <c r="F272">
        <f>IF('TRANSPORT DASHBOARD'!$B$4="Area",IF(271&lt;=$I$3,IF(OR('TRANSPORT DASHBOARD'!$C$4="",ISNUMBER(SEARCH('TRANSPORT DASHBOARD'!$C$4,INDEX(MASTER_AREAS!$B:$B,272)))),271,""),""),IF('TRANSPORT DASHBOARD'!$B$4="Zone",IF(271&lt;=$I$4,IF(OR('TRANSPORT DASHBOARD'!$C$4="",ISNUMBER(SEARCH('TRANSPORT DASHBOARD'!$C$4,INDEX(MASTER_ZONES!$B:$B,272)))),271,""),""),""))</f>
        <v/>
      </c>
    </row>
    <row r="273">
      <c r="A273">
        <f>IF('WSF DASHBOARD'!$B$4="Area",IF(272&lt;=$D$3,IF(OR('WSF DASHBOARD'!$C$4="",ISNUMBER(SEARCH('WSF DASHBOARD'!$C$4,INDEX(MASTER_AREAS!$B:$B,273)))),272,""),""),IF('WSF DASHBOARD'!$B$4="Zone",IF(272&lt;=$D$4,IF(OR('WSF DASHBOARD'!$C$4="",ISNUMBER(SEARCH('WSF DASHBOARD'!$C$4,INDEX(MASTER_ZONES!$B:$B,273)))),272,""),""),""))</f>
        <v/>
      </c>
      <c r="F273">
        <f>IF('TRANSPORT DASHBOARD'!$B$4="Area",IF(272&lt;=$I$3,IF(OR('TRANSPORT DASHBOARD'!$C$4="",ISNUMBER(SEARCH('TRANSPORT DASHBOARD'!$C$4,INDEX(MASTER_AREAS!$B:$B,273)))),272,""),""),IF('TRANSPORT DASHBOARD'!$B$4="Zone",IF(272&lt;=$I$4,IF(OR('TRANSPORT DASHBOARD'!$C$4="",ISNUMBER(SEARCH('TRANSPORT DASHBOARD'!$C$4,INDEX(MASTER_ZONES!$B:$B,273)))),272,""),""),""))</f>
        <v/>
      </c>
    </row>
    <row r="274">
      <c r="A274">
        <f>IF('WSF DASHBOARD'!$B$4="Area",IF(273&lt;=$D$3,IF(OR('WSF DASHBOARD'!$C$4="",ISNUMBER(SEARCH('WSF DASHBOARD'!$C$4,INDEX(MASTER_AREAS!$B:$B,274)))),273,""),""),IF('WSF DASHBOARD'!$B$4="Zone",IF(273&lt;=$D$4,IF(OR('WSF DASHBOARD'!$C$4="",ISNUMBER(SEARCH('WSF DASHBOARD'!$C$4,INDEX(MASTER_ZONES!$B:$B,274)))),273,""),""),""))</f>
        <v/>
      </c>
      <c r="F274">
        <f>IF('TRANSPORT DASHBOARD'!$B$4="Area",IF(273&lt;=$I$3,IF(OR('TRANSPORT DASHBOARD'!$C$4="",ISNUMBER(SEARCH('TRANSPORT DASHBOARD'!$C$4,INDEX(MASTER_AREAS!$B:$B,274)))),273,""),""),IF('TRANSPORT DASHBOARD'!$B$4="Zone",IF(273&lt;=$I$4,IF(OR('TRANSPORT DASHBOARD'!$C$4="",ISNUMBER(SEARCH('TRANSPORT DASHBOARD'!$C$4,INDEX(MASTER_ZONES!$B:$B,274)))),273,""),""),""))</f>
        <v/>
      </c>
    </row>
    <row r="275">
      <c r="A275">
        <f>IF('WSF DASHBOARD'!$B$4="Area",IF(274&lt;=$D$3,IF(OR('WSF DASHBOARD'!$C$4="",ISNUMBER(SEARCH('WSF DASHBOARD'!$C$4,INDEX(MASTER_AREAS!$B:$B,275)))),274,""),""),IF('WSF DASHBOARD'!$B$4="Zone",IF(274&lt;=$D$4,IF(OR('WSF DASHBOARD'!$C$4="",ISNUMBER(SEARCH('WSF DASHBOARD'!$C$4,INDEX(MASTER_ZONES!$B:$B,275)))),274,""),""),""))</f>
        <v/>
      </c>
      <c r="F275">
        <f>IF('TRANSPORT DASHBOARD'!$B$4="Area",IF(274&lt;=$I$3,IF(OR('TRANSPORT DASHBOARD'!$C$4="",ISNUMBER(SEARCH('TRANSPORT DASHBOARD'!$C$4,INDEX(MASTER_AREAS!$B:$B,275)))),274,""),""),IF('TRANSPORT DASHBOARD'!$B$4="Zone",IF(274&lt;=$I$4,IF(OR('TRANSPORT DASHBOARD'!$C$4="",ISNUMBER(SEARCH('TRANSPORT DASHBOARD'!$C$4,INDEX(MASTER_ZONES!$B:$B,275)))),274,""),""),""))</f>
        <v/>
      </c>
    </row>
    <row r="276">
      <c r="A276">
        <f>IF('WSF DASHBOARD'!$B$4="Area",IF(275&lt;=$D$3,IF(OR('WSF DASHBOARD'!$C$4="",ISNUMBER(SEARCH('WSF DASHBOARD'!$C$4,INDEX(MASTER_AREAS!$B:$B,276)))),275,""),""),IF('WSF DASHBOARD'!$B$4="Zone",IF(275&lt;=$D$4,IF(OR('WSF DASHBOARD'!$C$4="",ISNUMBER(SEARCH('WSF DASHBOARD'!$C$4,INDEX(MASTER_ZONES!$B:$B,276)))),275,""),""),""))</f>
        <v/>
      </c>
      <c r="F276">
        <f>IF('TRANSPORT DASHBOARD'!$B$4="Area",IF(275&lt;=$I$3,IF(OR('TRANSPORT DASHBOARD'!$C$4="",ISNUMBER(SEARCH('TRANSPORT DASHBOARD'!$C$4,INDEX(MASTER_AREAS!$B:$B,276)))),275,""),""),IF('TRANSPORT DASHBOARD'!$B$4="Zone",IF(275&lt;=$I$4,IF(OR('TRANSPORT DASHBOARD'!$C$4="",ISNUMBER(SEARCH('TRANSPORT DASHBOARD'!$C$4,INDEX(MASTER_ZONES!$B:$B,276)))),275,""),""),""))</f>
        <v/>
      </c>
    </row>
    <row r="277">
      <c r="A277">
        <f>IF('WSF DASHBOARD'!$B$4="Area",IF(276&lt;=$D$3,IF(OR('WSF DASHBOARD'!$C$4="",ISNUMBER(SEARCH('WSF DASHBOARD'!$C$4,INDEX(MASTER_AREAS!$B:$B,277)))),276,""),""),IF('WSF DASHBOARD'!$B$4="Zone",IF(276&lt;=$D$4,IF(OR('WSF DASHBOARD'!$C$4="",ISNUMBER(SEARCH('WSF DASHBOARD'!$C$4,INDEX(MASTER_ZONES!$B:$B,277)))),276,""),""),""))</f>
        <v/>
      </c>
      <c r="F277">
        <f>IF('TRANSPORT DASHBOARD'!$B$4="Area",IF(276&lt;=$I$3,IF(OR('TRANSPORT DASHBOARD'!$C$4="",ISNUMBER(SEARCH('TRANSPORT DASHBOARD'!$C$4,INDEX(MASTER_AREAS!$B:$B,277)))),276,""),""),IF('TRANSPORT DASHBOARD'!$B$4="Zone",IF(276&lt;=$I$4,IF(OR('TRANSPORT DASHBOARD'!$C$4="",ISNUMBER(SEARCH('TRANSPORT DASHBOARD'!$C$4,INDEX(MASTER_ZONES!$B:$B,277)))),276,""),""),""))</f>
        <v/>
      </c>
    </row>
    <row r="278">
      <c r="A278">
        <f>IF('WSF DASHBOARD'!$B$4="Area",IF(277&lt;=$D$3,IF(OR('WSF DASHBOARD'!$C$4="",ISNUMBER(SEARCH('WSF DASHBOARD'!$C$4,INDEX(MASTER_AREAS!$B:$B,278)))),277,""),""),IF('WSF DASHBOARD'!$B$4="Zone",IF(277&lt;=$D$4,IF(OR('WSF DASHBOARD'!$C$4="",ISNUMBER(SEARCH('WSF DASHBOARD'!$C$4,INDEX(MASTER_ZONES!$B:$B,278)))),277,""),""),""))</f>
        <v/>
      </c>
      <c r="F278">
        <f>IF('TRANSPORT DASHBOARD'!$B$4="Area",IF(277&lt;=$I$3,IF(OR('TRANSPORT DASHBOARD'!$C$4="",ISNUMBER(SEARCH('TRANSPORT DASHBOARD'!$C$4,INDEX(MASTER_AREAS!$B:$B,278)))),277,""),""),IF('TRANSPORT DASHBOARD'!$B$4="Zone",IF(277&lt;=$I$4,IF(OR('TRANSPORT DASHBOARD'!$C$4="",ISNUMBER(SEARCH('TRANSPORT DASHBOARD'!$C$4,INDEX(MASTER_ZONES!$B:$B,278)))),277,""),""),""))</f>
        <v/>
      </c>
    </row>
    <row r="279">
      <c r="A279">
        <f>IF('WSF DASHBOARD'!$B$4="Area",IF(278&lt;=$D$3,IF(OR('WSF DASHBOARD'!$C$4="",ISNUMBER(SEARCH('WSF DASHBOARD'!$C$4,INDEX(MASTER_AREAS!$B:$B,279)))),278,""),""),IF('WSF DASHBOARD'!$B$4="Zone",IF(278&lt;=$D$4,IF(OR('WSF DASHBOARD'!$C$4="",ISNUMBER(SEARCH('WSF DASHBOARD'!$C$4,INDEX(MASTER_ZONES!$B:$B,279)))),278,""),""),""))</f>
        <v/>
      </c>
      <c r="F279">
        <f>IF('TRANSPORT DASHBOARD'!$B$4="Area",IF(278&lt;=$I$3,IF(OR('TRANSPORT DASHBOARD'!$C$4="",ISNUMBER(SEARCH('TRANSPORT DASHBOARD'!$C$4,INDEX(MASTER_AREAS!$B:$B,279)))),278,""),""),IF('TRANSPORT DASHBOARD'!$B$4="Zone",IF(278&lt;=$I$4,IF(OR('TRANSPORT DASHBOARD'!$C$4="",ISNUMBER(SEARCH('TRANSPORT DASHBOARD'!$C$4,INDEX(MASTER_ZONES!$B:$B,279)))),278,""),""),""))</f>
        <v/>
      </c>
    </row>
    <row r="280">
      <c r="A280">
        <f>IF('WSF DASHBOARD'!$B$4="Area",IF(279&lt;=$D$3,IF(OR('WSF DASHBOARD'!$C$4="",ISNUMBER(SEARCH('WSF DASHBOARD'!$C$4,INDEX(MASTER_AREAS!$B:$B,280)))),279,""),""),IF('WSF DASHBOARD'!$B$4="Zone",IF(279&lt;=$D$4,IF(OR('WSF DASHBOARD'!$C$4="",ISNUMBER(SEARCH('WSF DASHBOARD'!$C$4,INDEX(MASTER_ZONES!$B:$B,280)))),279,""),""),""))</f>
        <v/>
      </c>
      <c r="F280">
        <f>IF('TRANSPORT DASHBOARD'!$B$4="Area",IF(279&lt;=$I$3,IF(OR('TRANSPORT DASHBOARD'!$C$4="",ISNUMBER(SEARCH('TRANSPORT DASHBOARD'!$C$4,INDEX(MASTER_AREAS!$B:$B,280)))),279,""),""),IF('TRANSPORT DASHBOARD'!$B$4="Zone",IF(279&lt;=$I$4,IF(OR('TRANSPORT DASHBOARD'!$C$4="",ISNUMBER(SEARCH('TRANSPORT DASHBOARD'!$C$4,INDEX(MASTER_ZONES!$B:$B,280)))),279,""),""),""))</f>
        <v/>
      </c>
    </row>
    <row r="281">
      <c r="A281">
        <f>IF('WSF DASHBOARD'!$B$4="Area",IF(280&lt;=$D$3,IF(OR('WSF DASHBOARD'!$C$4="",ISNUMBER(SEARCH('WSF DASHBOARD'!$C$4,INDEX(MASTER_AREAS!$B:$B,281)))),280,""),""),IF('WSF DASHBOARD'!$B$4="Zone",IF(280&lt;=$D$4,IF(OR('WSF DASHBOARD'!$C$4="",ISNUMBER(SEARCH('WSF DASHBOARD'!$C$4,INDEX(MASTER_ZONES!$B:$B,281)))),280,""),""),""))</f>
        <v/>
      </c>
      <c r="F281">
        <f>IF('TRANSPORT DASHBOARD'!$B$4="Area",IF(280&lt;=$I$3,IF(OR('TRANSPORT DASHBOARD'!$C$4="",ISNUMBER(SEARCH('TRANSPORT DASHBOARD'!$C$4,INDEX(MASTER_AREAS!$B:$B,281)))),280,""),""),IF('TRANSPORT DASHBOARD'!$B$4="Zone",IF(280&lt;=$I$4,IF(OR('TRANSPORT DASHBOARD'!$C$4="",ISNUMBER(SEARCH('TRANSPORT DASHBOARD'!$C$4,INDEX(MASTER_ZONES!$B:$B,281)))),280,""),""),""))</f>
        <v/>
      </c>
    </row>
    <row r="282">
      <c r="A282">
        <f>IF('WSF DASHBOARD'!$B$4="Area",IF(281&lt;=$D$3,IF(OR('WSF DASHBOARD'!$C$4="",ISNUMBER(SEARCH('WSF DASHBOARD'!$C$4,INDEX(MASTER_AREAS!$B:$B,282)))),281,""),""),IF('WSF DASHBOARD'!$B$4="Zone",IF(281&lt;=$D$4,IF(OR('WSF DASHBOARD'!$C$4="",ISNUMBER(SEARCH('WSF DASHBOARD'!$C$4,INDEX(MASTER_ZONES!$B:$B,282)))),281,""),""),""))</f>
        <v/>
      </c>
      <c r="F282">
        <f>IF('TRANSPORT DASHBOARD'!$B$4="Area",IF(281&lt;=$I$3,IF(OR('TRANSPORT DASHBOARD'!$C$4="",ISNUMBER(SEARCH('TRANSPORT DASHBOARD'!$C$4,INDEX(MASTER_AREAS!$B:$B,282)))),281,""),""),IF('TRANSPORT DASHBOARD'!$B$4="Zone",IF(281&lt;=$I$4,IF(OR('TRANSPORT DASHBOARD'!$C$4="",ISNUMBER(SEARCH('TRANSPORT DASHBOARD'!$C$4,INDEX(MASTER_ZONES!$B:$B,282)))),281,""),""),""))</f>
        <v/>
      </c>
    </row>
    <row r="283">
      <c r="A283">
        <f>IF('WSF DASHBOARD'!$B$4="Area",IF(282&lt;=$D$3,IF(OR('WSF DASHBOARD'!$C$4="",ISNUMBER(SEARCH('WSF DASHBOARD'!$C$4,INDEX(MASTER_AREAS!$B:$B,283)))),282,""),""),IF('WSF DASHBOARD'!$B$4="Zone",IF(282&lt;=$D$4,IF(OR('WSF DASHBOARD'!$C$4="",ISNUMBER(SEARCH('WSF DASHBOARD'!$C$4,INDEX(MASTER_ZONES!$B:$B,283)))),282,""),""),""))</f>
        <v/>
      </c>
      <c r="F283">
        <f>IF('TRANSPORT DASHBOARD'!$B$4="Area",IF(282&lt;=$I$3,IF(OR('TRANSPORT DASHBOARD'!$C$4="",ISNUMBER(SEARCH('TRANSPORT DASHBOARD'!$C$4,INDEX(MASTER_AREAS!$B:$B,283)))),282,""),""),IF('TRANSPORT DASHBOARD'!$B$4="Zone",IF(282&lt;=$I$4,IF(OR('TRANSPORT DASHBOARD'!$C$4="",ISNUMBER(SEARCH('TRANSPORT DASHBOARD'!$C$4,INDEX(MASTER_ZONES!$B:$B,283)))),282,""),""),""))</f>
        <v/>
      </c>
    </row>
    <row r="284">
      <c r="A284">
        <f>IF('WSF DASHBOARD'!$B$4="Area",IF(283&lt;=$D$3,IF(OR('WSF DASHBOARD'!$C$4="",ISNUMBER(SEARCH('WSF DASHBOARD'!$C$4,INDEX(MASTER_AREAS!$B:$B,284)))),283,""),""),IF('WSF DASHBOARD'!$B$4="Zone",IF(283&lt;=$D$4,IF(OR('WSF DASHBOARD'!$C$4="",ISNUMBER(SEARCH('WSF DASHBOARD'!$C$4,INDEX(MASTER_ZONES!$B:$B,284)))),283,""),""),""))</f>
        <v/>
      </c>
      <c r="F284">
        <f>IF('TRANSPORT DASHBOARD'!$B$4="Area",IF(283&lt;=$I$3,IF(OR('TRANSPORT DASHBOARD'!$C$4="",ISNUMBER(SEARCH('TRANSPORT DASHBOARD'!$C$4,INDEX(MASTER_AREAS!$B:$B,284)))),283,""),""),IF('TRANSPORT DASHBOARD'!$B$4="Zone",IF(283&lt;=$I$4,IF(OR('TRANSPORT DASHBOARD'!$C$4="",ISNUMBER(SEARCH('TRANSPORT DASHBOARD'!$C$4,INDEX(MASTER_ZONES!$B:$B,284)))),283,""),""),""))</f>
        <v/>
      </c>
    </row>
    <row r="285">
      <c r="A285">
        <f>IF('WSF DASHBOARD'!$B$4="Area",IF(284&lt;=$D$3,IF(OR('WSF DASHBOARD'!$C$4="",ISNUMBER(SEARCH('WSF DASHBOARD'!$C$4,INDEX(MASTER_AREAS!$B:$B,285)))),284,""),""),IF('WSF DASHBOARD'!$B$4="Zone",IF(284&lt;=$D$4,IF(OR('WSF DASHBOARD'!$C$4="",ISNUMBER(SEARCH('WSF DASHBOARD'!$C$4,INDEX(MASTER_ZONES!$B:$B,285)))),284,""),""),""))</f>
        <v/>
      </c>
      <c r="F285">
        <f>IF('TRANSPORT DASHBOARD'!$B$4="Area",IF(284&lt;=$I$3,IF(OR('TRANSPORT DASHBOARD'!$C$4="",ISNUMBER(SEARCH('TRANSPORT DASHBOARD'!$C$4,INDEX(MASTER_AREAS!$B:$B,285)))),284,""),""),IF('TRANSPORT DASHBOARD'!$B$4="Zone",IF(284&lt;=$I$4,IF(OR('TRANSPORT DASHBOARD'!$C$4="",ISNUMBER(SEARCH('TRANSPORT DASHBOARD'!$C$4,INDEX(MASTER_ZONES!$B:$B,285)))),284,""),""),""))</f>
        <v/>
      </c>
    </row>
    <row r="286">
      <c r="A286">
        <f>IF('WSF DASHBOARD'!$B$4="Area",IF(285&lt;=$D$3,IF(OR('WSF DASHBOARD'!$C$4="",ISNUMBER(SEARCH('WSF DASHBOARD'!$C$4,INDEX(MASTER_AREAS!$B:$B,286)))),285,""),""),IF('WSF DASHBOARD'!$B$4="Zone",IF(285&lt;=$D$4,IF(OR('WSF DASHBOARD'!$C$4="",ISNUMBER(SEARCH('WSF DASHBOARD'!$C$4,INDEX(MASTER_ZONES!$B:$B,286)))),285,""),""),""))</f>
        <v/>
      </c>
      <c r="F286">
        <f>IF('TRANSPORT DASHBOARD'!$B$4="Area",IF(285&lt;=$I$3,IF(OR('TRANSPORT DASHBOARD'!$C$4="",ISNUMBER(SEARCH('TRANSPORT DASHBOARD'!$C$4,INDEX(MASTER_AREAS!$B:$B,286)))),285,""),""),IF('TRANSPORT DASHBOARD'!$B$4="Zone",IF(285&lt;=$I$4,IF(OR('TRANSPORT DASHBOARD'!$C$4="",ISNUMBER(SEARCH('TRANSPORT DASHBOARD'!$C$4,INDEX(MASTER_ZONES!$B:$B,286)))),285,""),""),""))</f>
        <v/>
      </c>
    </row>
    <row r="287">
      <c r="A287">
        <f>IF('WSF DASHBOARD'!$B$4="Area",IF(286&lt;=$D$3,IF(OR('WSF DASHBOARD'!$C$4="",ISNUMBER(SEARCH('WSF DASHBOARD'!$C$4,INDEX(MASTER_AREAS!$B:$B,287)))),286,""),""),IF('WSF DASHBOARD'!$B$4="Zone",IF(286&lt;=$D$4,IF(OR('WSF DASHBOARD'!$C$4="",ISNUMBER(SEARCH('WSF DASHBOARD'!$C$4,INDEX(MASTER_ZONES!$B:$B,287)))),286,""),""),""))</f>
        <v/>
      </c>
      <c r="F287">
        <f>IF('TRANSPORT DASHBOARD'!$B$4="Area",IF(286&lt;=$I$3,IF(OR('TRANSPORT DASHBOARD'!$C$4="",ISNUMBER(SEARCH('TRANSPORT DASHBOARD'!$C$4,INDEX(MASTER_AREAS!$B:$B,287)))),286,""),""),IF('TRANSPORT DASHBOARD'!$B$4="Zone",IF(286&lt;=$I$4,IF(OR('TRANSPORT DASHBOARD'!$C$4="",ISNUMBER(SEARCH('TRANSPORT DASHBOARD'!$C$4,INDEX(MASTER_ZONES!$B:$B,287)))),286,""),""),""))</f>
        <v/>
      </c>
    </row>
    <row r="288">
      <c r="A288">
        <f>IF('WSF DASHBOARD'!$B$4="Area",IF(287&lt;=$D$3,IF(OR('WSF DASHBOARD'!$C$4="",ISNUMBER(SEARCH('WSF DASHBOARD'!$C$4,INDEX(MASTER_AREAS!$B:$B,288)))),287,""),""),IF('WSF DASHBOARD'!$B$4="Zone",IF(287&lt;=$D$4,IF(OR('WSF DASHBOARD'!$C$4="",ISNUMBER(SEARCH('WSF DASHBOARD'!$C$4,INDEX(MASTER_ZONES!$B:$B,288)))),287,""),""),""))</f>
        <v/>
      </c>
      <c r="F288">
        <f>IF('TRANSPORT DASHBOARD'!$B$4="Area",IF(287&lt;=$I$3,IF(OR('TRANSPORT DASHBOARD'!$C$4="",ISNUMBER(SEARCH('TRANSPORT DASHBOARD'!$C$4,INDEX(MASTER_AREAS!$B:$B,288)))),287,""),""),IF('TRANSPORT DASHBOARD'!$B$4="Zone",IF(287&lt;=$I$4,IF(OR('TRANSPORT DASHBOARD'!$C$4="",ISNUMBER(SEARCH('TRANSPORT DASHBOARD'!$C$4,INDEX(MASTER_ZONES!$B:$B,288)))),287,""),""),""))</f>
        <v/>
      </c>
    </row>
    <row r="289">
      <c r="A289">
        <f>IF('WSF DASHBOARD'!$B$4="Area",IF(288&lt;=$D$3,IF(OR('WSF DASHBOARD'!$C$4="",ISNUMBER(SEARCH('WSF DASHBOARD'!$C$4,INDEX(MASTER_AREAS!$B:$B,289)))),288,""),""),IF('WSF DASHBOARD'!$B$4="Zone",IF(288&lt;=$D$4,IF(OR('WSF DASHBOARD'!$C$4="",ISNUMBER(SEARCH('WSF DASHBOARD'!$C$4,INDEX(MASTER_ZONES!$B:$B,289)))),288,""),""),""))</f>
        <v/>
      </c>
      <c r="F289">
        <f>IF('TRANSPORT DASHBOARD'!$B$4="Area",IF(288&lt;=$I$3,IF(OR('TRANSPORT DASHBOARD'!$C$4="",ISNUMBER(SEARCH('TRANSPORT DASHBOARD'!$C$4,INDEX(MASTER_AREAS!$B:$B,289)))),288,""),""),IF('TRANSPORT DASHBOARD'!$B$4="Zone",IF(288&lt;=$I$4,IF(OR('TRANSPORT DASHBOARD'!$C$4="",ISNUMBER(SEARCH('TRANSPORT DASHBOARD'!$C$4,INDEX(MASTER_ZONES!$B:$B,289)))),288,""),""),""))</f>
        <v/>
      </c>
    </row>
    <row r="290">
      <c r="A290">
        <f>IF('WSF DASHBOARD'!$B$4="Area",IF(289&lt;=$D$3,IF(OR('WSF DASHBOARD'!$C$4="",ISNUMBER(SEARCH('WSF DASHBOARD'!$C$4,INDEX(MASTER_AREAS!$B:$B,290)))),289,""),""),IF('WSF DASHBOARD'!$B$4="Zone",IF(289&lt;=$D$4,IF(OR('WSF DASHBOARD'!$C$4="",ISNUMBER(SEARCH('WSF DASHBOARD'!$C$4,INDEX(MASTER_ZONES!$B:$B,290)))),289,""),""),""))</f>
        <v/>
      </c>
      <c r="F290">
        <f>IF('TRANSPORT DASHBOARD'!$B$4="Area",IF(289&lt;=$I$3,IF(OR('TRANSPORT DASHBOARD'!$C$4="",ISNUMBER(SEARCH('TRANSPORT DASHBOARD'!$C$4,INDEX(MASTER_AREAS!$B:$B,290)))),289,""),""),IF('TRANSPORT DASHBOARD'!$B$4="Zone",IF(289&lt;=$I$4,IF(OR('TRANSPORT DASHBOARD'!$C$4="",ISNUMBER(SEARCH('TRANSPORT DASHBOARD'!$C$4,INDEX(MASTER_ZONES!$B:$B,290)))),289,""),""),""))</f>
        <v/>
      </c>
    </row>
    <row r="291">
      <c r="A291">
        <f>IF('WSF DASHBOARD'!$B$4="Area",IF(290&lt;=$D$3,IF(OR('WSF DASHBOARD'!$C$4="",ISNUMBER(SEARCH('WSF DASHBOARD'!$C$4,INDEX(MASTER_AREAS!$B:$B,291)))),290,""),""),IF('WSF DASHBOARD'!$B$4="Zone",IF(290&lt;=$D$4,IF(OR('WSF DASHBOARD'!$C$4="",ISNUMBER(SEARCH('WSF DASHBOARD'!$C$4,INDEX(MASTER_ZONES!$B:$B,291)))),290,""),""),""))</f>
        <v/>
      </c>
      <c r="F291">
        <f>IF('TRANSPORT DASHBOARD'!$B$4="Area",IF(290&lt;=$I$3,IF(OR('TRANSPORT DASHBOARD'!$C$4="",ISNUMBER(SEARCH('TRANSPORT DASHBOARD'!$C$4,INDEX(MASTER_AREAS!$B:$B,291)))),290,""),""),IF('TRANSPORT DASHBOARD'!$B$4="Zone",IF(290&lt;=$I$4,IF(OR('TRANSPORT DASHBOARD'!$C$4="",ISNUMBER(SEARCH('TRANSPORT DASHBOARD'!$C$4,INDEX(MASTER_ZONES!$B:$B,291)))),290,""),""),""))</f>
        <v/>
      </c>
    </row>
    <row r="292">
      <c r="A292">
        <f>IF('WSF DASHBOARD'!$B$4="Area",IF(291&lt;=$D$3,IF(OR('WSF DASHBOARD'!$C$4="",ISNUMBER(SEARCH('WSF DASHBOARD'!$C$4,INDEX(MASTER_AREAS!$B:$B,292)))),291,""),""),IF('WSF DASHBOARD'!$B$4="Zone",IF(291&lt;=$D$4,IF(OR('WSF DASHBOARD'!$C$4="",ISNUMBER(SEARCH('WSF DASHBOARD'!$C$4,INDEX(MASTER_ZONES!$B:$B,292)))),291,""),""),""))</f>
        <v/>
      </c>
      <c r="F292">
        <f>IF('TRANSPORT DASHBOARD'!$B$4="Area",IF(291&lt;=$I$3,IF(OR('TRANSPORT DASHBOARD'!$C$4="",ISNUMBER(SEARCH('TRANSPORT DASHBOARD'!$C$4,INDEX(MASTER_AREAS!$B:$B,292)))),291,""),""),IF('TRANSPORT DASHBOARD'!$B$4="Zone",IF(291&lt;=$I$4,IF(OR('TRANSPORT DASHBOARD'!$C$4="",ISNUMBER(SEARCH('TRANSPORT DASHBOARD'!$C$4,INDEX(MASTER_ZONES!$B:$B,292)))),291,""),""),""))</f>
        <v/>
      </c>
    </row>
    <row r="293">
      <c r="A293">
        <f>IF('WSF DASHBOARD'!$B$4="Area",IF(292&lt;=$D$3,IF(OR('WSF DASHBOARD'!$C$4="",ISNUMBER(SEARCH('WSF DASHBOARD'!$C$4,INDEX(MASTER_AREAS!$B:$B,293)))),292,""),""),IF('WSF DASHBOARD'!$B$4="Zone",IF(292&lt;=$D$4,IF(OR('WSF DASHBOARD'!$C$4="",ISNUMBER(SEARCH('WSF DASHBOARD'!$C$4,INDEX(MASTER_ZONES!$B:$B,293)))),292,""),""),""))</f>
        <v/>
      </c>
      <c r="F293">
        <f>IF('TRANSPORT DASHBOARD'!$B$4="Area",IF(292&lt;=$I$3,IF(OR('TRANSPORT DASHBOARD'!$C$4="",ISNUMBER(SEARCH('TRANSPORT DASHBOARD'!$C$4,INDEX(MASTER_AREAS!$B:$B,293)))),292,""),""),IF('TRANSPORT DASHBOARD'!$B$4="Zone",IF(292&lt;=$I$4,IF(OR('TRANSPORT DASHBOARD'!$C$4="",ISNUMBER(SEARCH('TRANSPORT DASHBOARD'!$C$4,INDEX(MASTER_ZONES!$B:$B,293)))),292,""),""),""))</f>
        <v/>
      </c>
    </row>
    <row r="294">
      <c r="A294">
        <f>IF('WSF DASHBOARD'!$B$4="Area",IF(293&lt;=$D$3,IF(OR('WSF DASHBOARD'!$C$4="",ISNUMBER(SEARCH('WSF DASHBOARD'!$C$4,INDEX(MASTER_AREAS!$B:$B,294)))),293,""),""),IF('WSF DASHBOARD'!$B$4="Zone",IF(293&lt;=$D$4,IF(OR('WSF DASHBOARD'!$C$4="",ISNUMBER(SEARCH('WSF DASHBOARD'!$C$4,INDEX(MASTER_ZONES!$B:$B,294)))),293,""),""),""))</f>
        <v/>
      </c>
      <c r="F294">
        <f>IF('TRANSPORT DASHBOARD'!$B$4="Area",IF(293&lt;=$I$3,IF(OR('TRANSPORT DASHBOARD'!$C$4="",ISNUMBER(SEARCH('TRANSPORT DASHBOARD'!$C$4,INDEX(MASTER_AREAS!$B:$B,294)))),293,""),""),IF('TRANSPORT DASHBOARD'!$B$4="Zone",IF(293&lt;=$I$4,IF(OR('TRANSPORT DASHBOARD'!$C$4="",ISNUMBER(SEARCH('TRANSPORT DASHBOARD'!$C$4,INDEX(MASTER_ZONES!$B:$B,294)))),293,""),""),""))</f>
        <v/>
      </c>
    </row>
    <row r="295">
      <c r="A295">
        <f>IF('WSF DASHBOARD'!$B$4="Area",IF(294&lt;=$D$3,IF(OR('WSF DASHBOARD'!$C$4="",ISNUMBER(SEARCH('WSF DASHBOARD'!$C$4,INDEX(MASTER_AREAS!$B:$B,295)))),294,""),""),IF('WSF DASHBOARD'!$B$4="Zone",IF(294&lt;=$D$4,IF(OR('WSF DASHBOARD'!$C$4="",ISNUMBER(SEARCH('WSF DASHBOARD'!$C$4,INDEX(MASTER_ZONES!$B:$B,295)))),294,""),""),""))</f>
        <v/>
      </c>
      <c r="F295">
        <f>IF('TRANSPORT DASHBOARD'!$B$4="Area",IF(294&lt;=$I$3,IF(OR('TRANSPORT DASHBOARD'!$C$4="",ISNUMBER(SEARCH('TRANSPORT DASHBOARD'!$C$4,INDEX(MASTER_AREAS!$B:$B,295)))),294,""),""),IF('TRANSPORT DASHBOARD'!$B$4="Zone",IF(294&lt;=$I$4,IF(OR('TRANSPORT DASHBOARD'!$C$4="",ISNUMBER(SEARCH('TRANSPORT DASHBOARD'!$C$4,INDEX(MASTER_ZONES!$B:$B,295)))),294,""),""),""))</f>
        <v/>
      </c>
    </row>
    <row r="296">
      <c r="A296">
        <f>IF('WSF DASHBOARD'!$B$4="Area",IF(295&lt;=$D$3,IF(OR('WSF DASHBOARD'!$C$4="",ISNUMBER(SEARCH('WSF DASHBOARD'!$C$4,INDEX(MASTER_AREAS!$B:$B,296)))),295,""),""),IF('WSF DASHBOARD'!$B$4="Zone",IF(295&lt;=$D$4,IF(OR('WSF DASHBOARD'!$C$4="",ISNUMBER(SEARCH('WSF DASHBOARD'!$C$4,INDEX(MASTER_ZONES!$B:$B,296)))),295,""),""),""))</f>
        <v/>
      </c>
      <c r="F296">
        <f>IF('TRANSPORT DASHBOARD'!$B$4="Area",IF(295&lt;=$I$3,IF(OR('TRANSPORT DASHBOARD'!$C$4="",ISNUMBER(SEARCH('TRANSPORT DASHBOARD'!$C$4,INDEX(MASTER_AREAS!$B:$B,296)))),295,""),""),IF('TRANSPORT DASHBOARD'!$B$4="Zone",IF(295&lt;=$I$4,IF(OR('TRANSPORT DASHBOARD'!$C$4="",ISNUMBER(SEARCH('TRANSPORT DASHBOARD'!$C$4,INDEX(MASTER_ZONES!$B:$B,296)))),295,""),""),""))</f>
        <v/>
      </c>
    </row>
    <row r="297">
      <c r="A297">
        <f>IF('WSF DASHBOARD'!$B$4="Area",IF(296&lt;=$D$3,IF(OR('WSF DASHBOARD'!$C$4="",ISNUMBER(SEARCH('WSF DASHBOARD'!$C$4,INDEX(MASTER_AREAS!$B:$B,297)))),296,""),""),IF('WSF DASHBOARD'!$B$4="Zone",IF(296&lt;=$D$4,IF(OR('WSF DASHBOARD'!$C$4="",ISNUMBER(SEARCH('WSF DASHBOARD'!$C$4,INDEX(MASTER_ZONES!$B:$B,297)))),296,""),""),""))</f>
        <v/>
      </c>
      <c r="F297">
        <f>IF('TRANSPORT DASHBOARD'!$B$4="Area",IF(296&lt;=$I$3,IF(OR('TRANSPORT DASHBOARD'!$C$4="",ISNUMBER(SEARCH('TRANSPORT DASHBOARD'!$C$4,INDEX(MASTER_AREAS!$B:$B,297)))),296,""),""),IF('TRANSPORT DASHBOARD'!$B$4="Zone",IF(296&lt;=$I$4,IF(OR('TRANSPORT DASHBOARD'!$C$4="",ISNUMBER(SEARCH('TRANSPORT DASHBOARD'!$C$4,INDEX(MASTER_ZONES!$B:$B,297)))),296,""),""),""))</f>
        <v/>
      </c>
    </row>
    <row r="298">
      <c r="A298">
        <f>IF('WSF DASHBOARD'!$B$4="Area",IF(297&lt;=$D$3,IF(OR('WSF DASHBOARD'!$C$4="",ISNUMBER(SEARCH('WSF DASHBOARD'!$C$4,INDEX(MASTER_AREAS!$B:$B,298)))),297,""),""),IF('WSF DASHBOARD'!$B$4="Zone",IF(297&lt;=$D$4,IF(OR('WSF DASHBOARD'!$C$4="",ISNUMBER(SEARCH('WSF DASHBOARD'!$C$4,INDEX(MASTER_ZONES!$B:$B,298)))),297,""),""),""))</f>
        <v/>
      </c>
      <c r="F298">
        <f>IF('TRANSPORT DASHBOARD'!$B$4="Area",IF(297&lt;=$I$3,IF(OR('TRANSPORT DASHBOARD'!$C$4="",ISNUMBER(SEARCH('TRANSPORT DASHBOARD'!$C$4,INDEX(MASTER_AREAS!$B:$B,298)))),297,""),""),IF('TRANSPORT DASHBOARD'!$B$4="Zone",IF(297&lt;=$I$4,IF(OR('TRANSPORT DASHBOARD'!$C$4="",ISNUMBER(SEARCH('TRANSPORT DASHBOARD'!$C$4,INDEX(MASTER_ZONES!$B:$B,298)))),297,""),""),""))</f>
        <v/>
      </c>
    </row>
    <row r="299">
      <c r="A299">
        <f>IF('WSF DASHBOARD'!$B$4="Area",IF(298&lt;=$D$3,IF(OR('WSF DASHBOARD'!$C$4="",ISNUMBER(SEARCH('WSF DASHBOARD'!$C$4,INDEX(MASTER_AREAS!$B:$B,299)))),298,""),""),IF('WSF DASHBOARD'!$B$4="Zone",IF(298&lt;=$D$4,IF(OR('WSF DASHBOARD'!$C$4="",ISNUMBER(SEARCH('WSF DASHBOARD'!$C$4,INDEX(MASTER_ZONES!$B:$B,299)))),298,""),""),""))</f>
        <v/>
      </c>
      <c r="F299">
        <f>IF('TRANSPORT DASHBOARD'!$B$4="Area",IF(298&lt;=$I$3,IF(OR('TRANSPORT DASHBOARD'!$C$4="",ISNUMBER(SEARCH('TRANSPORT DASHBOARD'!$C$4,INDEX(MASTER_AREAS!$B:$B,299)))),298,""),""),IF('TRANSPORT DASHBOARD'!$B$4="Zone",IF(298&lt;=$I$4,IF(OR('TRANSPORT DASHBOARD'!$C$4="",ISNUMBER(SEARCH('TRANSPORT DASHBOARD'!$C$4,INDEX(MASTER_ZONES!$B:$B,299)))),298,""),""),""))</f>
        <v/>
      </c>
    </row>
    <row r="300">
      <c r="A300">
        <f>IF('WSF DASHBOARD'!$B$4="Area",IF(299&lt;=$D$3,IF(OR('WSF DASHBOARD'!$C$4="",ISNUMBER(SEARCH('WSF DASHBOARD'!$C$4,INDEX(MASTER_AREAS!$B:$B,300)))),299,""),""),IF('WSF DASHBOARD'!$B$4="Zone",IF(299&lt;=$D$4,IF(OR('WSF DASHBOARD'!$C$4="",ISNUMBER(SEARCH('WSF DASHBOARD'!$C$4,INDEX(MASTER_ZONES!$B:$B,300)))),299,""),""),""))</f>
        <v/>
      </c>
      <c r="F300">
        <f>IF('TRANSPORT DASHBOARD'!$B$4="Area",IF(299&lt;=$I$3,IF(OR('TRANSPORT DASHBOARD'!$C$4="",ISNUMBER(SEARCH('TRANSPORT DASHBOARD'!$C$4,INDEX(MASTER_AREAS!$B:$B,300)))),299,""),""),IF('TRANSPORT DASHBOARD'!$B$4="Zone",IF(299&lt;=$I$4,IF(OR('TRANSPORT DASHBOARD'!$C$4="",ISNUMBER(SEARCH('TRANSPORT DASHBOARD'!$C$4,INDEX(MASTER_ZONES!$B:$B,300)))),299,""),""),""))</f>
        <v/>
      </c>
    </row>
    <row r="301">
      <c r="A301">
        <f>IF('WSF DASHBOARD'!$B$4="Area",IF(300&lt;=$D$3,IF(OR('WSF DASHBOARD'!$C$4="",ISNUMBER(SEARCH('WSF DASHBOARD'!$C$4,INDEX(MASTER_AREAS!$B:$B,301)))),300,""),""),IF('WSF DASHBOARD'!$B$4="Zone",IF(300&lt;=$D$4,IF(OR('WSF DASHBOARD'!$C$4="",ISNUMBER(SEARCH('WSF DASHBOARD'!$C$4,INDEX(MASTER_ZONES!$B:$B,301)))),300,""),""),""))</f>
        <v/>
      </c>
      <c r="F301">
        <f>IF('TRANSPORT DASHBOARD'!$B$4="Area",IF(300&lt;=$I$3,IF(OR('TRANSPORT DASHBOARD'!$C$4="",ISNUMBER(SEARCH('TRANSPORT DASHBOARD'!$C$4,INDEX(MASTER_AREAS!$B:$B,301)))),300,""),""),IF('TRANSPORT DASHBOARD'!$B$4="Zone",IF(300&lt;=$I$4,IF(OR('TRANSPORT DASHBOARD'!$C$4="",ISNUMBER(SEARCH('TRANSPORT DASHBOARD'!$C$4,INDEX(MASTER_ZONES!$B:$B,301)))),300,""),""),""))</f>
        <v/>
      </c>
    </row>
    <row r="302">
      <c r="A302">
        <f>IF('WSF DASHBOARD'!$B$4="Area",IF(301&lt;=$D$3,IF(OR('WSF DASHBOARD'!$C$4="",ISNUMBER(SEARCH('WSF DASHBOARD'!$C$4,INDEX(MASTER_AREAS!$B:$B,302)))),301,""),""),IF('WSF DASHBOARD'!$B$4="Zone",IF(301&lt;=$D$4,IF(OR('WSF DASHBOARD'!$C$4="",ISNUMBER(SEARCH('WSF DASHBOARD'!$C$4,INDEX(MASTER_ZONES!$B:$B,302)))),301,""),""),""))</f>
        <v/>
      </c>
      <c r="F302">
        <f>IF('TRANSPORT DASHBOARD'!$B$4="Area",IF(301&lt;=$I$3,IF(OR('TRANSPORT DASHBOARD'!$C$4="",ISNUMBER(SEARCH('TRANSPORT DASHBOARD'!$C$4,INDEX(MASTER_AREAS!$B:$B,302)))),301,""),""),IF('TRANSPORT DASHBOARD'!$B$4="Zone",IF(301&lt;=$I$4,IF(OR('TRANSPORT DASHBOARD'!$C$4="",ISNUMBER(SEARCH('TRANSPORT DASHBOARD'!$C$4,INDEX(MASTER_ZONES!$B:$B,302)))),301,""),""),""))</f>
        <v/>
      </c>
    </row>
    <row r="303">
      <c r="A303">
        <f>IF('WSF DASHBOARD'!$B$4="Area",IF(302&lt;=$D$3,IF(OR('WSF DASHBOARD'!$C$4="",ISNUMBER(SEARCH('WSF DASHBOARD'!$C$4,INDEX(MASTER_AREAS!$B:$B,303)))),302,""),""),IF('WSF DASHBOARD'!$B$4="Zone",IF(302&lt;=$D$4,IF(OR('WSF DASHBOARD'!$C$4="",ISNUMBER(SEARCH('WSF DASHBOARD'!$C$4,INDEX(MASTER_ZONES!$B:$B,303)))),302,""),""),""))</f>
        <v/>
      </c>
      <c r="F303">
        <f>IF('TRANSPORT DASHBOARD'!$B$4="Area",IF(302&lt;=$I$3,IF(OR('TRANSPORT DASHBOARD'!$C$4="",ISNUMBER(SEARCH('TRANSPORT DASHBOARD'!$C$4,INDEX(MASTER_AREAS!$B:$B,303)))),302,""),""),IF('TRANSPORT DASHBOARD'!$B$4="Zone",IF(302&lt;=$I$4,IF(OR('TRANSPORT DASHBOARD'!$C$4="",ISNUMBER(SEARCH('TRANSPORT DASHBOARD'!$C$4,INDEX(MASTER_ZONES!$B:$B,303)))),302,""),""),""))</f>
        <v/>
      </c>
    </row>
    <row r="304">
      <c r="A304">
        <f>IF('WSF DASHBOARD'!$B$4="Area",IF(303&lt;=$D$3,IF(OR('WSF DASHBOARD'!$C$4="",ISNUMBER(SEARCH('WSF DASHBOARD'!$C$4,INDEX(MASTER_AREAS!$B:$B,304)))),303,""),""),IF('WSF DASHBOARD'!$B$4="Zone",IF(303&lt;=$D$4,IF(OR('WSF DASHBOARD'!$C$4="",ISNUMBER(SEARCH('WSF DASHBOARD'!$C$4,INDEX(MASTER_ZONES!$B:$B,304)))),303,""),""),""))</f>
        <v/>
      </c>
      <c r="F304">
        <f>IF('TRANSPORT DASHBOARD'!$B$4="Area",IF(303&lt;=$I$3,IF(OR('TRANSPORT DASHBOARD'!$C$4="",ISNUMBER(SEARCH('TRANSPORT DASHBOARD'!$C$4,INDEX(MASTER_AREAS!$B:$B,304)))),303,""),""),IF('TRANSPORT DASHBOARD'!$B$4="Zone",IF(303&lt;=$I$4,IF(OR('TRANSPORT DASHBOARD'!$C$4="",ISNUMBER(SEARCH('TRANSPORT DASHBOARD'!$C$4,INDEX(MASTER_ZONES!$B:$B,304)))),303,""),""),""))</f>
        <v/>
      </c>
    </row>
    <row r="305">
      <c r="A305">
        <f>IF('WSF DASHBOARD'!$B$4="Area",IF(304&lt;=$D$3,IF(OR('WSF DASHBOARD'!$C$4="",ISNUMBER(SEARCH('WSF DASHBOARD'!$C$4,INDEX(MASTER_AREAS!$B:$B,305)))),304,""),""),IF('WSF DASHBOARD'!$B$4="Zone",IF(304&lt;=$D$4,IF(OR('WSF DASHBOARD'!$C$4="",ISNUMBER(SEARCH('WSF DASHBOARD'!$C$4,INDEX(MASTER_ZONES!$B:$B,305)))),304,""),""),""))</f>
        <v/>
      </c>
      <c r="F305">
        <f>IF('TRANSPORT DASHBOARD'!$B$4="Area",IF(304&lt;=$I$3,IF(OR('TRANSPORT DASHBOARD'!$C$4="",ISNUMBER(SEARCH('TRANSPORT DASHBOARD'!$C$4,INDEX(MASTER_AREAS!$B:$B,305)))),304,""),""),IF('TRANSPORT DASHBOARD'!$B$4="Zone",IF(304&lt;=$I$4,IF(OR('TRANSPORT DASHBOARD'!$C$4="",ISNUMBER(SEARCH('TRANSPORT DASHBOARD'!$C$4,INDEX(MASTER_ZONES!$B:$B,305)))),304,""),""),""))</f>
        <v/>
      </c>
    </row>
    <row r="306">
      <c r="A306">
        <f>IF('WSF DASHBOARD'!$B$4="Area",IF(305&lt;=$D$3,IF(OR('WSF DASHBOARD'!$C$4="",ISNUMBER(SEARCH('WSF DASHBOARD'!$C$4,INDEX(MASTER_AREAS!$B:$B,306)))),305,""),""),IF('WSF DASHBOARD'!$B$4="Zone",IF(305&lt;=$D$4,IF(OR('WSF DASHBOARD'!$C$4="",ISNUMBER(SEARCH('WSF DASHBOARD'!$C$4,INDEX(MASTER_ZONES!$B:$B,306)))),305,""),""),""))</f>
        <v/>
      </c>
      <c r="F306">
        <f>IF('TRANSPORT DASHBOARD'!$B$4="Area",IF(305&lt;=$I$3,IF(OR('TRANSPORT DASHBOARD'!$C$4="",ISNUMBER(SEARCH('TRANSPORT DASHBOARD'!$C$4,INDEX(MASTER_AREAS!$B:$B,306)))),305,""),""),IF('TRANSPORT DASHBOARD'!$B$4="Zone",IF(305&lt;=$I$4,IF(OR('TRANSPORT DASHBOARD'!$C$4="",ISNUMBER(SEARCH('TRANSPORT DASHBOARD'!$C$4,INDEX(MASTER_ZONES!$B:$B,306)))),305,""),""),""))</f>
        <v/>
      </c>
    </row>
    <row r="307">
      <c r="A307">
        <f>IF('WSF DASHBOARD'!$B$4="Area",IF(306&lt;=$D$3,IF(OR('WSF DASHBOARD'!$C$4="",ISNUMBER(SEARCH('WSF DASHBOARD'!$C$4,INDEX(MASTER_AREAS!$B:$B,307)))),306,""),""),IF('WSF DASHBOARD'!$B$4="Zone",IF(306&lt;=$D$4,IF(OR('WSF DASHBOARD'!$C$4="",ISNUMBER(SEARCH('WSF DASHBOARD'!$C$4,INDEX(MASTER_ZONES!$B:$B,307)))),306,""),""),""))</f>
        <v/>
      </c>
      <c r="F307">
        <f>IF('TRANSPORT DASHBOARD'!$B$4="Area",IF(306&lt;=$I$3,IF(OR('TRANSPORT DASHBOARD'!$C$4="",ISNUMBER(SEARCH('TRANSPORT DASHBOARD'!$C$4,INDEX(MASTER_AREAS!$B:$B,307)))),306,""),""),IF('TRANSPORT DASHBOARD'!$B$4="Zone",IF(306&lt;=$I$4,IF(OR('TRANSPORT DASHBOARD'!$C$4="",ISNUMBER(SEARCH('TRANSPORT DASHBOARD'!$C$4,INDEX(MASTER_ZONES!$B:$B,307)))),306,""),""),""))</f>
        <v/>
      </c>
    </row>
    <row r="308">
      <c r="A308">
        <f>IF('WSF DASHBOARD'!$B$4="Area",IF(307&lt;=$D$3,IF(OR('WSF DASHBOARD'!$C$4="",ISNUMBER(SEARCH('WSF DASHBOARD'!$C$4,INDEX(MASTER_AREAS!$B:$B,308)))),307,""),""),IF('WSF DASHBOARD'!$B$4="Zone",IF(307&lt;=$D$4,IF(OR('WSF DASHBOARD'!$C$4="",ISNUMBER(SEARCH('WSF DASHBOARD'!$C$4,INDEX(MASTER_ZONES!$B:$B,308)))),307,""),""),""))</f>
        <v/>
      </c>
      <c r="F308">
        <f>IF('TRANSPORT DASHBOARD'!$B$4="Area",IF(307&lt;=$I$3,IF(OR('TRANSPORT DASHBOARD'!$C$4="",ISNUMBER(SEARCH('TRANSPORT DASHBOARD'!$C$4,INDEX(MASTER_AREAS!$B:$B,308)))),307,""),""),IF('TRANSPORT DASHBOARD'!$B$4="Zone",IF(307&lt;=$I$4,IF(OR('TRANSPORT DASHBOARD'!$C$4="",ISNUMBER(SEARCH('TRANSPORT DASHBOARD'!$C$4,INDEX(MASTER_ZONES!$B:$B,308)))),307,""),""),""))</f>
        <v/>
      </c>
    </row>
    <row r="309">
      <c r="A309">
        <f>IF('WSF DASHBOARD'!$B$4="Area",IF(308&lt;=$D$3,IF(OR('WSF DASHBOARD'!$C$4="",ISNUMBER(SEARCH('WSF DASHBOARD'!$C$4,INDEX(MASTER_AREAS!$B:$B,309)))),308,""),""),IF('WSF DASHBOARD'!$B$4="Zone",IF(308&lt;=$D$4,IF(OR('WSF DASHBOARD'!$C$4="",ISNUMBER(SEARCH('WSF DASHBOARD'!$C$4,INDEX(MASTER_ZONES!$B:$B,309)))),308,""),""),""))</f>
        <v/>
      </c>
      <c r="F309">
        <f>IF('TRANSPORT DASHBOARD'!$B$4="Area",IF(308&lt;=$I$3,IF(OR('TRANSPORT DASHBOARD'!$C$4="",ISNUMBER(SEARCH('TRANSPORT DASHBOARD'!$C$4,INDEX(MASTER_AREAS!$B:$B,309)))),308,""),""),IF('TRANSPORT DASHBOARD'!$B$4="Zone",IF(308&lt;=$I$4,IF(OR('TRANSPORT DASHBOARD'!$C$4="",ISNUMBER(SEARCH('TRANSPORT DASHBOARD'!$C$4,INDEX(MASTER_ZONES!$B:$B,309)))),308,""),""),""))</f>
        <v/>
      </c>
    </row>
    <row r="310">
      <c r="A310">
        <f>IF('WSF DASHBOARD'!$B$4="Area",IF(309&lt;=$D$3,IF(OR('WSF DASHBOARD'!$C$4="",ISNUMBER(SEARCH('WSF DASHBOARD'!$C$4,INDEX(MASTER_AREAS!$B:$B,310)))),309,""),""),IF('WSF DASHBOARD'!$B$4="Zone",IF(309&lt;=$D$4,IF(OR('WSF DASHBOARD'!$C$4="",ISNUMBER(SEARCH('WSF DASHBOARD'!$C$4,INDEX(MASTER_ZONES!$B:$B,310)))),309,""),""),""))</f>
        <v/>
      </c>
      <c r="F310">
        <f>IF('TRANSPORT DASHBOARD'!$B$4="Area",IF(309&lt;=$I$3,IF(OR('TRANSPORT DASHBOARD'!$C$4="",ISNUMBER(SEARCH('TRANSPORT DASHBOARD'!$C$4,INDEX(MASTER_AREAS!$B:$B,310)))),309,""),""),IF('TRANSPORT DASHBOARD'!$B$4="Zone",IF(309&lt;=$I$4,IF(OR('TRANSPORT DASHBOARD'!$C$4="",ISNUMBER(SEARCH('TRANSPORT DASHBOARD'!$C$4,INDEX(MASTER_ZONES!$B:$B,310)))),309,""),""),""))</f>
        <v/>
      </c>
    </row>
    <row r="311">
      <c r="A311">
        <f>IF('WSF DASHBOARD'!$B$4="Area",IF(310&lt;=$D$3,IF(OR('WSF DASHBOARD'!$C$4="",ISNUMBER(SEARCH('WSF DASHBOARD'!$C$4,INDEX(MASTER_AREAS!$B:$B,311)))),310,""),""),IF('WSF DASHBOARD'!$B$4="Zone",IF(310&lt;=$D$4,IF(OR('WSF DASHBOARD'!$C$4="",ISNUMBER(SEARCH('WSF DASHBOARD'!$C$4,INDEX(MASTER_ZONES!$B:$B,311)))),310,""),""),""))</f>
        <v/>
      </c>
      <c r="F311">
        <f>IF('TRANSPORT DASHBOARD'!$B$4="Area",IF(310&lt;=$I$3,IF(OR('TRANSPORT DASHBOARD'!$C$4="",ISNUMBER(SEARCH('TRANSPORT DASHBOARD'!$C$4,INDEX(MASTER_AREAS!$B:$B,311)))),310,""),""),IF('TRANSPORT DASHBOARD'!$B$4="Zone",IF(310&lt;=$I$4,IF(OR('TRANSPORT DASHBOARD'!$C$4="",ISNUMBER(SEARCH('TRANSPORT DASHBOARD'!$C$4,INDEX(MASTER_ZONES!$B:$B,311)))),310,""),""),""))</f>
        <v/>
      </c>
    </row>
    <row r="312">
      <c r="A312">
        <f>IF('WSF DASHBOARD'!$B$4="Area",IF(311&lt;=$D$3,IF(OR('WSF DASHBOARD'!$C$4="",ISNUMBER(SEARCH('WSF DASHBOARD'!$C$4,INDEX(MASTER_AREAS!$B:$B,312)))),311,""),""),IF('WSF DASHBOARD'!$B$4="Zone",IF(311&lt;=$D$4,IF(OR('WSF DASHBOARD'!$C$4="",ISNUMBER(SEARCH('WSF DASHBOARD'!$C$4,INDEX(MASTER_ZONES!$B:$B,312)))),311,""),""),""))</f>
        <v/>
      </c>
      <c r="F312">
        <f>IF('TRANSPORT DASHBOARD'!$B$4="Area",IF(311&lt;=$I$3,IF(OR('TRANSPORT DASHBOARD'!$C$4="",ISNUMBER(SEARCH('TRANSPORT DASHBOARD'!$C$4,INDEX(MASTER_AREAS!$B:$B,312)))),311,""),""),IF('TRANSPORT DASHBOARD'!$B$4="Zone",IF(311&lt;=$I$4,IF(OR('TRANSPORT DASHBOARD'!$C$4="",ISNUMBER(SEARCH('TRANSPORT DASHBOARD'!$C$4,INDEX(MASTER_ZONES!$B:$B,312)))),311,""),""),""))</f>
        <v/>
      </c>
    </row>
    <row r="313">
      <c r="A313">
        <f>IF('WSF DASHBOARD'!$B$4="Area",IF(312&lt;=$D$3,IF(OR('WSF DASHBOARD'!$C$4="",ISNUMBER(SEARCH('WSF DASHBOARD'!$C$4,INDEX(MASTER_AREAS!$B:$B,313)))),312,""),""),IF('WSF DASHBOARD'!$B$4="Zone",IF(312&lt;=$D$4,IF(OR('WSF DASHBOARD'!$C$4="",ISNUMBER(SEARCH('WSF DASHBOARD'!$C$4,INDEX(MASTER_ZONES!$B:$B,313)))),312,""),""),""))</f>
        <v/>
      </c>
      <c r="F313">
        <f>IF('TRANSPORT DASHBOARD'!$B$4="Area",IF(312&lt;=$I$3,IF(OR('TRANSPORT DASHBOARD'!$C$4="",ISNUMBER(SEARCH('TRANSPORT DASHBOARD'!$C$4,INDEX(MASTER_AREAS!$B:$B,313)))),312,""),""),IF('TRANSPORT DASHBOARD'!$B$4="Zone",IF(312&lt;=$I$4,IF(OR('TRANSPORT DASHBOARD'!$C$4="",ISNUMBER(SEARCH('TRANSPORT DASHBOARD'!$C$4,INDEX(MASTER_ZONES!$B:$B,313)))),312,""),""),""))</f>
        <v/>
      </c>
    </row>
    <row r="314">
      <c r="A314">
        <f>IF('WSF DASHBOARD'!$B$4="Area",IF(313&lt;=$D$3,IF(OR('WSF DASHBOARD'!$C$4="",ISNUMBER(SEARCH('WSF DASHBOARD'!$C$4,INDEX(MASTER_AREAS!$B:$B,314)))),313,""),""),IF('WSF DASHBOARD'!$B$4="Zone",IF(313&lt;=$D$4,IF(OR('WSF DASHBOARD'!$C$4="",ISNUMBER(SEARCH('WSF DASHBOARD'!$C$4,INDEX(MASTER_ZONES!$B:$B,314)))),313,""),""),""))</f>
        <v/>
      </c>
      <c r="F314">
        <f>IF('TRANSPORT DASHBOARD'!$B$4="Area",IF(313&lt;=$I$3,IF(OR('TRANSPORT DASHBOARD'!$C$4="",ISNUMBER(SEARCH('TRANSPORT DASHBOARD'!$C$4,INDEX(MASTER_AREAS!$B:$B,314)))),313,""),""),IF('TRANSPORT DASHBOARD'!$B$4="Zone",IF(313&lt;=$I$4,IF(OR('TRANSPORT DASHBOARD'!$C$4="",ISNUMBER(SEARCH('TRANSPORT DASHBOARD'!$C$4,INDEX(MASTER_ZONES!$B:$B,314)))),313,""),""),""))</f>
        <v/>
      </c>
    </row>
    <row r="315">
      <c r="A315">
        <f>IF('WSF DASHBOARD'!$B$4="Area",IF(314&lt;=$D$3,IF(OR('WSF DASHBOARD'!$C$4="",ISNUMBER(SEARCH('WSF DASHBOARD'!$C$4,INDEX(MASTER_AREAS!$B:$B,315)))),314,""),""),IF('WSF DASHBOARD'!$B$4="Zone",IF(314&lt;=$D$4,IF(OR('WSF DASHBOARD'!$C$4="",ISNUMBER(SEARCH('WSF DASHBOARD'!$C$4,INDEX(MASTER_ZONES!$B:$B,315)))),314,""),""),""))</f>
        <v/>
      </c>
      <c r="F315">
        <f>IF('TRANSPORT DASHBOARD'!$B$4="Area",IF(314&lt;=$I$3,IF(OR('TRANSPORT DASHBOARD'!$C$4="",ISNUMBER(SEARCH('TRANSPORT DASHBOARD'!$C$4,INDEX(MASTER_AREAS!$B:$B,315)))),314,""),""),IF('TRANSPORT DASHBOARD'!$B$4="Zone",IF(314&lt;=$I$4,IF(OR('TRANSPORT DASHBOARD'!$C$4="",ISNUMBER(SEARCH('TRANSPORT DASHBOARD'!$C$4,INDEX(MASTER_ZONES!$B:$B,315)))),314,""),""),""))</f>
        <v/>
      </c>
    </row>
    <row r="316">
      <c r="A316">
        <f>IF('WSF DASHBOARD'!$B$4="Area",IF(315&lt;=$D$3,IF(OR('WSF DASHBOARD'!$C$4="",ISNUMBER(SEARCH('WSF DASHBOARD'!$C$4,INDEX(MASTER_AREAS!$B:$B,316)))),315,""),""),IF('WSF DASHBOARD'!$B$4="Zone",IF(315&lt;=$D$4,IF(OR('WSF DASHBOARD'!$C$4="",ISNUMBER(SEARCH('WSF DASHBOARD'!$C$4,INDEX(MASTER_ZONES!$B:$B,316)))),315,""),""),""))</f>
        <v/>
      </c>
      <c r="F316">
        <f>IF('TRANSPORT DASHBOARD'!$B$4="Area",IF(315&lt;=$I$3,IF(OR('TRANSPORT DASHBOARD'!$C$4="",ISNUMBER(SEARCH('TRANSPORT DASHBOARD'!$C$4,INDEX(MASTER_AREAS!$B:$B,316)))),315,""),""),IF('TRANSPORT DASHBOARD'!$B$4="Zone",IF(315&lt;=$I$4,IF(OR('TRANSPORT DASHBOARD'!$C$4="",ISNUMBER(SEARCH('TRANSPORT DASHBOARD'!$C$4,INDEX(MASTER_ZONES!$B:$B,316)))),315,""),""),""))</f>
        <v/>
      </c>
    </row>
    <row r="317">
      <c r="A317">
        <f>IF('WSF DASHBOARD'!$B$4="Area",IF(316&lt;=$D$3,IF(OR('WSF DASHBOARD'!$C$4="",ISNUMBER(SEARCH('WSF DASHBOARD'!$C$4,INDEX(MASTER_AREAS!$B:$B,317)))),316,""),""),IF('WSF DASHBOARD'!$B$4="Zone",IF(316&lt;=$D$4,IF(OR('WSF DASHBOARD'!$C$4="",ISNUMBER(SEARCH('WSF DASHBOARD'!$C$4,INDEX(MASTER_ZONES!$B:$B,317)))),316,""),""),""))</f>
        <v/>
      </c>
      <c r="F317">
        <f>IF('TRANSPORT DASHBOARD'!$B$4="Area",IF(316&lt;=$I$3,IF(OR('TRANSPORT DASHBOARD'!$C$4="",ISNUMBER(SEARCH('TRANSPORT DASHBOARD'!$C$4,INDEX(MASTER_AREAS!$B:$B,317)))),316,""),""),IF('TRANSPORT DASHBOARD'!$B$4="Zone",IF(316&lt;=$I$4,IF(OR('TRANSPORT DASHBOARD'!$C$4="",ISNUMBER(SEARCH('TRANSPORT DASHBOARD'!$C$4,INDEX(MASTER_ZONES!$B:$B,317)))),316,""),""),""))</f>
        <v/>
      </c>
    </row>
    <row r="318">
      <c r="A318">
        <f>IF('WSF DASHBOARD'!$B$4="Area",IF(317&lt;=$D$3,IF(OR('WSF DASHBOARD'!$C$4="",ISNUMBER(SEARCH('WSF DASHBOARD'!$C$4,INDEX(MASTER_AREAS!$B:$B,318)))),317,""),""),IF('WSF DASHBOARD'!$B$4="Zone",IF(317&lt;=$D$4,IF(OR('WSF DASHBOARD'!$C$4="",ISNUMBER(SEARCH('WSF DASHBOARD'!$C$4,INDEX(MASTER_ZONES!$B:$B,318)))),317,""),""),""))</f>
        <v/>
      </c>
      <c r="F318">
        <f>IF('TRANSPORT DASHBOARD'!$B$4="Area",IF(317&lt;=$I$3,IF(OR('TRANSPORT DASHBOARD'!$C$4="",ISNUMBER(SEARCH('TRANSPORT DASHBOARD'!$C$4,INDEX(MASTER_AREAS!$B:$B,318)))),317,""),""),IF('TRANSPORT DASHBOARD'!$B$4="Zone",IF(317&lt;=$I$4,IF(OR('TRANSPORT DASHBOARD'!$C$4="",ISNUMBER(SEARCH('TRANSPORT DASHBOARD'!$C$4,INDEX(MASTER_ZONES!$B:$B,318)))),317,""),""),""))</f>
        <v/>
      </c>
    </row>
    <row r="319">
      <c r="A319">
        <f>IF('WSF DASHBOARD'!$B$4="Area",IF(318&lt;=$D$3,IF(OR('WSF DASHBOARD'!$C$4="",ISNUMBER(SEARCH('WSF DASHBOARD'!$C$4,INDEX(MASTER_AREAS!$B:$B,319)))),318,""),""),IF('WSF DASHBOARD'!$B$4="Zone",IF(318&lt;=$D$4,IF(OR('WSF DASHBOARD'!$C$4="",ISNUMBER(SEARCH('WSF DASHBOARD'!$C$4,INDEX(MASTER_ZONES!$B:$B,319)))),318,""),""),""))</f>
        <v/>
      </c>
      <c r="F319">
        <f>IF('TRANSPORT DASHBOARD'!$B$4="Area",IF(318&lt;=$I$3,IF(OR('TRANSPORT DASHBOARD'!$C$4="",ISNUMBER(SEARCH('TRANSPORT DASHBOARD'!$C$4,INDEX(MASTER_AREAS!$B:$B,319)))),318,""),""),IF('TRANSPORT DASHBOARD'!$B$4="Zone",IF(318&lt;=$I$4,IF(OR('TRANSPORT DASHBOARD'!$C$4="",ISNUMBER(SEARCH('TRANSPORT DASHBOARD'!$C$4,INDEX(MASTER_ZONES!$B:$B,319)))),318,""),""),""))</f>
        <v/>
      </c>
    </row>
    <row r="320">
      <c r="A320">
        <f>IF('WSF DASHBOARD'!$B$4="Area",IF(319&lt;=$D$3,IF(OR('WSF DASHBOARD'!$C$4="",ISNUMBER(SEARCH('WSF DASHBOARD'!$C$4,INDEX(MASTER_AREAS!$B:$B,320)))),319,""),""),IF('WSF DASHBOARD'!$B$4="Zone",IF(319&lt;=$D$4,IF(OR('WSF DASHBOARD'!$C$4="",ISNUMBER(SEARCH('WSF DASHBOARD'!$C$4,INDEX(MASTER_ZONES!$B:$B,320)))),319,""),""),""))</f>
        <v/>
      </c>
      <c r="F320">
        <f>IF('TRANSPORT DASHBOARD'!$B$4="Area",IF(319&lt;=$I$3,IF(OR('TRANSPORT DASHBOARD'!$C$4="",ISNUMBER(SEARCH('TRANSPORT DASHBOARD'!$C$4,INDEX(MASTER_AREAS!$B:$B,320)))),319,""),""),IF('TRANSPORT DASHBOARD'!$B$4="Zone",IF(319&lt;=$I$4,IF(OR('TRANSPORT DASHBOARD'!$C$4="",ISNUMBER(SEARCH('TRANSPORT DASHBOARD'!$C$4,INDEX(MASTER_ZONES!$B:$B,320)))),319,""),""),""))</f>
        <v/>
      </c>
    </row>
    <row r="321">
      <c r="A321">
        <f>IF('WSF DASHBOARD'!$B$4="Area",IF(320&lt;=$D$3,IF(OR('WSF DASHBOARD'!$C$4="",ISNUMBER(SEARCH('WSF DASHBOARD'!$C$4,INDEX(MASTER_AREAS!$B:$B,321)))),320,""),""),IF('WSF DASHBOARD'!$B$4="Zone",IF(320&lt;=$D$4,IF(OR('WSF DASHBOARD'!$C$4="",ISNUMBER(SEARCH('WSF DASHBOARD'!$C$4,INDEX(MASTER_ZONES!$B:$B,321)))),320,""),""),""))</f>
        <v/>
      </c>
      <c r="F321">
        <f>IF('TRANSPORT DASHBOARD'!$B$4="Area",IF(320&lt;=$I$3,IF(OR('TRANSPORT DASHBOARD'!$C$4="",ISNUMBER(SEARCH('TRANSPORT DASHBOARD'!$C$4,INDEX(MASTER_AREAS!$B:$B,321)))),320,""),""),IF('TRANSPORT DASHBOARD'!$B$4="Zone",IF(320&lt;=$I$4,IF(OR('TRANSPORT DASHBOARD'!$C$4="",ISNUMBER(SEARCH('TRANSPORT DASHBOARD'!$C$4,INDEX(MASTER_ZONES!$B:$B,321)))),320,""),""),""))</f>
        <v/>
      </c>
    </row>
    <row r="322">
      <c r="A322">
        <f>IF('WSF DASHBOARD'!$B$4="Area",IF(321&lt;=$D$3,IF(OR('WSF DASHBOARD'!$C$4="",ISNUMBER(SEARCH('WSF DASHBOARD'!$C$4,INDEX(MASTER_AREAS!$B:$B,322)))),321,""),""),IF('WSF DASHBOARD'!$B$4="Zone",IF(321&lt;=$D$4,IF(OR('WSF DASHBOARD'!$C$4="",ISNUMBER(SEARCH('WSF DASHBOARD'!$C$4,INDEX(MASTER_ZONES!$B:$B,322)))),321,""),""),""))</f>
        <v/>
      </c>
      <c r="F322">
        <f>IF('TRANSPORT DASHBOARD'!$B$4="Area",IF(321&lt;=$I$3,IF(OR('TRANSPORT DASHBOARD'!$C$4="",ISNUMBER(SEARCH('TRANSPORT DASHBOARD'!$C$4,INDEX(MASTER_AREAS!$B:$B,322)))),321,""),""),IF('TRANSPORT DASHBOARD'!$B$4="Zone",IF(321&lt;=$I$4,IF(OR('TRANSPORT DASHBOARD'!$C$4="",ISNUMBER(SEARCH('TRANSPORT DASHBOARD'!$C$4,INDEX(MASTER_ZONES!$B:$B,322)))),321,""),""),""))</f>
        <v/>
      </c>
    </row>
    <row r="323">
      <c r="A323">
        <f>IF('WSF DASHBOARD'!$B$4="Area",IF(322&lt;=$D$3,IF(OR('WSF DASHBOARD'!$C$4="",ISNUMBER(SEARCH('WSF DASHBOARD'!$C$4,INDEX(MASTER_AREAS!$B:$B,323)))),322,""),""),IF('WSF DASHBOARD'!$B$4="Zone",IF(322&lt;=$D$4,IF(OR('WSF DASHBOARD'!$C$4="",ISNUMBER(SEARCH('WSF DASHBOARD'!$C$4,INDEX(MASTER_ZONES!$B:$B,323)))),322,""),""),""))</f>
        <v/>
      </c>
      <c r="F323">
        <f>IF('TRANSPORT DASHBOARD'!$B$4="Area",IF(322&lt;=$I$3,IF(OR('TRANSPORT DASHBOARD'!$C$4="",ISNUMBER(SEARCH('TRANSPORT DASHBOARD'!$C$4,INDEX(MASTER_AREAS!$B:$B,323)))),322,""),""),IF('TRANSPORT DASHBOARD'!$B$4="Zone",IF(322&lt;=$I$4,IF(OR('TRANSPORT DASHBOARD'!$C$4="",ISNUMBER(SEARCH('TRANSPORT DASHBOARD'!$C$4,INDEX(MASTER_ZONES!$B:$B,323)))),322,""),""),""))</f>
        <v/>
      </c>
    </row>
    <row r="324">
      <c r="A324">
        <f>IF('WSF DASHBOARD'!$B$4="Area",IF(323&lt;=$D$3,IF(OR('WSF DASHBOARD'!$C$4="",ISNUMBER(SEARCH('WSF DASHBOARD'!$C$4,INDEX(MASTER_AREAS!$B:$B,324)))),323,""),""),IF('WSF DASHBOARD'!$B$4="Zone",IF(323&lt;=$D$4,IF(OR('WSF DASHBOARD'!$C$4="",ISNUMBER(SEARCH('WSF DASHBOARD'!$C$4,INDEX(MASTER_ZONES!$B:$B,324)))),323,""),""),""))</f>
        <v/>
      </c>
      <c r="F324">
        <f>IF('TRANSPORT DASHBOARD'!$B$4="Area",IF(323&lt;=$I$3,IF(OR('TRANSPORT DASHBOARD'!$C$4="",ISNUMBER(SEARCH('TRANSPORT DASHBOARD'!$C$4,INDEX(MASTER_AREAS!$B:$B,324)))),323,""),""),IF('TRANSPORT DASHBOARD'!$B$4="Zone",IF(323&lt;=$I$4,IF(OR('TRANSPORT DASHBOARD'!$C$4="",ISNUMBER(SEARCH('TRANSPORT DASHBOARD'!$C$4,INDEX(MASTER_ZONES!$B:$B,324)))),323,""),""),""))</f>
        <v/>
      </c>
    </row>
    <row r="325">
      <c r="A325">
        <f>IF('WSF DASHBOARD'!$B$4="Area",IF(324&lt;=$D$3,IF(OR('WSF DASHBOARD'!$C$4="",ISNUMBER(SEARCH('WSF DASHBOARD'!$C$4,INDEX(MASTER_AREAS!$B:$B,325)))),324,""),""),IF('WSF DASHBOARD'!$B$4="Zone",IF(324&lt;=$D$4,IF(OR('WSF DASHBOARD'!$C$4="",ISNUMBER(SEARCH('WSF DASHBOARD'!$C$4,INDEX(MASTER_ZONES!$B:$B,325)))),324,""),""),""))</f>
        <v/>
      </c>
      <c r="F325">
        <f>IF('TRANSPORT DASHBOARD'!$B$4="Area",IF(324&lt;=$I$3,IF(OR('TRANSPORT DASHBOARD'!$C$4="",ISNUMBER(SEARCH('TRANSPORT DASHBOARD'!$C$4,INDEX(MASTER_AREAS!$B:$B,325)))),324,""),""),IF('TRANSPORT DASHBOARD'!$B$4="Zone",IF(324&lt;=$I$4,IF(OR('TRANSPORT DASHBOARD'!$C$4="",ISNUMBER(SEARCH('TRANSPORT DASHBOARD'!$C$4,INDEX(MASTER_ZONES!$B:$B,325)))),324,""),""),""))</f>
        <v/>
      </c>
    </row>
    <row r="326">
      <c r="A326">
        <f>IF('WSF DASHBOARD'!$B$4="Area",IF(325&lt;=$D$3,IF(OR('WSF DASHBOARD'!$C$4="",ISNUMBER(SEARCH('WSF DASHBOARD'!$C$4,INDEX(MASTER_AREAS!$B:$B,326)))),325,""),""),IF('WSF DASHBOARD'!$B$4="Zone",IF(325&lt;=$D$4,IF(OR('WSF DASHBOARD'!$C$4="",ISNUMBER(SEARCH('WSF DASHBOARD'!$C$4,INDEX(MASTER_ZONES!$B:$B,326)))),325,""),""),""))</f>
        <v/>
      </c>
      <c r="F326">
        <f>IF('TRANSPORT DASHBOARD'!$B$4="Area",IF(325&lt;=$I$3,IF(OR('TRANSPORT DASHBOARD'!$C$4="",ISNUMBER(SEARCH('TRANSPORT DASHBOARD'!$C$4,INDEX(MASTER_AREAS!$B:$B,326)))),325,""),""),IF('TRANSPORT DASHBOARD'!$B$4="Zone",IF(325&lt;=$I$4,IF(OR('TRANSPORT DASHBOARD'!$C$4="",ISNUMBER(SEARCH('TRANSPORT DASHBOARD'!$C$4,INDEX(MASTER_ZONES!$B:$B,326)))),325,""),""),""))</f>
        <v/>
      </c>
    </row>
    <row r="327">
      <c r="A327">
        <f>IF('WSF DASHBOARD'!$B$4="Area",IF(326&lt;=$D$3,IF(OR('WSF DASHBOARD'!$C$4="",ISNUMBER(SEARCH('WSF DASHBOARD'!$C$4,INDEX(MASTER_AREAS!$B:$B,327)))),326,""),""),IF('WSF DASHBOARD'!$B$4="Zone",IF(326&lt;=$D$4,IF(OR('WSF DASHBOARD'!$C$4="",ISNUMBER(SEARCH('WSF DASHBOARD'!$C$4,INDEX(MASTER_ZONES!$B:$B,327)))),326,""),""),""))</f>
        <v/>
      </c>
      <c r="F327">
        <f>IF('TRANSPORT DASHBOARD'!$B$4="Area",IF(326&lt;=$I$3,IF(OR('TRANSPORT DASHBOARD'!$C$4="",ISNUMBER(SEARCH('TRANSPORT DASHBOARD'!$C$4,INDEX(MASTER_AREAS!$B:$B,327)))),326,""),""),IF('TRANSPORT DASHBOARD'!$B$4="Zone",IF(326&lt;=$I$4,IF(OR('TRANSPORT DASHBOARD'!$C$4="",ISNUMBER(SEARCH('TRANSPORT DASHBOARD'!$C$4,INDEX(MASTER_ZONES!$B:$B,327)))),326,""),""),""))</f>
        <v/>
      </c>
    </row>
    <row r="328">
      <c r="A328">
        <f>IF('WSF DASHBOARD'!$B$4="Area",IF(327&lt;=$D$3,IF(OR('WSF DASHBOARD'!$C$4="",ISNUMBER(SEARCH('WSF DASHBOARD'!$C$4,INDEX(MASTER_AREAS!$B:$B,328)))),327,""),""),IF('WSF DASHBOARD'!$B$4="Zone",IF(327&lt;=$D$4,IF(OR('WSF DASHBOARD'!$C$4="",ISNUMBER(SEARCH('WSF DASHBOARD'!$C$4,INDEX(MASTER_ZONES!$B:$B,328)))),327,""),""),""))</f>
        <v/>
      </c>
      <c r="F328">
        <f>IF('TRANSPORT DASHBOARD'!$B$4="Area",IF(327&lt;=$I$3,IF(OR('TRANSPORT DASHBOARD'!$C$4="",ISNUMBER(SEARCH('TRANSPORT DASHBOARD'!$C$4,INDEX(MASTER_AREAS!$B:$B,328)))),327,""),""),IF('TRANSPORT DASHBOARD'!$B$4="Zone",IF(327&lt;=$I$4,IF(OR('TRANSPORT DASHBOARD'!$C$4="",ISNUMBER(SEARCH('TRANSPORT DASHBOARD'!$C$4,INDEX(MASTER_ZONES!$B:$B,328)))),327,""),""),""))</f>
        <v/>
      </c>
    </row>
    <row r="329">
      <c r="A329">
        <f>IF('WSF DASHBOARD'!$B$4="Area",IF(328&lt;=$D$3,IF(OR('WSF DASHBOARD'!$C$4="",ISNUMBER(SEARCH('WSF DASHBOARD'!$C$4,INDEX(MASTER_AREAS!$B:$B,329)))),328,""),""),IF('WSF DASHBOARD'!$B$4="Zone",IF(328&lt;=$D$4,IF(OR('WSF DASHBOARD'!$C$4="",ISNUMBER(SEARCH('WSF DASHBOARD'!$C$4,INDEX(MASTER_ZONES!$B:$B,329)))),328,""),""),""))</f>
        <v/>
      </c>
      <c r="F329">
        <f>IF('TRANSPORT DASHBOARD'!$B$4="Area",IF(328&lt;=$I$3,IF(OR('TRANSPORT DASHBOARD'!$C$4="",ISNUMBER(SEARCH('TRANSPORT DASHBOARD'!$C$4,INDEX(MASTER_AREAS!$B:$B,329)))),328,""),""),IF('TRANSPORT DASHBOARD'!$B$4="Zone",IF(328&lt;=$I$4,IF(OR('TRANSPORT DASHBOARD'!$C$4="",ISNUMBER(SEARCH('TRANSPORT DASHBOARD'!$C$4,INDEX(MASTER_ZONES!$B:$B,329)))),328,""),""),""))</f>
        <v/>
      </c>
    </row>
    <row r="330">
      <c r="A330">
        <f>IF('WSF DASHBOARD'!$B$4="Area",IF(329&lt;=$D$3,IF(OR('WSF DASHBOARD'!$C$4="",ISNUMBER(SEARCH('WSF DASHBOARD'!$C$4,INDEX(MASTER_AREAS!$B:$B,330)))),329,""),""),IF('WSF DASHBOARD'!$B$4="Zone",IF(329&lt;=$D$4,IF(OR('WSF DASHBOARD'!$C$4="",ISNUMBER(SEARCH('WSF DASHBOARD'!$C$4,INDEX(MASTER_ZONES!$B:$B,330)))),329,""),""),""))</f>
        <v/>
      </c>
      <c r="F330">
        <f>IF('TRANSPORT DASHBOARD'!$B$4="Area",IF(329&lt;=$I$3,IF(OR('TRANSPORT DASHBOARD'!$C$4="",ISNUMBER(SEARCH('TRANSPORT DASHBOARD'!$C$4,INDEX(MASTER_AREAS!$B:$B,330)))),329,""),""),IF('TRANSPORT DASHBOARD'!$B$4="Zone",IF(329&lt;=$I$4,IF(OR('TRANSPORT DASHBOARD'!$C$4="",ISNUMBER(SEARCH('TRANSPORT DASHBOARD'!$C$4,INDEX(MASTER_ZONES!$B:$B,330)))),329,""),""),""))</f>
        <v/>
      </c>
    </row>
    <row r="331">
      <c r="A331">
        <f>IF('WSF DASHBOARD'!$B$4="Area",IF(330&lt;=$D$3,IF(OR('WSF DASHBOARD'!$C$4="",ISNUMBER(SEARCH('WSF DASHBOARD'!$C$4,INDEX(MASTER_AREAS!$B:$B,331)))),330,""),""),IF('WSF DASHBOARD'!$B$4="Zone",IF(330&lt;=$D$4,IF(OR('WSF DASHBOARD'!$C$4="",ISNUMBER(SEARCH('WSF DASHBOARD'!$C$4,INDEX(MASTER_ZONES!$B:$B,331)))),330,""),""),""))</f>
        <v/>
      </c>
      <c r="F331">
        <f>IF('TRANSPORT DASHBOARD'!$B$4="Area",IF(330&lt;=$I$3,IF(OR('TRANSPORT DASHBOARD'!$C$4="",ISNUMBER(SEARCH('TRANSPORT DASHBOARD'!$C$4,INDEX(MASTER_AREAS!$B:$B,331)))),330,""),""),IF('TRANSPORT DASHBOARD'!$B$4="Zone",IF(330&lt;=$I$4,IF(OR('TRANSPORT DASHBOARD'!$C$4="",ISNUMBER(SEARCH('TRANSPORT DASHBOARD'!$C$4,INDEX(MASTER_ZONES!$B:$B,331)))),330,""),""),""))</f>
        <v/>
      </c>
    </row>
    <row r="332">
      <c r="A332">
        <f>IF('WSF DASHBOARD'!$B$4="Area",IF(331&lt;=$D$3,IF(OR('WSF DASHBOARD'!$C$4="",ISNUMBER(SEARCH('WSF DASHBOARD'!$C$4,INDEX(MASTER_AREAS!$B:$B,332)))),331,""),""),IF('WSF DASHBOARD'!$B$4="Zone",IF(331&lt;=$D$4,IF(OR('WSF DASHBOARD'!$C$4="",ISNUMBER(SEARCH('WSF DASHBOARD'!$C$4,INDEX(MASTER_ZONES!$B:$B,332)))),331,""),""),""))</f>
        <v/>
      </c>
      <c r="F332">
        <f>IF('TRANSPORT DASHBOARD'!$B$4="Area",IF(331&lt;=$I$3,IF(OR('TRANSPORT DASHBOARD'!$C$4="",ISNUMBER(SEARCH('TRANSPORT DASHBOARD'!$C$4,INDEX(MASTER_AREAS!$B:$B,332)))),331,""),""),IF('TRANSPORT DASHBOARD'!$B$4="Zone",IF(331&lt;=$I$4,IF(OR('TRANSPORT DASHBOARD'!$C$4="",ISNUMBER(SEARCH('TRANSPORT DASHBOARD'!$C$4,INDEX(MASTER_ZONES!$B:$B,332)))),331,""),""),""))</f>
        <v/>
      </c>
    </row>
    <row r="333">
      <c r="A333">
        <f>IF('WSF DASHBOARD'!$B$4="Area",IF(332&lt;=$D$3,IF(OR('WSF DASHBOARD'!$C$4="",ISNUMBER(SEARCH('WSF DASHBOARD'!$C$4,INDEX(MASTER_AREAS!$B:$B,333)))),332,""),""),IF('WSF DASHBOARD'!$B$4="Zone",IF(332&lt;=$D$4,IF(OR('WSF DASHBOARD'!$C$4="",ISNUMBER(SEARCH('WSF DASHBOARD'!$C$4,INDEX(MASTER_ZONES!$B:$B,333)))),332,""),""),""))</f>
        <v/>
      </c>
      <c r="F333">
        <f>IF('TRANSPORT DASHBOARD'!$B$4="Area",IF(332&lt;=$I$3,IF(OR('TRANSPORT DASHBOARD'!$C$4="",ISNUMBER(SEARCH('TRANSPORT DASHBOARD'!$C$4,INDEX(MASTER_AREAS!$B:$B,333)))),332,""),""),IF('TRANSPORT DASHBOARD'!$B$4="Zone",IF(332&lt;=$I$4,IF(OR('TRANSPORT DASHBOARD'!$C$4="",ISNUMBER(SEARCH('TRANSPORT DASHBOARD'!$C$4,INDEX(MASTER_ZONES!$B:$B,333)))),332,""),""),""))</f>
        <v/>
      </c>
    </row>
    <row r="334">
      <c r="A334">
        <f>IF('WSF DASHBOARD'!$B$4="Area",IF(333&lt;=$D$3,IF(OR('WSF DASHBOARD'!$C$4="",ISNUMBER(SEARCH('WSF DASHBOARD'!$C$4,INDEX(MASTER_AREAS!$B:$B,334)))),333,""),""),IF('WSF DASHBOARD'!$B$4="Zone",IF(333&lt;=$D$4,IF(OR('WSF DASHBOARD'!$C$4="",ISNUMBER(SEARCH('WSF DASHBOARD'!$C$4,INDEX(MASTER_ZONES!$B:$B,334)))),333,""),""),""))</f>
        <v/>
      </c>
      <c r="F334">
        <f>IF('TRANSPORT DASHBOARD'!$B$4="Area",IF(333&lt;=$I$3,IF(OR('TRANSPORT DASHBOARD'!$C$4="",ISNUMBER(SEARCH('TRANSPORT DASHBOARD'!$C$4,INDEX(MASTER_AREAS!$B:$B,334)))),333,""),""),IF('TRANSPORT DASHBOARD'!$B$4="Zone",IF(333&lt;=$I$4,IF(OR('TRANSPORT DASHBOARD'!$C$4="",ISNUMBER(SEARCH('TRANSPORT DASHBOARD'!$C$4,INDEX(MASTER_ZONES!$B:$B,334)))),333,""),""),""))</f>
        <v/>
      </c>
    </row>
    <row r="335">
      <c r="A335">
        <f>IF('WSF DASHBOARD'!$B$4="Area",IF(334&lt;=$D$3,IF(OR('WSF DASHBOARD'!$C$4="",ISNUMBER(SEARCH('WSF DASHBOARD'!$C$4,INDEX(MASTER_AREAS!$B:$B,335)))),334,""),""),IF('WSF DASHBOARD'!$B$4="Zone",IF(334&lt;=$D$4,IF(OR('WSF DASHBOARD'!$C$4="",ISNUMBER(SEARCH('WSF DASHBOARD'!$C$4,INDEX(MASTER_ZONES!$B:$B,335)))),334,""),""),""))</f>
        <v/>
      </c>
      <c r="F335">
        <f>IF('TRANSPORT DASHBOARD'!$B$4="Area",IF(334&lt;=$I$3,IF(OR('TRANSPORT DASHBOARD'!$C$4="",ISNUMBER(SEARCH('TRANSPORT DASHBOARD'!$C$4,INDEX(MASTER_AREAS!$B:$B,335)))),334,""),""),IF('TRANSPORT DASHBOARD'!$B$4="Zone",IF(334&lt;=$I$4,IF(OR('TRANSPORT DASHBOARD'!$C$4="",ISNUMBER(SEARCH('TRANSPORT DASHBOARD'!$C$4,INDEX(MASTER_ZONES!$B:$B,335)))),334,""),""),""))</f>
        <v/>
      </c>
    </row>
    <row r="336">
      <c r="A336">
        <f>IF('WSF DASHBOARD'!$B$4="Area",IF(335&lt;=$D$3,IF(OR('WSF DASHBOARD'!$C$4="",ISNUMBER(SEARCH('WSF DASHBOARD'!$C$4,INDEX(MASTER_AREAS!$B:$B,336)))),335,""),""),IF('WSF DASHBOARD'!$B$4="Zone",IF(335&lt;=$D$4,IF(OR('WSF DASHBOARD'!$C$4="",ISNUMBER(SEARCH('WSF DASHBOARD'!$C$4,INDEX(MASTER_ZONES!$B:$B,336)))),335,""),""),""))</f>
        <v/>
      </c>
      <c r="F336">
        <f>IF('TRANSPORT DASHBOARD'!$B$4="Area",IF(335&lt;=$I$3,IF(OR('TRANSPORT DASHBOARD'!$C$4="",ISNUMBER(SEARCH('TRANSPORT DASHBOARD'!$C$4,INDEX(MASTER_AREAS!$B:$B,336)))),335,""),""),IF('TRANSPORT DASHBOARD'!$B$4="Zone",IF(335&lt;=$I$4,IF(OR('TRANSPORT DASHBOARD'!$C$4="",ISNUMBER(SEARCH('TRANSPORT DASHBOARD'!$C$4,INDEX(MASTER_ZONES!$B:$B,336)))),335,""),""),""))</f>
        <v/>
      </c>
    </row>
    <row r="337">
      <c r="A337">
        <f>IF('WSF DASHBOARD'!$B$4="Area",IF(336&lt;=$D$3,IF(OR('WSF DASHBOARD'!$C$4="",ISNUMBER(SEARCH('WSF DASHBOARD'!$C$4,INDEX(MASTER_AREAS!$B:$B,337)))),336,""),""),IF('WSF DASHBOARD'!$B$4="Zone",IF(336&lt;=$D$4,IF(OR('WSF DASHBOARD'!$C$4="",ISNUMBER(SEARCH('WSF DASHBOARD'!$C$4,INDEX(MASTER_ZONES!$B:$B,337)))),336,""),""),""))</f>
        <v/>
      </c>
      <c r="F337">
        <f>IF('TRANSPORT DASHBOARD'!$B$4="Area",IF(336&lt;=$I$3,IF(OR('TRANSPORT DASHBOARD'!$C$4="",ISNUMBER(SEARCH('TRANSPORT DASHBOARD'!$C$4,INDEX(MASTER_AREAS!$B:$B,337)))),336,""),""),IF('TRANSPORT DASHBOARD'!$B$4="Zone",IF(336&lt;=$I$4,IF(OR('TRANSPORT DASHBOARD'!$C$4="",ISNUMBER(SEARCH('TRANSPORT DASHBOARD'!$C$4,INDEX(MASTER_ZONES!$B:$B,337)))),336,""),""),""))</f>
        <v/>
      </c>
    </row>
    <row r="338">
      <c r="A338">
        <f>IF('WSF DASHBOARD'!$B$4="Area",IF(337&lt;=$D$3,IF(OR('WSF DASHBOARD'!$C$4="",ISNUMBER(SEARCH('WSF DASHBOARD'!$C$4,INDEX(MASTER_AREAS!$B:$B,338)))),337,""),""),IF('WSF DASHBOARD'!$B$4="Zone",IF(337&lt;=$D$4,IF(OR('WSF DASHBOARD'!$C$4="",ISNUMBER(SEARCH('WSF DASHBOARD'!$C$4,INDEX(MASTER_ZONES!$B:$B,338)))),337,""),""),""))</f>
        <v/>
      </c>
      <c r="F338">
        <f>IF('TRANSPORT DASHBOARD'!$B$4="Area",IF(337&lt;=$I$3,IF(OR('TRANSPORT DASHBOARD'!$C$4="",ISNUMBER(SEARCH('TRANSPORT DASHBOARD'!$C$4,INDEX(MASTER_AREAS!$B:$B,338)))),337,""),""),IF('TRANSPORT DASHBOARD'!$B$4="Zone",IF(337&lt;=$I$4,IF(OR('TRANSPORT DASHBOARD'!$C$4="",ISNUMBER(SEARCH('TRANSPORT DASHBOARD'!$C$4,INDEX(MASTER_ZONES!$B:$B,338)))),337,""),""),""))</f>
        <v/>
      </c>
    </row>
    <row r="339">
      <c r="A339">
        <f>IF('WSF DASHBOARD'!$B$4="Area",IF(338&lt;=$D$3,IF(OR('WSF DASHBOARD'!$C$4="",ISNUMBER(SEARCH('WSF DASHBOARD'!$C$4,INDEX(MASTER_AREAS!$B:$B,339)))),338,""),""),IF('WSF DASHBOARD'!$B$4="Zone",IF(338&lt;=$D$4,IF(OR('WSF DASHBOARD'!$C$4="",ISNUMBER(SEARCH('WSF DASHBOARD'!$C$4,INDEX(MASTER_ZONES!$B:$B,339)))),338,""),""),""))</f>
        <v/>
      </c>
      <c r="F339">
        <f>IF('TRANSPORT DASHBOARD'!$B$4="Area",IF(338&lt;=$I$3,IF(OR('TRANSPORT DASHBOARD'!$C$4="",ISNUMBER(SEARCH('TRANSPORT DASHBOARD'!$C$4,INDEX(MASTER_AREAS!$B:$B,339)))),338,""),""),IF('TRANSPORT DASHBOARD'!$B$4="Zone",IF(338&lt;=$I$4,IF(OR('TRANSPORT DASHBOARD'!$C$4="",ISNUMBER(SEARCH('TRANSPORT DASHBOARD'!$C$4,INDEX(MASTER_ZONES!$B:$B,339)))),338,""),""),""))</f>
        <v/>
      </c>
    </row>
    <row r="340">
      <c r="A340">
        <f>IF('WSF DASHBOARD'!$B$4="Area",IF(339&lt;=$D$3,IF(OR('WSF DASHBOARD'!$C$4="",ISNUMBER(SEARCH('WSF DASHBOARD'!$C$4,INDEX(MASTER_AREAS!$B:$B,340)))),339,""),""),IF('WSF DASHBOARD'!$B$4="Zone",IF(339&lt;=$D$4,IF(OR('WSF DASHBOARD'!$C$4="",ISNUMBER(SEARCH('WSF DASHBOARD'!$C$4,INDEX(MASTER_ZONES!$B:$B,340)))),339,""),""),""))</f>
        <v/>
      </c>
      <c r="F340">
        <f>IF('TRANSPORT DASHBOARD'!$B$4="Area",IF(339&lt;=$I$3,IF(OR('TRANSPORT DASHBOARD'!$C$4="",ISNUMBER(SEARCH('TRANSPORT DASHBOARD'!$C$4,INDEX(MASTER_AREAS!$B:$B,340)))),339,""),""),IF('TRANSPORT DASHBOARD'!$B$4="Zone",IF(339&lt;=$I$4,IF(OR('TRANSPORT DASHBOARD'!$C$4="",ISNUMBER(SEARCH('TRANSPORT DASHBOARD'!$C$4,INDEX(MASTER_ZONES!$B:$B,340)))),339,""),""),""))</f>
        <v/>
      </c>
    </row>
    <row r="341">
      <c r="A341">
        <f>IF('WSF DASHBOARD'!$B$4="Area",IF(340&lt;=$D$3,IF(OR('WSF DASHBOARD'!$C$4="",ISNUMBER(SEARCH('WSF DASHBOARD'!$C$4,INDEX(MASTER_AREAS!$B:$B,341)))),340,""),""),IF('WSF DASHBOARD'!$B$4="Zone",IF(340&lt;=$D$4,IF(OR('WSF DASHBOARD'!$C$4="",ISNUMBER(SEARCH('WSF DASHBOARD'!$C$4,INDEX(MASTER_ZONES!$B:$B,341)))),340,""),""),""))</f>
        <v/>
      </c>
      <c r="F341">
        <f>IF('TRANSPORT DASHBOARD'!$B$4="Area",IF(340&lt;=$I$3,IF(OR('TRANSPORT DASHBOARD'!$C$4="",ISNUMBER(SEARCH('TRANSPORT DASHBOARD'!$C$4,INDEX(MASTER_AREAS!$B:$B,341)))),340,""),""),IF('TRANSPORT DASHBOARD'!$B$4="Zone",IF(340&lt;=$I$4,IF(OR('TRANSPORT DASHBOARD'!$C$4="",ISNUMBER(SEARCH('TRANSPORT DASHBOARD'!$C$4,INDEX(MASTER_ZONES!$B:$B,341)))),340,""),""),""))</f>
        <v/>
      </c>
    </row>
    <row r="342">
      <c r="A342">
        <f>IF('WSF DASHBOARD'!$B$4="Area",IF(341&lt;=$D$3,IF(OR('WSF DASHBOARD'!$C$4="",ISNUMBER(SEARCH('WSF DASHBOARD'!$C$4,INDEX(MASTER_AREAS!$B:$B,342)))),341,""),""),IF('WSF DASHBOARD'!$B$4="Zone",IF(341&lt;=$D$4,IF(OR('WSF DASHBOARD'!$C$4="",ISNUMBER(SEARCH('WSF DASHBOARD'!$C$4,INDEX(MASTER_ZONES!$B:$B,342)))),341,""),""),""))</f>
        <v/>
      </c>
      <c r="F342">
        <f>IF('TRANSPORT DASHBOARD'!$B$4="Area",IF(341&lt;=$I$3,IF(OR('TRANSPORT DASHBOARD'!$C$4="",ISNUMBER(SEARCH('TRANSPORT DASHBOARD'!$C$4,INDEX(MASTER_AREAS!$B:$B,342)))),341,""),""),IF('TRANSPORT DASHBOARD'!$B$4="Zone",IF(341&lt;=$I$4,IF(OR('TRANSPORT DASHBOARD'!$C$4="",ISNUMBER(SEARCH('TRANSPORT DASHBOARD'!$C$4,INDEX(MASTER_ZONES!$B:$B,342)))),341,""),""),""))</f>
        <v/>
      </c>
    </row>
    <row r="343">
      <c r="A343">
        <f>IF('WSF DASHBOARD'!$B$4="Area",IF(342&lt;=$D$3,IF(OR('WSF DASHBOARD'!$C$4="",ISNUMBER(SEARCH('WSF DASHBOARD'!$C$4,INDEX(MASTER_AREAS!$B:$B,343)))),342,""),""),IF('WSF DASHBOARD'!$B$4="Zone",IF(342&lt;=$D$4,IF(OR('WSF DASHBOARD'!$C$4="",ISNUMBER(SEARCH('WSF DASHBOARD'!$C$4,INDEX(MASTER_ZONES!$B:$B,343)))),342,""),""),""))</f>
        <v/>
      </c>
      <c r="F343">
        <f>IF('TRANSPORT DASHBOARD'!$B$4="Area",IF(342&lt;=$I$3,IF(OR('TRANSPORT DASHBOARD'!$C$4="",ISNUMBER(SEARCH('TRANSPORT DASHBOARD'!$C$4,INDEX(MASTER_AREAS!$B:$B,343)))),342,""),""),IF('TRANSPORT DASHBOARD'!$B$4="Zone",IF(342&lt;=$I$4,IF(OR('TRANSPORT DASHBOARD'!$C$4="",ISNUMBER(SEARCH('TRANSPORT DASHBOARD'!$C$4,INDEX(MASTER_ZONES!$B:$B,343)))),342,""),""),""))</f>
        <v/>
      </c>
    </row>
    <row r="344">
      <c r="A344">
        <f>IF('WSF DASHBOARD'!$B$4="Area",IF(343&lt;=$D$3,IF(OR('WSF DASHBOARD'!$C$4="",ISNUMBER(SEARCH('WSF DASHBOARD'!$C$4,INDEX(MASTER_AREAS!$B:$B,344)))),343,""),""),IF('WSF DASHBOARD'!$B$4="Zone",IF(343&lt;=$D$4,IF(OR('WSF DASHBOARD'!$C$4="",ISNUMBER(SEARCH('WSF DASHBOARD'!$C$4,INDEX(MASTER_ZONES!$B:$B,344)))),343,""),""),""))</f>
        <v/>
      </c>
      <c r="F344">
        <f>IF('TRANSPORT DASHBOARD'!$B$4="Area",IF(343&lt;=$I$3,IF(OR('TRANSPORT DASHBOARD'!$C$4="",ISNUMBER(SEARCH('TRANSPORT DASHBOARD'!$C$4,INDEX(MASTER_AREAS!$B:$B,344)))),343,""),""),IF('TRANSPORT DASHBOARD'!$B$4="Zone",IF(343&lt;=$I$4,IF(OR('TRANSPORT DASHBOARD'!$C$4="",ISNUMBER(SEARCH('TRANSPORT DASHBOARD'!$C$4,INDEX(MASTER_ZONES!$B:$B,344)))),343,""),""),""))</f>
        <v/>
      </c>
    </row>
    <row r="345">
      <c r="A345">
        <f>IF('WSF DASHBOARD'!$B$4="Area",IF(344&lt;=$D$3,IF(OR('WSF DASHBOARD'!$C$4="",ISNUMBER(SEARCH('WSF DASHBOARD'!$C$4,INDEX(MASTER_AREAS!$B:$B,345)))),344,""),""),IF('WSF DASHBOARD'!$B$4="Zone",IF(344&lt;=$D$4,IF(OR('WSF DASHBOARD'!$C$4="",ISNUMBER(SEARCH('WSF DASHBOARD'!$C$4,INDEX(MASTER_ZONES!$B:$B,345)))),344,""),""),""))</f>
        <v/>
      </c>
      <c r="F345">
        <f>IF('TRANSPORT DASHBOARD'!$B$4="Area",IF(344&lt;=$I$3,IF(OR('TRANSPORT DASHBOARD'!$C$4="",ISNUMBER(SEARCH('TRANSPORT DASHBOARD'!$C$4,INDEX(MASTER_AREAS!$B:$B,345)))),344,""),""),IF('TRANSPORT DASHBOARD'!$B$4="Zone",IF(344&lt;=$I$4,IF(OR('TRANSPORT DASHBOARD'!$C$4="",ISNUMBER(SEARCH('TRANSPORT DASHBOARD'!$C$4,INDEX(MASTER_ZONES!$B:$B,345)))),344,""),""),""))</f>
        <v/>
      </c>
    </row>
    <row r="346">
      <c r="A346">
        <f>IF('WSF DASHBOARD'!$B$4="Area",IF(345&lt;=$D$3,IF(OR('WSF DASHBOARD'!$C$4="",ISNUMBER(SEARCH('WSF DASHBOARD'!$C$4,INDEX(MASTER_AREAS!$B:$B,346)))),345,""),""),IF('WSF DASHBOARD'!$B$4="Zone",IF(345&lt;=$D$4,IF(OR('WSF DASHBOARD'!$C$4="",ISNUMBER(SEARCH('WSF DASHBOARD'!$C$4,INDEX(MASTER_ZONES!$B:$B,346)))),345,""),""),""))</f>
        <v/>
      </c>
      <c r="F346">
        <f>IF('TRANSPORT DASHBOARD'!$B$4="Area",IF(345&lt;=$I$3,IF(OR('TRANSPORT DASHBOARD'!$C$4="",ISNUMBER(SEARCH('TRANSPORT DASHBOARD'!$C$4,INDEX(MASTER_AREAS!$B:$B,346)))),345,""),""),IF('TRANSPORT DASHBOARD'!$B$4="Zone",IF(345&lt;=$I$4,IF(OR('TRANSPORT DASHBOARD'!$C$4="",ISNUMBER(SEARCH('TRANSPORT DASHBOARD'!$C$4,INDEX(MASTER_ZONES!$B:$B,346)))),345,""),""),""))</f>
        <v/>
      </c>
    </row>
    <row r="347">
      <c r="A347">
        <f>IF('WSF DASHBOARD'!$B$4="Area",IF(346&lt;=$D$3,IF(OR('WSF DASHBOARD'!$C$4="",ISNUMBER(SEARCH('WSF DASHBOARD'!$C$4,INDEX(MASTER_AREAS!$B:$B,347)))),346,""),""),IF('WSF DASHBOARD'!$B$4="Zone",IF(346&lt;=$D$4,IF(OR('WSF DASHBOARD'!$C$4="",ISNUMBER(SEARCH('WSF DASHBOARD'!$C$4,INDEX(MASTER_ZONES!$B:$B,347)))),346,""),""),""))</f>
        <v/>
      </c>
      <c r="F347">
        <f>IF('TRANSPORT DASHBOARD'!$B$4="Area",IF(346&lt;=$I$3,IF(OR('TRANSPORT DASHBOARD'!$C$4="",ISNUMBER(SEARCH('TRANSPORT DASHBOARD'!$C$4,INDEX(MASTER_AREAS!$B:$B,347)))),346,""),""),IF('TRANSPORT DASHBOARD'!$B$4="Zone",IF(346&lt;=$I$4,IF(OR('TRANSPORT DASHBOARD'!$C$4="",ISNUMBER(SEARCH('TRANSPORT DASHBOARD'!$C$4,INDEX(MASTER_ZONES!$B:$B,347)))),346,""),""),""))</f>
        <v/>
      </c>
    </row>
    <row r="348">
      <c r="A348">
        <f>IF('WSF DASHBOARD'!$B$4="Area",IF(347&lt;=$D$3,IF(OR('WSF DASHBOARD'!$C$4="",ISNUMBER(SEARCH('WSF DASHBOARD'!$C$4,INDEX(MASTER_AREAS!$B:$B,348)))),347,""),""),IF('WSF DASHBOARD'!$B$4="Zone",IF(347&lt;=$D$4,IF(OR('WSF DASHBOARD'!$C$4="",ISNUMBER(SEARCH('WSF DASHBOARD'!$C$4,INDEX(MASTER_ZONES!$B:$B,348)))),347,""),""),""))</f>
        <v/>
      </c>
      <c r="F348">
        <f>IF('TRANSPORT DASHBOARD'!$B$4="Area",IF(347&lt;=$I$3,IF(OR('TRANSPORT DASHBOARD'!$C$4="",ISNUMBER(SEARCH('TRANSPORT DASHBOARD'!$C$4,INDEX(MASTER_AREAS!$B:$B,348)))),347,""),""),IF('TRANSPORT DASHBOARD'!$B$4="Zone",IF(347&lt;=$I$4,IF(OR('TRANSPORT DASHBOARD'!$C$4="",ISNUMBER(SEARCH('TRANSPORT DASHBOARD'!$C$4,INDEX(MASTER_ZONES!$B:$B,348)))),347,""),""),""))</f>
        <v/>
      </c>
    </row>
    <row r="349">
      <c r="A349">
        <f>IF('WSF DASHBOARD'!$B$4="Area",IF(348&lt;=$D$3,IF(OR('WSF DASHBOARD'!$C$4="",ISNUMBER(SEARCH('WSF DASHBOARD'!$C$4,INDEX(MASTER_AREAS!$B:$B,349)))),348,""),""),IF('WSF DASHBOARD'!$B$4="Zone",IF(348&lt;=$D$4,IF(OR('WSF DASHBOARD'!$C$4="",ISNUMBER(SEARCH('WSF DASHBOARD'!$C$4,INDEX(MASTER_ZONES!$B:$B,349)))),348,""),""),""))</f>
        <v/>
      </c>
      <c r="F349">
        <f>IF('TRANSPORT DASHBOARD'!$B$4="Area",IF(348&lt;=$I$3,IF(OR('TRANSPORT DASHBOARD'!$C$4="",ISNUMBER(SEARCH('TRANSPORT DASHBOARD'!$C$4,INDEX(MASTER_AREAS!$B:$B,349)))),348,""),""),IF('TRANSPORT DASHBOARD'!$B$4="Zone",IF(348&lt;=$I$4,IF(OR('TRANSPORT DASHBOARD'!$C$4="",ISNUMBER(SEARCH('TRANSPORT DASHBOARD'!$C$4,INDEX(MASTER_ZONES!$B:$B,349)))),348,""),""),""))</f>
        <v/>
      </c>
    </row>
    <row r="350">
      <c r="A350">
        <f>IF('WSF DASHBOARD'!$B$4="Area",IF(349&lt;=$D$3,IF(OR('WSF DASHBOARD'!$C$4="",ISNUMBER(SEARCH('WSF DASHBOARD'!$C$4,INDEX(MASTER_AREAS!$B:$B,350)))),349,""),""),IF('WSF DASHBOARD'!$B$4="Zone",IF(349&lt;=$D$4,IF(OR('WSF DASHBOARD'!$C$4="",ISNUMBER(SEARCH('WSF DASHBOARD'!$C$4,INDEX(MASTER_ZONES!$B:$B,350)))),349,""),""),""))</f>
        <v/>
      </c>
      <c r="F350">
        <f>IF('TRANSPORT DASHBOARD'!$B$4="Area",IF(349&lt;=$I$3,IF(OR('TRANSPORT DASHBOARD'!$C$4="",ISNUMBER(SEARCH('TRANSPORT DASHBOARD'!$C$4,INDEX(MASTER_AREAS!$B:$B,350)))),349,""),""),IF('TRANSPORT DASHBOARD'!$B$4="Zone",IF(349&lt;=$I$4,IF(OR('TRANSPORT DASHBOARD'!$C$4="",ISNUMBER(SEARCH('TRANSPORT DASHBOARD'!$C$4,INDEX(MASTER_ZONES!$B:$B,350)))),349,""),""),""))</f>
        <v/>
      </c>
    </row>
    <row r="351">
      <c r="A351">
        <f>IF('WSF DASHBOARD'!$B$4="Area",IF(350&lt;=$D$3,IF(OR('WSF DASHBOARD'!$C$4="",ISNUMBER(SEARCH('WSF DASHBOARD'!$C$4,INDEX(MASTER_AREAS!$B:$B,351)))),350,""),""),IF('WSF DASHBOARD'!$B$4="Zone",IF(350&lt;=$D$4,IF(OR('WSF DASHBOARD'!$C$4="",ISNUMBER(SEARCH('WSF DASHBOARD'!$C$4,INDEX(MASTER_ZONES!$B:$B,351)))),350,""),""),""))</f>
        <v/>
      </c>
      <c r="F351">
        <f>IF('TRANSPORT DASHBOARD'!$B$4="Area",IF(350&lt;=$I$3,IF(OR('TRANSPORT DASHBOARD'!$C$4="",ISNUMBER(SEARCH('TRANSPORT DASHBOARD'!$C$4,INDEX(MASTER_AREAS!$B:$B,351)))),350,""),""),IF('TRANSPORT DASHBOARD'!$B$4="Zone",IF(350&lt;=$I$4,IF(OR('TRANSPORT DASHBOARD'!$C$4="",ISNUMBER(SEARCH('TRANSPORT DASHBOARD'!$C$4,INDEX(MASTER_ZONES!$B:$B,351)))),350,""),""),""))</f>
        <v/>
      </c>
    </row>
    <row r="352">
      <c r="A352">
        <f>IF('WSF DASHBOARD'!$B$4="Area",IF(351&lt;=$D$3,IF(OR('WSF DASHBOARD'!$C$4="",ISNUMBER(SEARCH('WSF DASHBOARD'!$C$4,INDEX(MASTER_AREAS!$B:$B,352)))),351,""),""),IF('WSF DASHBOARD'!$B$4="Zone",IF(351&lt;=$D$4,IF(OR('WSF DASHBOARD'!$C$4="",ISNUMBER(SEARCH('WSF DASHBOARD'!$C$4,INDEX(MASTER_ZONES!$B:$B,352)))),351,""),""),""))</f>
        <v/>
      </c>
      <c r="F352">
        <f>IF('TRANSPORT DASHBOARD'!$B$4="Area",IF(351&lt;=$I$3,IF(OR('TRANSPORT DASHBOARD'!$C$4="",ISNUMBER(SEARCH('TRANSPORT DASHBOARD'!$C$4,INDEX(MASTER_AREAS!$B:$B,352)))),351,""),""),IF('TRANSPORT DASHBOARD'!$B$4="Zone",IF(351&lt;=$I$4,IF(OR('TRANSPORT DASHBOARD'!$C$4="",ISNUMBER(SEARCH('TRANSPORT DASHBOARD'!$C$4,INDEX(MASTER_ZONES!$B:$B,352)))),351,""),""),""))</f>
        <v/>
      </c>
    </row>
    <row r="353">
      <c r="A353">
        <f>IF('WSF DASHBOARD'!$B$4="Area",IF(352&lt;=$D$3,IF(OR('WSF DASHBOARD'!$C$4="",ISNUMBER(SEARCH('WSF DASHBOARD'!$C$4,INDEX(MASTER_AREAS!$B:$B,353)))),352,""),""),IF('WSF DASHBOARD'!$B$4="Zone",IF(352&lt;=$D$4,IF(OR('WSF DASHBOARD'!$C$4="",ISNUMBER(SEARCH('WSF DASHBOARD'!$C$4,INDEX(MASTER_ZONES!$B:$B,353)))),352,""),""),""))</f>
        <v/>
      </c>
      <c r="F353">
        <f>IF('TRANSPORT DASHBOARD'!$B$4="Area",IF(352&lt;=$I$3,IF(OR('TRANSPORT DASHBOARD'!$C$4="",ISNUMBER(SEARCH('TRANSPORT DASHBOARD'!$C$4,INDEX(MASTER_AREAS!$B:$B,353)))),352,""),""),IF('TRANSPORT DASHBOARD'!$B$4="Zone",IF(352&lt;=$I$4,IF(OR('TRANSPORT DASHBOARD'!$C$4="",ISNUMBER(SEARCH('TRANSPORT DASHBOARD'!$C$4,INDEX(MASTER_ZONES!$B:$B,353)))),352,""),""),""))</f>
        <v/>
      </c>
    </row>
    <row r="354">
      <c r="A354">
        <f>IF('WSF DASHBOARD'!$B$4="Area",IF(353&lt;=$D$3,IF(OR('WSF DASHBOARD'!$C$4="",ISNUMBER(SEARCH('WSF DASHBOARD'!$C$4,INDEX(MASTER_AREAS!$B:$B,354)))),353,""),""),IF('WSF DASHBOARD'!$B$4="Zone",IF(353&lt;=$D$4,IF(OR('WSF DASHBOARD'!$C$4="",ISNUMBER(SEARCH('WSF DASHBOARD'!$C$4,INDEX(MASTER_ZONES!$B:$B,354)))),353,""),""),""))</f>
        <v/>
      </c>
      <c r="F354">
        <f>IF('TRANSPORT DASHBOARD'!$B$4="Area",IF(353&lt;=$I$3,IF(OR('TRANSPORT DASHBOARD'!$C$4="",ISNUMBER(SEARCH('TRANSPORT DASHBOARD'!$C$4,INDEX(MASTER_AREAS!$B:$B,354)))),353,""),""),IF('TRANSPORT DASHBOARD'!$B$4="Zone",IF(353&lt;=$I$4,IF(OR('TRANSPORT DASHBOARD'!$C$4="",ISNUMBER(SEARCH('TRANSPORT DASHBOARD'!$C$4,INDEX(MASTER_ZONES!$B:$B,354)))),353,""),""),""))</f>
        <v/>
      </c>
    </row>
    <row r="355">
      <c r="A355">
        <f>IF('WSF DASHBOARD'!$B$4="Area",IF(354&lt;=$D$3,IF(OR('WSF DASHBOARD'!$C$4="",ISNUMBER(SEARCH('WSF DASHBOARD'!$C$4,INDEX(MASTER_AREAS!$B:$B,355)))),354,""),""),IF('WSF DASHBOARD'!$B$4="Zone",IF(354&lt;=$D$4,IF(OR('WSF DASHBOARD'!$C$4="",ISNUMBER(SEARCH('WSF DASHBOARD'!$C$4,INDEX(MASTER_ZONES!$B:$B,355)))),354,""),""),""))</f>
        <v/>
      </c>
      <c r="F355">
        <f>IF('TRANSPORT DASHBOARD'!$B$4="Area",IF(354&lt;=$I$3,IF(OR('TRANSPORT DASHBOARD'!$C$4="",ISNUMBER(SEARCH('TRANSPORT DASHBOARD'!$C$4,INDEX(MASTER_AREAS!$B:$B,355)))),354,""),""),IF('TRANSPORT DASHBOARD'!$B$4="Zone",IF(354&lt;=$I$4,IF(OR('TRANSPORT DASHBOARD'!$C$4="",ISNUMBER(SEARCH('TRANSPORT DASHBOARD'!$C$4,INDEX(MASTER_ZONES!$B:$B,355)))),354,""),""),""))</f>
        <v/>
      </c>
    </row>
    <row r="356">
      <c r="A356">
        <f>IF('WSF DASHBOARD'!$B$4="Area",IF(355&lt;=$D$3,IF(OR('WSF DASHBOARD'!$C$4="",ISNUMBER(SEARCH('WSF DASHBOARD'!$C$4,INDEX(MASTER_AREAS!$B:$B,356)))),355,""),""),IF('WSF DASHBOARD'!$B$4="Zone",IF(355&lt;=$D$4,IF(OR('WSF DASHBOARD'!$C$4="",ISNUMBER(SEARCH('WSF DASHBOARD'!$C$4,INDEX(MASTER_ZONES!$B:$B,356)))),355,""),""),""))</f>
        <v/>
      </c>
      <c r="F356">
        <f>IF('TRANSPORT DASHBOARD'!$B$4="Area",IF(355&lt;=$I$3,IF(OR('TRANSPORT DASHBOARD'!$C$4="",ISNUMBER(SEARCH('TRANSPORT DASHBOARD'!$C$4,INDEX(MASTER_AREAS!$B:$B,356)))),355,""),""),IF('TRANSPORT DASHBOARD'!$B$4="Zone",IF(355&lt;=$I$4,IF(OR('TRANSPORT DASHBOARD'!$C$4="",ISNUMBER(SEARCH('TRANSPORT DASHBOARD'!$C$4,INDEX(MASTER_ZONES!$B:$B,356)))),355,""),""),""))</f>
        <v/>
      </c>
    </row>
    <row r="357">
      <c r="A357">
        <f>IF('WSF DASHBOARD'!$B$4="Area",IF(356&lt;=$D$3,IF(OR('WSF DASHBOARD'!$C$4="",ISNUMBER(SEARCH('WSF DASHBOARD'!$C$4,INDEX(MASTER_AREAS!$B:$B,357)))),356,""),""),IF('WSF DASHBOARD'!$B$4="Zone",IF(356&lt;=$D$4,IF(OR('WSF DASHBOARD'!$C$4="",ISNUMBER(SEARCH('WSF DASHBOARD'!$C$4,INDEX(MASTER_ZONES!$B:$B,357)))),356,""),""),""))</f>
        <v/>
      </c>
      <c r="F357">
        <f>IF('TRANSPORT DASHBOARD'!$B$4="Area",IF(356&lt;=$I$3,IF(OR('TRANSPORT DASHBOARD'!$C$4="",ISNUMBER(SEARCH('TRANSPORT DASHBOARD'!$C$4,INDEX(MASTER_AREAS!$B:$B,357)))),356,""),""),IF('TRANSPORT DASHBOARD'!$B$4="Zone",IF(356&lt;=$I$4,IF(OR('TRANSPORT DASHBOARD'!$C$4="",ISNUMBER(SEARCH('TRANSPORT DASHBOARD'!$C$4,INDEX(MASTER_ZONES!$B:$B,357)))),356,""),""),""))</f>
        <v/>
      </c>
    </row>
    <row r="358">
      <c r="A358">
        <f>IF('WSF DASHBOARD'!$B$4="Area",IF(357&lt;=$D$3,IF(OR('WSF DASHBOARD'!$C$4="",ISNUMBER(SEARCH('WSF DASHBOARD'!$C$4,INDEX(MASTER_AREAS!$B:$B,358)))),357,""),""),IF('WSF DASHBOARD'!$B$4="Zone",IF(357&lt;=$D$4,IF(OR('WSF DASHBOARD'!$C$4="",ISNUMBER(SEARCH('WSF DASHBOARD'!$C$4,INDEX(MASTER_ZONES!$B:$B,358)))),357,""),""),""))</f>
        <v/>
      </c>
      <c r="F358">
        <f>IF('TRANSPORT DASHBOARD'!$B$4="Area",IF(357&lt;=$I$3,IF(OR('TRANSPORT DASHBOARD'!$C$4="",ISNUMBER(SEARCH('TRANSPORT DASHBOARD'!$C$4,INDEX(MASTER_AREAS!$B:$B,358)))),357,""),""),IF('TRANSPORT DASHBOARD'!$B$4="Zone",IF(357&lt;=$I$4,IF(OR('TRANSPORT DASHBOARD'!$C$4="",ISNUMBER(SEARCH('TRANSPORT DASHBOARD'!$C$4,INDEX(MASTER_ZONES!$B:$B,358)))),357,""),""),""))</f>
        <v/>
      </c>
    </row>
    <row r="359">
      <c r="A359">
        <f>IF('WSF DASHBOARD'!$B$4="Area",IF(358&lt;=$D$3,IF(OR('WSF DASHBOARD'!$C$4="",ISNUMBER(SEARCH('WSF DASHBOARD'!$C$4,INDEX(MASTER_AREAS!$B:$B,359)))),358,""),""),IF('WSF DASHBOARD'!$B$4="Zone",IF(358&lt;=$D$4,IF(OR('WSF DASHBOARD'!$C$4="",ISNUMBER(SEARCH('WSF DASHBOARD'!$C$4,INDEX(MASTER_ZONES!$B:$B,359)))),358,""),""),""))</f>
        <v/>
      </c>
      <c r="F359">
        <f>IF('TRANSPORT DASHBOARD'!$B$4="Area",IF(358&lt;=$I$3,IF(OR('TRANSPORT DASHBOARD'!$C$4="",ISNUMBER(SEARCH('TRANSPORT DASHBOARD'!$C$4,INDEX(MASTER_AREAS!$B:$B,359)))),358,""),""),IF('TRANSPORT DASHBOARD'!$B$4="Zone",IF(358&lt;=$I$4,IF(OR('TRANSPORT DASHBOARD'!$C$4="",ISNUMBER(SEARCH('TRANSPORT DASHBOARD'!$C$4,INDEX(MASTER_ZONES!$B:$B,359)))),358,""),""),""))</f>
        <v/>
      </c>
    </row>
    <row r="360">
      <c r="A360">
        <f>IF('WSF DASHBOARD'!$B$4="Area",IF(359&lt;=$D$3,IF(OR('WSF DASHBOARD'!$C$4="",ISNUMBER(SEARCH('WSF DASHBOARD'!$C$4,INDEX(MASTER_AREAS!$B:$B,360)))),359,""),""),IF('WSF DASHBOARD'!$B$4="Zone",IF(359&lt;=$D$4,IF(OR('WSF DASHBOARD'!$C$4="",ISNUMBER(SEARCH('WSF DASHBOARD'!$C$4,INDEX(MASTER_ZONES!$B:$B,360)))),359,""),""),""))</f>
        <v/>
      </c>
      <c r="F360">
        <f>IF('TRANSPORT DASHBOARD'!$B$4="Area",IF(359&lt;=$I$3,IF(OR('TRANSPORT DASHBOARD'!$C$4="",ISNUMBER(SEARCH('TRANSPORT DASHBOARD'!$C$4,INDEX(MASTER_AREAS!$B:$B,360)))),359,""),""),IF('TRANSPORT DASHBOARD'!$B$4="Zone",IF(359&lt;=$I$4,IF(OR('TRANSPORT DASHBOARD'!$C$4="",ISNUMBER(SEARCH('TRANSPORT DASHBOARD'!$C$4,INDEX(MASTER_ZONES!$B:$B,360)))),359,""),""),""))</f>
        <v/>
      </c>
    </row>
    <row r="361">
      <c r="A361">
        <f>IF('WSF DASHBOARD'!$B$4="Area",IF(360&lt;=$D$3,IF(OR('WSF DASHBOARD'!$C$4="",ISNUMBER(SEARCH('WSF DASHBOARD'!$C$4,INDEX(MASTER_AREAS!$B:$B,361)))),360,""),""),IF('WSF DASHBOARD'!$B$4="Zone",IF(360&lt;=$D$4,IF(OR('WSF DASHBOARD'!$C$4="",ISNUMBER(SEARCH('WSF DASHBOARD'!$C$4,INDEX(MASTER_ZONES!$B:$B,361)))),360,""),""),""))</f>
        <v/>
      </c>
      <c r="F361">
        <f>IF('TRANSPORT DASHBOARD'!$B$4="Area",IF(360&lt;=$I$3,IF(OR('TRANSPORT DASHBOARD'!$C$4="",ISNUMBER(SEARCH('TRANSPORT DASHBOARD'!$C$4,INDEX(MASTER_AREAS!$B:$B,361)))),360,""),""),IF('TRANSPORT DASHBOARD'!$B$4="Zone",IF(360&lt;=$I$4,IF(OR('TRANSPORT DASHBOARD'!$C$4="",ISNUMBER(SEARCH('TRANSPORT DASHBOARD'!$C$4,INDEX(MASTER_ZONES!$B:$B,361)))),360,""),""),""))</f>
        <v/>
      </c>
    </row>
    <row r="362">
      <c r="A362">
        <f>IF('WSF DASHBOARD'!$B$4="Area",IF(361&lt;=$D$3,IF(OR('WSF DASHBOARD'!$C$4="",ISNUMBER(SEARCH('WSF DASHBOARD'!$C$4,INDEX(MASTER_AREAS!$B:$B,362)))),361,""),""),IF('WSF DASHBOARD'!$B$4="Zone",IF(361&lt;=$D$4,IF(OR('WSF DASHBOARD'!$C$4="",ISNUMBER(SEARCH('WSF DASHBOARD'!$C$4,INDEX(MASTER_ZONES!$B:$B,362)))),361,""),""),""))</f>
        <v/>
      </c>
      <c r="F362">
        <f>IF('TRANSPORT DASHBOARD'!$B$4="Area",IF(361&lt;=$I$3,IF(OR('TRANSPORT DASHBOARD'!$C$4="",ISNUMBER(SEARCH('TRANSPORT DASHBOARD'!$C$4,INDEX(MASTER_AREAS!$B:$B,362)))),361,""),""),IF('TRANSPORT DASHBOARD'!$B$4="Zone",IF(361&lt;=$I$4,IF(OR('TRANSPORT DASHBOARD'!$C$4="",ISNUMBER(SEARCH('TRANSPORT DASHBOARD'!$C$4,INDEX(MASTER_ZONES!$B:$B,362)))),361,""),""),""))</f>
        <v/>
      </c>
    </row>
    <row r="363">
      <c r="A363">
        <f>IF('WSF DASHBOARD'!$B$4="Area",IF(362&lt;=$D$3,IF(OR('WSF DASHBOARD'!$C$4="",ISNUMBER(SEARCH('WSF DASHBOARD'!$C$4,INDEX(MASTER_AREAS!$B:$B,363)))),362,""),""),IF('WSF DASHBOARD'!$B$4="Zone",IF(362&lt;=$D$4,IF(OR('WSF DASHBOARD'!$C$4="",ISNUMBER(SEARCH('WSF DASHBOARD'!$C$4,INDEX(MASTER_ZONES!$B:$B,363)))),362,""),""),""))</f>
        <v/>
      </c>
      <c r="F363">
        <f>IF('TRANSPORT DASHBOARD'!$B$4="Area",IF(362&lt;=$I$3,IF(OR('TRANSPORT DASHBOARD'!$C$4="",ISNUMBER(SEARCH('TRANSPORT DASHBOARD'!$C$4,INDEX(MASTER_AREAS!$B:$B,363)))),362,""),""),IF('TRANSPORT DASHBOARD'!$B$4="Zone",IF(362&lt;=$I$4,IF(OR('TRANSPORT DASHBOARD'!$C$4="",ISNUMBER(SEARCH('TRANSPORT DASHBOARD'!$C$4,INDEX(MASTER_ZONES!$B:$B,363)))),362,""),""),""))</f>
        <v/>
      </c>
    </row>
    <row r="364">
      <c r="A364">
        <f>IF('WSF DASHBOARD'!$B$4="Area",IF(363&lt;=$D$3,IF(OR('WSF DASHBOARD'!$C$4="",ISNUMBER(SEARCH('WSF DASHBOARD'!$C$4,INDEX(MASTER_AREAS!$B:$B,364)))),363,""),""),IF('WSF DASHBOARD'!$B$4="Zone",IF(363&lt;=$D$4,IF(OR('WSF DASHBOARD'!$C$4="",ISNUMBER(SEARCH('WSF DASHBOARD'!$C$4,INDEX(MASTER_ZONES!$B:$B,364)))),363,""),""),""))</f>
        <v/>
      </c>
      <c r="F364">
        <f>IF('TRANSPORT DASHBOARD'!$B$4="Area",IF(363&lt;=$I$3,IF(OR('TRANSPORT DASHBOARD'!$C$4="",ISNUMBER(SEARCH('TRANSPORT DASHBOARD'!$C$4,INDEX(MASTER_AREAS!$B:$B,364)))),363,""),""),IF('TRANSPORT DASHBOARD'!$B$4="Zone",IF(363&lt;=$I$4,IF(OR('TRANSPORT DASHBOARD'!$C$4="",ISNUMBER(SEARCH('TRANSPORT DASHBOARD'!$C$4,INDEX(MASTER_ZONES!$B:$B,364)))),363,""),""),""))</f>
        <v/>
      </c>
    </row>
    <row r="365">
      <c r="A365">
        <f>IF('WSF DASHBOARD'!$B$4="Area",IF(364&lt;=$D$3,IF(OR('WSF DASHBOARD'!$C$4="",ISNUMBER(SEARCH('WSF DASHBOARD'!$C$4,INDEX(MASTER_AREAS!$B:$B,365)))),364,""),""),IF('WSF DASHBOARD'!$B$4="Zone",IF(364&lt;=$D$4,IF(OR('WSF DASHBOARD'!$C$4="",ISNUMBER(SEARCH('WSF DASHBOARD'!$C$4,INDEX(MASTER_ZONES!$B:$B,365)))),364,""),""),""))</f>
        <v/>
      </c>
      <c r="F365">
        <f>IF('TRANSPORT DASHBOARD'!$B$4="Area",IF(364&lt;=$I$3,IF(OR('TRANSPORT DASHBOARD'!$C$4="",ISNUMBER(SEARCH('TRANSPORT DASHBOARD'!$C$4,INDEX(MASTER_AREAS!$B:$B,365)))),364,""),""),IF('TRANSPORT DASHBOARD'!$B$4="Zone",IF(364&lt;=$I$4,IF(OR('TRANSPORT DASHBOARD'!$C$4="",ISNUMBER(SEARCH('TRANSPORT DASHBOARD'!$C$4,INDEX(MASTER_ZONES!$B:$B,365)))),364,""),""),""))</f>
        <v/>
      </c>
    </row>
    <row r="366">
      <c r="A366">
        <f>IF('WSF DASHBOARD'!$B$4="Area",IF(365&lt;=$D$3,IF(OR('WSF DASHBOARD'!$C$4="",ISNUMBER(SEARCH('WSF DASHBOARD'!$C$4,INDEX(MASTER_AREAS!$B:$B,366)))),365,""),""),IF('WSF DASHBOARD'!$B$4="Zone",IF(365&lt;=$D$4,IF(OR('WSF DASHBOARD'!$C$4="",ISNUMBER(SEARCH('WSF DASHBOARD'!$C$4,INDEX(MASTER_ZONES!$B:$B,366)))),365,""),""),""))</f>
        <v/>
      </c>
      <c r="F366">
        <f>IF('TRANSPORT DASHBOARD'!$B$4="Area",IF(365&lt;=$I$3,IF(OR('TRANSPORT DASHBOARD'!$C$4="",ISNUMBER(SEARCH('TRANSPORT DASHBOARD'!$C$4,INDEX(MASTER_AREAS!$B:$B,366)))),365,""),""),IF('TRANSPORT DASHBOARD'!$B$4="Zone",IF(365&lt;=$I$4,IF(OR('TRANSPORT DASHBOARD'!$C$4="",ISNUMBER(SEARCH('TRANSPORT DASHBOARD'!$C$4,INDEX(MASTER_ZONES!$B:$B,366)))),365,""),""),""))</f>
        <v/>
      </c>
    </row>
    <row r="367">
      <c r="A367">
        <f>IF('WSF DASHBOARD'!$B$4="Area",IF(366&lt;=$D$3,IF(OR('WSF DASHBOARD'!$C$4="",ISNUMBER(SEARCH('WSF DASHBOARD'!$C$4,INDEX(MASTER_AREAS!$B:$B,367)))),366,""),""),IF('WSF DASHBOARD'!$B$4="Zone",IF(366&lt;=$D$4,IF(OR('WSF DASHBOARD'!$C$4="",ISNUMBER(SEARCH('WSF DASHBOARD'!$C$4,INDEX(MASTER_ZONES!$B:$B,367)))),366,""),""),""))</f>
        <v/>
      </c>
      <c r="F367">
        <f>IF('TRANSPORT DASHBOARD'!$B$4="Area",IF(366&lt;=$I$3,IF(OR('TRANSPORT DASHBOARD'!$C$4="",ISNUMBER(SEARCH('TRANSPORT DASHBOARD'!$C$4,INDEX(MASTER_AREAS!$B:$B,367)))),366,""),""),IF('TRANSPORT DASHBOARD'!$B$4="Zone",IF(366&lt;=$I$4,IF(OR('TRANSPORT DASHBOARD'!$C$4="",ISNUMBER(SEARCH('TRANSPORT DASHBOARD'!$C$4,INDEX(MASTER_ZONES!$B:$B,367)))),366,""),""),""))</f>
        <v/>
      </c>
    </row>
    <row r="368">
      <c r="A368">
        <f>IF('WSF DASHBOARD'!$B$4="Area",IF(367&lt;=$D$3,IF(OR('WSF DASHBOARD'!$C$4="",ISNUMBER(SEARCH('WSF DASHBOARD'!$C$4,INDEX(MASTER_AREAS!$B:$B,368)))),367,""),""),IF('WSF DASHBOARD'!$B$4="Zone",IF(367&lt;=$D$4,IF(OR('WSF DASHBOARD'!$C$4="",ISNUMBER(SEARCH('WSF DASHBOARD'!$C$4,INDEX(MASTER_ZONES!$B:$B,368)))),367,""),""),""))</f>
        <v/>
      </c>
      <c r="F368">
        <f>IF('TRANSPORT DASHBOARD'!$B$4="Area",IF(367&lt;=$I$3,IF(OR('TRANSPORT DASHBOARD'!$C$4="",ISNUMBER(SEARCH('TRANSPORT DASHBOARD'!$C$4,INDEX(MASTER_AREAS!$B:$B,368)))),367,""),""),IF('TRANSPORT DASHBOARD'!$B$4="Zone",IF(367&lt;=$I$4,IF(OR('TRANSPORT DASHBOARD'!$C$4="",ISNUMBER(SEARCH('TRANSPORT DASHBOARD'!$C$4,INDEX(MASTER_ZONES!$B:$B,368)))),367,""),""),""))</f>
        <v/>
      </c>
    </row>
    <row r="369">
      <c r="A369">
        <f>IF('WSF DASHBOARD'!$B$4="Area",IF(368&lt;=$D$3,IF(OR('WSF DASHBOARD'!$C$4="",ISNUMBER(SEARCH('WSF DASHBOARD'!$C$4,INDEX(MASTER_AREAS!$B:$B,369)))),368,""),""),IF('WSF DASHBOARD'!$B$4="Zone",IF(368&lt;=$D$4,IF(OR('WSF DASHBOARD'!$C$4="",ISNUMBER(SEARCH('WSF DASHBOARD'!$C$4,INDEX(MASTER_ZONES!$B:$B,369)))),368,""),""),""))</f>
        <v/>
      </c>
      <c r="F369">
        <f>IF('TRANSPORT DASHBOARD'!$B$4="Area",IF(368&lt;=$I$3,IF(OR('TRANSPORT DASHBOARD'!$C$4="",ISNUMBER(SEARCH('TRANSPORT DASHBOARD'!$C$4,INDEX(MASTER_AREAS!$B:$B,369)))),368,""),""),IF('TRANSPORT DASHBOARD'!$B$4="Zone",IF(368&lt;=$I$4,IF(OR('TRANSPORT DASHBOARD'!$C$4="",ISNUMBER(SEARCH('TRANSPORT DASHBOARD'!$C$4,INDEX(MASTER_ZONES!$B:$B,369)))),368,""),""),""))</f>
        <v/>
      </c>
    </row>
    <row r="370">
      <c r="A370">
        <f>IF('WSF DASHBOARD'!$B$4="Area",IF(369&lt;=$D$3,IF(OR('WSF DASHBOARD'!$C$4="",ISNUMBER(SEARCH('WSF DASHBOARD'!$C$4,INDEX(MASTER_AREAS!$B:$B,370)))),369,""),""),IF('WSF DASHBOARD'!$B$4="Zone",IF(369&lt;=$D$4,IF(OR('WSF DASHBOARD'!$C$4="",ISNUMBER(SEARCH('WSF DASHBOARD'!$C$4,INDEX(MASTER_ZONES!$B:$B,370)))),369,""),""),""))</f>
        <v/>
      </c>
      <c r="F370">
        <f>IF('TRANSPORT DASHBOARD'!$B$4="Area",IF(369&lt;=$I$3,IF(OR('TRANSPORT DASHBOARD'!$C$4="",ISNUMBER(SEARCH('TRANSPORT DASHBOARD'!$C$4,INDEX(MASTER_AREAS!$B:$B,370)))),369,""),""),IF('TRANSPORT DASHBOARD'!$B$4="Zone",IF(369&lt;=$I$4,IF(OR('TRANSPORT DASHBOARD'!$C$4="",ISNUMBER(SEARCH('TRANSPORT DASHBOARD'!$C$4,INDEX(MASTER_ZONES!$B:$B,370)))),369,""),""),""))</f>
        <v/>
      </c>
    </row>
    <row r="371">
      <c r="A371">
        <f>IF('WSF DASHBOARD'!$B$4="Area",IF(370&lt;=$D$3,IF(OR('WSF DASHBOARD'!$C$4="",ISNUMBER(SEARCH('WSF DASHBOARD'!$C$4,INDEX(MASTER_AREAS!$B:$B,371)))),370,""),""),IF('WSF DASHBOARD'!$B$4="Zone",IF(370&lt;=$D$4,IF(OR('WSF DASHBOARD'!$C$4="",ISNUMBER(SEARCH('WSF DASHBOARD'!$C$4,INDEX(MASTER_ZONES!$B:$B,371)))),370,""),""),""))</f>
        <v/>
      </c>
      <c r="F371">
        <f>IF('TRANSPORT DASHBOARD'!$B$4="Area",IF(370&lt;=$I$3,IF(OR('TRANSPORT DASHBOARD'!$C$4="",ISNUMBER(SEARCH('TRANSPORT DASHBOARD'!$C$4,INDEX(MASTER_AREAS!$B:$B,371)))),370,""),""),IF('TRANSPORT DASHBOARD'!$B$4="Zone",IF(370&lt;=$I$4,IF(OR('TRANSPORT DASHBOARD'!$C$4="",ISNUMBER(SEARCH('TRANSPORT DASHBOARD'!$C$4,INDEX(MASTER_ZONES!$B:$B,371)))),370,""),""),""))</f>
        <v/>
      </c>
    </row>
    <row r="372">
      <c r="A372">
        <f>IF('WSF DASHBOARD'!$B$4="Area",IF(371&lt;=$D$3,IF(OR('WSF DASHBOARD'!$C$4="",ISNUMBER(SEARCH('WSF DASHBOARD'!$C$4,INDEX(MASTER_AREAS!$B:$B,372)))),371,""),""),IF('WSF DASHBOARD'!$B$4="Zone",IF(371&lt;=$D$4,IF(OR('WSF DASHBOARD'!$C$4="",ISNUMBER(SEARCH('WSF DASHBOARD'!$C$4,INDEX(MASTER_ZONES!$B:$B,372)))),371,""),""),""))</f>
        <v/>
      </c>
      <c r="F372">
        <f>IF('TRANSPORT DASHBOARD'!$B$4="Area",IF(371&lt;=$I$3,IF(OR('TRANSPORT DASHBOARD'!$C$4="",ISNUMBER(SEARCH('TRANSPORT DASHBOARD'!$C$4,INDEX(MASTER_AREAS!$B:$B,372)))),371,""),""),IF('TRANSPORT DASHBOARD'!$B$4="Zone",IF(371&lt;=$I$4,IF(OR('TRANSPORT DASHBOARD'!$C$4="",ISNUMBER(SEARCH('TRANSPORT DASHBOARD'!$C$4,INDEX(MASTER_ZONES!$B:$B,372)))),371,""),""),""))</f>
        <v/>
      </c>
    </row>
    <row r="373">
      <c r="A373">
        <f>IF('WSF DASHBOARD'!$B$4="Area",IF(372&lt;=$D$3,IF(OR('WSF DASHBOARD'!$C$4="",ISNUMBER(SEARCH('WSF DASHBOARD'!$C$4,INDEX(MASTER_AREAS!$B:$B,373)))),372,""),""),IF('WSF DASHBOARD'!$B$4="Zone",IF(372&lt;=$D$4,IF(OR('WSF DASHBOARD'!$C$4="",ISNUMBER(SEARCH('WSF DASHBOARD'!$C$4,INDEX(MASTER_ZONES!$B:$B,373)))),372,""),""),""))</f>
        <v/>
      </c>
      <c r="F373">
        <f>IF('TRANSPORT DASHBOARD'!$B$4="Area",IF(372&lt;=$I$3,IF(OR('TRANSPORT DASHBOARD'!$C$4="",ISNUMBER(SEARCH('TRANSPORT DASHBOARD'!$C$4,INDEX(MASTER_AREAS!$B:$B,373)))),372,""),""),IF('TRANSPORT DASHBOARD'!$B$4="Zone",IF(372&lt;=$I$4,IF(OR('TRANSPORT DASHBOARD'!$C$4="",ISNUMBER(SEARCH('TRANSPORT DASHBOARD'!$C$4,INDEX(MASTER_ZONES!$B:$B,373)))),372,""),""),""))</f>
        <v/>
      </c>
    </row>
    <row r="374">
      <c r="A374">
        <f>IF('WSF DASHBOARD'!$B$4="Area",IF(373&lt;=$D$3,IF(OR('WSF DASHBOARD'!$C$4="",ISNUMBER(SEARCH('WSF DASHBOARD'!$C$4,INDEX(MASTER_AREAS!$B:$B,374)))),373,""),""),IF('WSF DASHBOARD'!$B$4="Zone",IF(373&lt;=$D$4,IF(OR('WSF DASHBOARD'!$C$4="",ISNUMBER(SEARCH('WSF DASHBOARD'!$C$4,INDEX(MASTER_ZONES!$B:$B,374)))),373,""),""),""))</f>
        <v/>
      </c>
      <c r="F374">
        <f>IF('TRANSPORT DASHBOARD'!$B$4="Area",IF(373&lt;=$I$3,IF(OR('TRANSPORT DASHBOARD'!$C$4="",ISNUMBER(SEARCH('TRANSPORT DASHBOARD'!$C$4,INDEX(MASTER_AREAS!$B:$B,374)))),373,""),""),IF('TRANSPORT DASHBOARD'!$B$4="Zone",IF(373&lt;=$I$4,IF(OR('TRANSPORT DASHBOARD'!$C$4="",ISNUMBER(SEARCH('TRANSPORT DASHBOARD'!$C$4,INDEX(MASTER_ZONES!$B:$B,374)))),373,""),""),""))</f>
        <v/>
      </c>
    </row>
    <row r="375">
      <c r="A375">
        <f>IF('WSF DASHBOARD'!$B$4="Area",IF(374&lt;=$D$3,IF(OR('WSF DASHBOARD'!$C$4="",ISNUMBER(SEARCH('WSF DASHBOARD'!$C$4,INDEX(MASTER_AREAS!$B:$B,375)))),374,""),""),IF('WSF DASHBOARD'!$B$4="Zone",IF(374&lt;=$D$4,IF(OR('WSF DASHBOARD'!$C$4="",ISNUMBER(SEARCH('WSF DASHBOARD'!$C$4,INDEX(MASTER_ZONES!$B:$B,375)))),374,""),""),""))</f>
        <v/>
      </c>
      <c r="F375">
        <f>IF('TRANSPORT DASHBOARD'!$B$4="Area",IF(374&lt;=$I$3,IF(OR('TRANSPORT DASHBOARD'!$C$4="",ISNUMBER(SEARCH('TRANSPORT DASHBOARD'!$C$4,INDEX(MASTER_AREAS!$B:$B,375)))),374,""),""),IF('TRANSPORT DASHBOARD'!$B$4="Zone",IF(374&lt;=$I$4,IF(OR('TRANSPORT DASHBOARD'!$C$4="",ISNUMBER(SEARCH('TRANSPORT DASHBOARD'!$C$4,INDEX(MASTER_ZONES!$B:$B,375)))),374,""),""),""))</f>
        <v/>
      </c>
    </row>
    <row r="376">
      <c r="A376">
        <f>IF('WSF DASHBOARD'!$B$4="Area",IF(375&lt;=$D$3,IF(OR('WSF DASHBOARD'!$C$4="",ISNUMBER(SEARCH('WSF DASHBOARD'!$C$4,INDEX(MASTER_AREAS!$B:$B,376)))),375,""),""),IF('WSF DASHBOARD'!$B$4="Zone",IF(375&lt;=$D$4,IF(OR('WSF DASHBOARD'!$C$4="",ISNUMBER(SEARCH('WSF DASHBOARD'!$C$4,INDEX(MASTER_ZONES!$B:$B,376)))),375,""),""),""))</f>
        <v/>
      </c>
      <c r="F376">
        <f>IF('TRANSPORT DASHBOARD'!$B$4="Area",IF(375&lt;=$I$3,IF(OR('TRANSPORT DASHBOARD'!$C$4="",ISNUMBER(SEARCH('TRANSPORT DASHBOARD'!$C$4,INDEX(MASTER_AREAS!$B:$B,376)))),375,""),""),IF('TRANSPORT DASHBOARD'!$B$4="Zone",IF(375&lt;=$I$4,IF(OR('TRANSPORT DASHBOARD'!$C$4="",ISNUMBER(SEARCH('TRANSPORT DASHBOARD'!$C$4,INDEX(MASTER_ZONES!$B:$B,376)))),375,""),""),""))</f>
        <v/>
      </c>
    </row>
    <row r="377">
      <c r="A377">
        <f>IF('WSF DASHBOARD'!$B$4="Area",IF(376&lt;=$D$3,IF(OR('WSF DASHBOARD'!$C$4="",ISNUMBER(SEARCH('WSF DASHBOARD'!$C$4,INDEX(MASTER_AREAS!$B:$B,377)))),376,""),""),IF('WSF DASHBOARD'!$B$4="Zone",IF(376&lt;=$D$4,IF(OR('WSF DASHBOARD'!$C$4="",ISNUMBER(SEARCH('WSF DASHBOARD'!$C$4,INDEX(MASTER_ZONES!$B:$B,377)))),376,""),""),""))</f>
        <v/>
      </c>
      <c r="F377">
        <f>IF('TRANSPORT DASHBOARD'!$B$4="Area",IF(376&lt;=$I$3,IF(OR('TRANSPORT DASHBOARD'!$C$4="",ISNUMBER(SEARCH('TRANSPORT DASHBOARD'!$C$4,INDEX(MASTER_AREAS!$B:$B,377)))),376,""),""),IF('TRANSPORT DASHBOARD'!$B$4="Zone",IF(376&lt;=$I$4,IF(OR('TRANSPORT DASHBOARD'!$C$4="",ISNUMBER(SEARCH('TRANSPORT DASHBOARD'!$C$4,INDEX(MASTER_ZONES!$B:$B,377)))),376,""),""),""))</f>
        <v/>
      </c>
    </row>
    <row r="378">
      <c r="A378">
        <f>IF('WSF DASHBOARD'!$B$4="Area",IF(377&lt;=$D$3,IF(OR('WSF DASHBOARD'!$C$4="",ISNUMBER(SEARCH('WSF DASHBOARD'!$C$4,INDEX(MASTER_AREAS!$B:$B,378)))),377,""),""),IF('WSF DASHBOARD'!$B$4="Zone",IF(377&lt;=$D$4,IF(OR('WSF DASHBOARD'!$C$4="",ISNUMBER(SEARCH('WSF DASHBOARD'!$C$4,INDEX(MASTER_ZONES!$B:$B,378)))),377,""),""),""))</f>
        <v/>
      </c>
      <c r="F378">
        <f>IF('TRANSPORT DASHBOARD'!$B$4="Area",IF(377&lt;=$I$3,IF(OR('TRANSPORT DASHBOARD'!$C$4="",ISNUMBER(SEARCH('TRANSPORT DASHBOARD'!$C$4,INDEX(MASTER_AREAS!$B:$B,378)))),377,""),""),IF('TRANSPORT DASHBOARD'!$B$4="Zone",IF(377&lt;=$I$4,IF(OR('TRANSPORT DASHBOARD'!$C$4="",ISNUMBER(SEARCH('TRANSPORT DASHBOARD'!$C$4,INDEX(MASTER_ZONES!$B:$B,378)))),377,""),""),""))</f>
        <v/>
      </c>
    </row>
    <row r="379">
      <c r="A379">
        <f>IF('WSF DASHBOARD'!$B$4="Area",IF(378&lt;=$D$3,IF(OR('WSF DASHBOARD'!$C$4="",ISNUMBER(SEARCH('WSF DASHBOARD'!$C$4,INDEX(MASTER_AREAS!$B:$B,379)))),378,""),""),IF('WSF DASHBOARD'!$B$4="Zone",IF(378&lt;=$D$4,IF(OR('WSF DASHBOARD'!$C$4="",ISNUMBER(SEARCH('WSF DASHBOARD'!$C$4,INDEX(MASTER_ZONES!$B:$B,379)))),378,""),""),""))</f>
        <v/>
      </c>
      <c r="F379">
        <f>IF('TRANSPORT DASHBOARD'!$B$4="Area",IF(378&lt;=$I$3,IF(OR('TRANSPORT DASHBOARD'!$C$4="",ISNUMBER(SEARCH('TRANSPORT DASHBOARD'!$C$4,INDEX(MASTER_AREAS!$B:$B,379)))),378,""),""),IF('TRANSPORT DASHBOARD'!$B$4="Zone",IF(378&lt;=$I$4,IF(OR('TRANSPORT DASHBOARD'!$C$4="",ISNUMBER(SEARCH('TRANSPORT DASHBOARD'!$C$4,INDEX(MASTER_ZONES!$B:$B,379)))),378,""),""),""))</f>
        <v/>
      </c>
    </row>
    <row r="380">
      <c r="A380">
        <f>IF('WSF DASHBOARD'!$B$4="Area",IF(379&lt;=$D$3,IF(OR('WSF DASHBOARD'!$C$4="",ISNUMBER(SEARCH('WSF DASHBOARD'!$C$4,INDEX(MASTER_AREAS!$B:$B,380)))),379,""),""),IF('WSF DASHBOARD'!$B$4="Zone",IF(379&lt;=$D$4,IF(OR('WSF DASHBOARD'!$C$4="",ISNUMBER(SEARCH('WSF DASHBOARD'!$C$4,INDEX(MASTER_ZONES!$B:$B,380)))),379,""),""),""))</f>
        <v/>
      </c>
      <c r="F380">
        <f>IF('TRANSPORT DASHBOARD'!$B$4="Area",IF(379&lt;=$I$3,IF(OR('TRANSPORT DASHBOARD'!$C$4="",ISNUMBER(SEARCH('TRANSPORT DASHBOARD'!$C$4,INDEX(MASTER_AREAS!$B:$B,380)))),379,""),""),IF('TRANSPORT DASHBOARD'!$B$4="Zone",IF(379&lt;=$I$4,IF(OR('TRANSPORT DASHBOARD'!$C$4="",ISNUMBER(SEARCH('TRANSPORT DASHBOARD'!$C$4,INDEX(MASTER_ZONES!$B:$B,380)))),379,""),""),""))</f>
        <v/>
      </c>
    </row>
    <row r="381">
      <c r="A381">
        <f>IF('WSF DASHBOARD'!$B$4="Area",IF(380&lt;=$D$3,IF(OR('WSF DASHBOARD'!$C$4="",ISNUMBER(SEARCH('WSF DASHBOARD'!$C$4,INDEX(MASTER_AREAS!$B:$B,381)))),380,""),""),IF('WSF DASHBOARD'!$B$4="Zone",IF(380&lt;=$D$4,IF(OR('WSF DASHBOARD'!$C$4="",ISNUMBER(SEARCH('WSF DASHBOARD'!$C$4,INDEX(MASTER_ZONES!$B:$B,381)))),380,""),""),""))</f>
        <v/>
      </c>
      <c r="F381">
        <f>IF('TRANSPORT DASHBOARD'!$B$4="Area",IF(380&lt;=$I$3,IF(OR('TRANSPORT DASHBOARD'!$C$4="",ISNUMBER(SEARCH('TRANSPORT DASHBOARD'!$C$4,INDEX(MASTER_AREAS!$B:$B,381)))),380,""),""),IF('TRANSPORT DASHBOARD'!$B$4="Zone",IF(380&lt;=$I$4,IF(OR('TRANSPORT DASHBOARD'!$C$4="",ISNUMBER(SEARCH('TRANSPORT DASHBOARD'!$C$4,INDEX(MASTER_ZONES!$B:$B,381)))),380,""),""),""))</f>
        <v/>
      </c>
    </row>
    <row r="382">
      <c r="A382">
        <f>IF('WSF DASHBOARD'!$B$4="Area",IF(381&lt;=$D$3,IF(OR('WSF DASHBOARD'!$C$4="",ISNUMBER(SEARCH('WSF DASHBOARD'!$C$4,INDEX(MASTER_AREAS!$B:$B,382)))),381,""),""),IF('WSF DASHBOARD'!$B$4="Zone",IF(381&lt;=$D$4,IF(OR('WSF DASHBOARD'!$C$4="",ISNUMBER(SEARCH('WSF DASHBOARD'!$C$4,INDEX(MASTER_ZONES!$B:$B,382)))),381,""),""),""))</f>
        <v/>
      </c>
      <c r="F382">
        <f>IF('TRANSPORT DASHBOARD'!$B$4="Area",IF(381&lt;=$I$3,IF(OR('TRANSPORT DASHBOARD'!$C$4="",ISNUMBER(SEARCH('TRANSPORT DASHBOARD'!$C$4,INDEX(MASTER_AREAS!$B:$B,382)))),381,""),""),IF('TRANSPORT DASHBOARD'!$B$4="Zone",IF(381&lt;=$I$4,IF(OR('TRANSPORT DASHBOARD'!$C$4="",ISNUMBER(SEARCH('TRANSPORT DASHBOARD'!$C$4,INDEX(MASTER_ZONES!$B:$B,382)))),381,""),""),""))</f>
        <v/>
      </c>
    </row>
    <row r="383">
      <c r="A383">
        <f>IF('WSF DASHBOARD'!$B$4="Area",IF(382&lt;=$D$3,IF(OR('WSF DASHBOARD'!$C$4="",ISNUMBER(SEARCH('WSF DASHBOARD'!$C$4,INDEX(MASTER_AREAS!$B:$B,383)))),382,""),""),IF('WSF DASHBOARD'!$B$4="Zone",IF(382&lt;=$D$4,IF(OR('WSF DASHBOARD'!$C$4="",ISNUMBER(SEARCH('WSF DASHBOARD'!$C$4,INDEX(MASTER_ZONES!$B:$B,383)))),382,""),""),""))</f>
        <v/>
      </c>
      <c r="F383">
        <f>IF('TRANSPORT DASHBOARD'!$B$4="Area",IF(382&lt;=$I$3,IF(OR('TRANSPORT DASHBOARD'!$C$4="",ISNUMBER(SEARCH('TRANSPORT DASHBOARD'!$C$4,INDEX(MASTER_AREAS!$B:$B,383)))),382,""),""),IF('TRANSPORT DASHBOARD'!$B$4="Zone",IF(382&lt;=$I$4,IF(OR('TRANSPORT DASHBOARD'!$C$4="",ISNUMBER(SEARCH('TRANSPORT DASHBOARD'!$C$4,INDEX(MASTER_ZONES!$B:$B,383)))),382,""),""),""))</f>
        <v/>
      </c>
    </row>
    <row r="384">
      <c r="A384">
        <f>IF('WSF DASHBOARD'!$B$4="Area",IF(383&lt;=$D$3,IF(OR('WSF DASHBOARD'!$C$4="",ISNUMBER(SEARCH('WSF DASHBOARD'!$C$4,INDEX(MASTER_AREAS!$B:$B,384)))),383,""),""),IF('WSF DASHBOARD'!$B$4="Zone",IF(383&lt;=$D$4,IF(OR('WSF DASHBOARD'!$C$4="",ISNUMBER(SEARCH('WSF DASHBOARD'!$C$4,INDEX(MASTER_ZONES!$B:$B,384)))),383,""),""),""))</f>
        <v/>
      </c>
      <c r="F384">
        <f>IF('TRANSPORT DASHBOARD'!$B$4="Area",IF(383&lt;=$I$3,IF(OR('TRANSPORT DASHBOARD'!$C$4="",ISNUMBER(SEARCH('TRANSPORT DASHBOARD'!$C$4,INDEX(MASTER_AREAS!$B:$B,384)))),383,""),""),IF('TRANSPORT DASHBOARD'!$B$4="Zone",IF(383&lt;=$I$4,IF(OR('TRANSPORT DASHBOARD'!$C$4="",ISNUMBER(SEARCH('TRANSPORT DASHBOARD'!$C$4,INDEX(MASTER_ZONES!$B:$B,384)))),383,""),""),""))</f>
        <v/>
      </c>
    </row>
    <row r="385">
      <c r="A385">
        <f>IF('WSF DASHBOARD'!$B$4="Area",IF(384&lt;=$D$3,IF(OR('WSF DASHBOARD'!$C$4="",ISNUMBER(SEARCH('WSF DASHBOARD'!$C$4,INDEX(MASTER_AREAS!$B:$B,385)))),384,""),""),IF('WSF DASHBOARD'!$B$4="Zone",IF(384&lt;=$D$4,IF(OR('WSF DASHBOARD'!$C$4="",ISNUMBER(SEARCH('WSF DASHBOARD'!$C$4,INDEX(MASTER_ZONES!$B:$B,385)))),384,""),""),""))</f>
        <v/>
      </c>
      <c r="F385">
        <f>IF('TRANSPORT DASHBOARD'!$B$4="Area",IF(384&lt;=$I$3,IF(OR('TRANSPORT DASHBOARD'!$C$4="",ISNUMBER(SEARCH('TRANSPORT DASHBOARD'!$C$4,INDEX(MASTER_AREAS!$B:$B,385)))),384,""),""),IF('TRANSPORT DASHBOARD'!$B$4="Zone",IF(384&lt;=$I$4,IF(OR('TRANSPORT DASHBOARD'!$C$4="",ISNUMBER(SEARCH('TRANSPORT DASHBOARD'!$C$4,INDEX(MASTER_ZONES!$B:$B,385)))),384,""),""),""))</f>
        <v/>
      </c>
    </row>
    <row r="386">
      <c r="A386">
        <f>IF('WSF DASHBOARD'!$B$4="Area",IF(385&lt;=$D$3,IF(OR('WSF DASHBOARD'!$C$4="",ISNUMBER(SEARCH('WSF DASHBOARD'!$C$4,INDEX(MASTER_AREAS!$B:$B,386)))),385,""),""),IF('WSF DASHBOARD'!$B$4="Zone",IF(385&lt;=$D$4,IF(OR('WSF DASHBOARD'!$C$4="",ISNUMBER(SEARCH('WSF DASHBOARD'!$C$4,INDEX(MASTER_ZONES!$B:$B,386)))),385,""),""),""))</f>
        <v/>
      </c>
      <c r="F386">
        <f>IF('TRANSPORT DASHBOARD'!$B$4="Area",IF(385&lt;=$I$3,IF(OR('TRANSPORT DASHBOARD'!$C$4="",ISNUMBER(SEARCH('TRANSPORT DASHBOARD'!$C$4,INDEX(MASTER_AREAS!$B:$B,386)))),385,""),""),IF('TRANSPORT DASHBOARD'!$B$4="Zone",IF(385&lt;=$I$4,IF(OR('TRANSPORT DASHBOARD'!$C$4="",ISNUMBER(SEARCH('TRANSPORT DASHBOARD'!$C$4,INDEX(MASTER_ZONES!$B:$B,386)))),385,""),""),""))</f>
        <v/>
      </c>
    </row>
    <row r="387">
      <c r="A387">
        <f>IF('WSF DASHBOARD'!$B$4="Area",IF(386&lt;=$D$3,IF(OR('WSF DASHBOARD'!$C$4="",ISNUMBER(SEARCH('WSF DASHBOARD'!$C$4,INDEX(MASTER_AREAS!$B:$B,387)))),386,""),""),IF('WSF DASHBOARD'!$B$4="Zone",IF(386&lt;=$D$4,IF(OR('WSF DASHBOARD'!$C$4="",ISNUMBER(SEARCH('WSF DASHBOARD'!$C$4,INDEX(MASTER_ZONES!$B:$B,387)))),386,""),""),""))</f>
        <v/>
      </c>
      <c r="F387">
        <f>IF('TRANSPORT DASHBOARD'!$B$4="Area",IF(386&lt;=$I$3,IF(OR('TRANSPORT DASHBOARD'!$C$4="",ISNUMBER(SEARCH('TRANSPORT DASHBOARD'!$C$4,INDEX(MASTER_AREAS!$B:$B,387)))),386,""),""),IF('TRANSPORT DASHBOARD'!$B$4="Zone",IF(386&lt;=$I$4,IF(OR('TRANSPORT DASHBOARD'!$C$4="",ISNUMBER(SEARCH('TRANSPORT DASHBOARD'!$C$4,INDEX(MASTER_ZONES!$B:$B,387)))),386,""),""),""))</f>
        <v/>
      </c>
    </row>
    <row r="388">
      <c r="A388">
        <f>IF('WSF DASHBOARD'!$B$4="Area",IF(387&lt;=$D$3,IF(OR('WSF DASHBOARD'!$C$4="",ISNUMBER(SEARCH('WSF DASHBOARD'!$C$4,INDEX(MASTER_AREAS!$B:$B,388)))),387,""),""),IF('WSF DASHBOARD'!$B$4="Zone",IF(387&lt;=$D$4,IF(OR('WSF DASHBOARD'!$C$4="",ISNUMBER(SEARCH('WSF DASHBOARD'!$C$4,INDEX(MASTER_ZONES!$B:$B,388)))),387,""),""),""))</f>
        <v/>
      </c>
      <c r="F388">
        <f>IF('TRANSPORT DASHBOARD'!$B$4="Area",IF(387&lt;=$I$3,IF(OR('TRANSPORT DASHBOARD'!$C$4="",ISNUMBER(SEARCH('TRANSPORT DASHBOARD'!$C$4,INDEX(MASTER_AREAS!$B:$B,388)))),387,""),""),IF('TRANSPORT DASHBOARD'!$B$4="Zone",IF(387&lt;=$I$4,IF(OR('TRANSPORT DASHBOARD'!$C$4="",ISNUMBER(SEARCH('TRANSPORT DASHBOARD'!$C$4,INDEX(MASTER_ZONES!$B:$B,388)))),387,""),""),""))</f>
        <v/>
      </c>
    </row>
    <row r="389">
      <c r="A389">
        <f>IF('WSF DASHBOARD'!$B$4="Area",IF(388&lt;=$D$3,IF(OR('WSF DASHBOARD'!$C$4="",ISNUMBER(SEARCH('WSF DASHBOARD'!$C$4,INDEX(MASTER_AREAS!$B:$B,389)))),388,""),""),IF('WSF DASHBOARD'!$B$4="Zone",IF(388&lt;=$D$4,IF(OR('WSF DASHBOARD'!$C$4="",ISNUMBER(SEARCH('WSF DASHBOARD'!$C$4,INDEX(MASTER_ZONES!$B:$B,389)))),388,""),""),""))</f>
        <v/>
      </c>
      <c r="F389">
        <f>IF('TRANSPORT DASHBOARD'!$B$4="Area",IF(388&lt;=$I$3,IF(OR('TRANSPORT DASHBOARD'!$C$4="",ISNUMBER(SEARCH('TRANSPORT DASHBOARD'!$C$4,INDEX(MASTER_AREAS!$B:$B,389)))),388,""),""),IF('TRANSPORT DASHBOARD'!$B$4="Zone",IF(388&lt;=$I$4,IF(OR('TRANSPORT DASHBOARD'!$C$4="",ISNUMBER(SEARCH('TRANSPORT DASHBOARD'!$C$4,INDEX(MASTER_ZONES!$B:$B,389)))),388,""),""),""))</f>
        <v/>
      </c>
    </row>
    <row r="390">
      <c r="A390">
        <f>IF('WSF DASHBOARD'!$B$4="Area",IF(389&lt;=$D$3,IF(OR('WSF DASHBOARD'!$C$4="",ISNUMBER(SEARCH('WSF DASHBOARD'!$C$4,INDEX(MASTER_AREAS!$B:$B,390)))),389,""),""),IF('WSF DASHBOARD'!$B$4="Zone",IF(389&lt;=$D$4,IF(OR('WSF DASHBOARD'!$C$4="",ISNUMBER(SEARCH('WSF DASHBOARD'!$C$4,INDEX(MASTER_ZONES!$B:$B,390)))),389,""),""),""))</f>
        <v/>
      </c>
      <c r="F390">
        <f>IF('TRANSPORT DASHBOARD'!$B$4="Area",IF(389&lt;=$I$3,IF(OR('TRANSPORT DASHBOARD'!$C$4="",ISNUMBER(SEARCH('TRANSPORT DASHBOARD'!$C$4,INDEX(MASTER_AREAS!$B:$B,390)))),389,""),""),IF('TRANSPORT DASHBOARD'!$B$4="Zone",IF(389&lt;=$I$4,IF(OR('TRANSPORT DASHBOARD'!$C$4="",ISNUMBER(SEARCH('TRANSPORT DASHBOARD'!$C$4,INDEX(MASTER_ZONES!$B:$B,390)))),389,""),""),""))</f>
        <v/>
      </c>
    </row>
    <row r="391">
      <c r="A391">
        <f>IF('WSF DASHBOARD'!$B$4="Area",IF(390&lt;=$D$3,IF(OR('WSF DASHBOARD'!$C$4="",ISNUMBER(SEARCH('WSF DASHBOARD'!$C$4,INDEX(MASTER_AREAS!$B:$B,391)))),390,""),""),IF('WSF DASHBOARD'!$B$4="Zone",IF(390&lt;=$D$4,IF(OR('WSF DASHBOARD'!$C$4="",ISNUMBER(SEARCH('WSF DASHBOARD'!$C$4,INDEX(MASTER_ZONES!$B:$B,391)))),390,""),""),""))</f>
        <v/>
      </c>
      <c r="F391">
        <f>IF('TRANSPORT DASHBOARD'!$B$4="Area",IF(390&lt;=$I$3,IF(OR('TRANSPORT DASHBOARD'!$C$4="",ISNUMBER(SEARCH('TRANSPORT DASHBOARD'!$C$4,INDEX(MASTER_AREAS!$B:$B,391)))),390,""),""),IF('TRANSPORT DASHBOARD'!$B$4="Zone",IF(390&lt;=$I$4,IF(OR('TRANSPORT DASHBOARD'!$C$4="",ISNUMBER(SEARCH('TRANSPORT DASHBOARD'!$C$4,INDEX(MASTER_ZONES!$B:$B,391)))),390,""),""),""))</f>
        <v/>
      </c>
    </row>
    <row r="392">
      <c r="A392">
        <f>IF('WSF DASHBOARD'!$B$4="Area",IF(391&lt;=$D$3,IF(OR('WSF DASHBOARD'!$C$4="",ISNUMBER(SEARCH('WSF DASHBOARD'!$C$4,INDEX(MASTER_AREAS!$B:$B,392)))),391,""),""),IF('WSF DASHBOARD'!$B$4="Zone",IF(391&lt;=$D$4,IF(OR('WSF DASHBOARD'!$C$4="",ISNUMBER(SEARCH('WSF DASHBOARD'!$C$4,INDEX(MASTER_ZONES!$B:$B,392)))),391,""),""),""))</f>
        <v/>
      </c>
      <c r="F392">
        <f>IF('TRANSPORT DASHBOARD'!$B$4="Area",IF(391&lt;=$I$3,IF(OR('TRANSPORT DASHBOARD'!$C$4="",ISNUMBER(SEARCH('TRANSPORT DASHBOARD'!$C$4,INDEX(MASTER_AREAS!$B:$B,392)))),391,""),""),IF('TRANSPORT DASHBOARD'!$B$4="Zone",IF(391&lt;=$I$4,IF(OR('TRANSPORT DASHBOARD'!$C$4="",ISNUMBER(SEARCH('TRANSPORT DASHBOARD'!$C$4,INDEX(MASTER_ZONES!$B:$B,392)))),391,""),""),""))</f>
        <v/>
      </c>
    </row>
    <row r="393">
      <c r="A393">
        <f>IF('WSF DASHBOARD'!$B$4="Area",IF(392&lt;=$D$3,IF(OR('WSF DASHBOARD'!$C$4="",ISNUMBER(SEARCH('WSF DASHBOARD'!$C$4,INDEX(MASTER_AREAS!$B:$B,393)))),392,""),""),IF('WSF DASHBOARD'!$B$4="Zone",IF(392&lt;=$D$4,IF(OR('WSF DASHBOARD'!$C$4="",ISNUMBER(SEARCH('WSF DASHBOARD'!$C$4,INDEX(MASTER_ZONES!$B:$B,393)))),392,""),""),""))</f>
        <v/>
      </c>
      <c r="F393">
        <f>IF('TRANSPORT DASHBOARD'!$B$4="Area",IF(392&lt;=$I$3,IF(OR('TRANSPORT DASHBOARD'!$C$4="",ISNUMBER(SEARCH('TRANSPORT DASHBOARD'!$C$4,INDEX(MASTER_AREAS!$B:$B,393)))),392,""),""),IF('TRANSPORT DASHBOARD'!$B$4="Zone",IF(392&lt;=$I$4,IF(OR('TRANSPORT DASHBOARD'!$C$4="",ISNUMBER(SEARCH('TRANSPORT DASHBOARD'!$C$4,INDEX(MASTER_ZONES!$B:$B,393)))),392,""),""),""))</f>
        <v/>
      </c>
    </row>
    <row r="394">
      <c r="A394">
        <f>IF('WSF DASHBOARD'!$B$4="Area",IF(393&lt;=$D$3,IF(OR('WSF DASHBOARD'!$C$4="",ISNUMBER(SEARCH('WSF DASHBOARD'!$C$4,INDEX(MASTER_AREAS!$B:$B,394)))),393,""),""),IF('WSF DASHBOARD'!$B$4="Zone",IF(393&lt;=$D$4,IF(OR('WSF DASHBOARD'!$C$4="",ISNUMBER(SEARCH('WSF DASHBOARD'!$C$4,INDEX(MASTER_ZONES!$B:$B,394)))),393,""),""),""))</f>
        <v/>
      </c>
      <c r="F394">
        <f>IF('TRANSPORT DASHBOARD'!$B$4="Area",IF(393&lt;=$I$3,IF(OR('TRANSPORT DASHBOARD'!$C$4="",ISNUMBER(SEARCH('TRANSPORT DASHBOARD'!$C$4,INDEX(MASTER_AREAS!$B:$B,394)))),393,""),""),IF('TRANSPORT DASHBOARD'!$B$4="Zone",IF(393&lt;=$I$4,IF(OR('TRANSPORT DASHBOARD'!$C$4="",ISNUMBER(SEARCH('TRANSPORT DASHBOARD'!$C$4,INDEX(MASTER_ZONES!$B:$B,394)))),393,""),""),""))</f>
        <v/>
      </c>
    </row>
    <row r="395">
      <c r="A395">
        <f>IF('WSF DASHBOARD'!$B$4="Area",IF(394&lt;=$D$3,IF(OR('WSF DASHBOARD'!$C$4="",ISNUMBER(SEARCH('WSF DASHBOARD'!$C$4,INDEX(MASTER_AREAS!$B:$B,395)))),394,""),""),IF('WSF DASHBOARD'!$B$4="Zone",IF(394&lt;=$D$4,IF(OR('WSF DASHBOARD'!$C$4="",ISNUMBER(SEARCH('WSF DASHBOARD'!$C$4,INDEX(MASTER_ZONES!$B:$B,395)))),394,""),""),""))</f>
        <v/>
      </c>
      <c r="F395">
        <f>IF('TRANSPORT DASHBOARD'!$B$4="Area",IF(394&lt;=$I$3,IF(OR('TRANSPORT DASHBOARD'!$C$4="",ISNUMBER(SEARCH('TRANSPORT DASHBOARD'!$C$4,INDEX(MASTER_AREAS!$B:$B,395)))),394,""),""),IF('TRANSPORT DASHBOARD'!$B$4="Zone",IF(394&lt;=$I$4,IF(OR('TRANSPORT DASHBOARD'!$C$4="",ISNUMBER(SEARCH('TRANSPORT DASHBOARD'!$C$4,INDEX(MASTER_ZONES!$B:$B,395)))),394,""),""),""))</f>
        <v/>
      </c>
    </row>
    <row r="396">
      <c r="A396">
        <f>IF('WSF DASHBOARD'!$B$4="Area",IF(395&lt;=$D$3,IF(OR('WSF DASHBOARD'!$C$4="",ISNUMBER(SEARCH('WSF DASHBOARD'!$C$4,INDEX(MASTER_AREAS!$B:$B,396)))),395,""),""),IF('WSF DASHBOARD'!$B$4="Zone",IF(395&lt;=$D$4,IF(OR('WSF DASHBOARD'!$C$4="",ISNUMBER(SEARCH('WSF DASHBOARD'!$C$4,INDEX(MASTER_ZONES!$B:$B,396)))),395,""),""),""))</f>
        <v/>
      </c>
      <c r="F396">
        <f>IF('TRANSPORT DASHBOARD'!$B$4="Area",IF(395&lt;=$I$3,IF(OR('TRANSPORT DASHBOARD'!$C$4="",ISNUMBER(SEARCH('TRANSPORT DASHBOARD'!$C$4,INDEX(MASTER_AREAS!$B:$B,396)))),395,""),""),IF('TRANSPORT DASHBOARD'!$B$4="Zone",IF(395&lt;=$I$4,IF(OR('TRANSPORT DASHBOARD'!$C$4="",ISNUMBER(SEARCH('TRANSPORT DASHBOARD'!$C$4,INDEX(MASTER_ZONES!$B:$B,396)))),395,""),""),""))</f>
        <v/>
      </c>
    </row>
    <row r="397">
      <c r="A397">
        <f>IF('WSF DASHBOARD'!$B$4="Area",IF(396&lt;=$D$3,IF(OR('WSF DASHBOARD'!$C$4="",ISNUMBER(SEARCH('WSF DASHBOARD'!$C$4,INDEX(MASTER_AREAS!$B:$B,397)))),396,""),""),IF('WSF DASHBOARD'!$B$4="Zone",IF(396&lt;=$D$4,IF(OR('WSF DASHBOARD'!$C$4="",ISNUMBER(SEARCH('WSF DASHBOARD'!$C$4,INDEX(MASTER_ZONES!$B:$B,397)))),396,""),""),""))</f>
        <v/>
      </c>
      <c r="F397">
        <f>IF('TRANSPORT DASHBOARD'!$B$4="Area",IF(396&lt;=$I$3,IF(OR('TRANSPORT DASHBOARD'!$C$4="",ISNUMBER(SEARCH('TRANSPORT DASHBOARD'!$C$4,INDEX(MASTER_AREAS!$B:$B,397)))),396,""),""),IF('TRANSPORT DASHBOARD'!$B$4="Zone",IF(396&lt;=$I$4,IF(OR('TRANSPORT DASHBOARD'!$C$4="",ISNUMBER(SEARCH('TRANSPORT DASHBOARD'!$C$4,INDEX(MASTER_ZONES!$B:$B,397)))),396,""),""),""))</f>
        <v/>
      </c>
    </row>
    <row r="398">
      <c r="A398">
        <f>IF('WSF DASHBOARD'!$B$4="Area",IF(397&lt;=$D$3,IF(OR('WSF DASHBOARD'!$C$4="",ISNUMBER(SEARCH('WSF DASHBOARD'!$C$4,INDEX(MASTER_AREAS!$B:$B,398)))),397,""),""),IF('WSF DASHBOARD'!$B$4="Zone",IF(397&lt;=$D$4,IF(OR('WSF DASHBOARD'!$C$4="",ISNUMBER(SEARCH('WSF DASHBOARD'!$C$4,INDEX(MASTER_ZONES!$B:$B,398)))),397,""),""),""))</f>
        <v/>
      </c>
      <c r="F398">
        <f>IF('TRANSPORT DASHBOARD'!$B$4="Area",IF(397&lt;=$I$3,IF(OR('TRANSPORT DASHBOARD'!$C$4="",ISNUMBER(SEARCH('TRANSPORT DASHBOARD'!$C$4,INDEX(MASTER_AREAS!$B:$B,398)))),397,""),""),IF('TRANSPORT DASHBOARD'!$B$4="Zone",IF(397&lt;=$I$4,IF(OR('TRANSPORT DASHBOARD'!$C$4="",ISNUMBER(SEARCH('TRANSPORT DASHBOARD'!$C$4,INDEX(MASTER_ZONES!$B:$B,398)))),397,""),""),""))</f>
        <v/>
      </c>
    </row>
    <row r="399">
      <c r="A399">
        <f>IF('WSF DASHBOARD'!$B$4="Area",IF(398&lt;=$D$3,IF(OR('WSF DASHBOARD'!$C$4="",ISNUMBER(SEARCH('WSF DASHBOARD'!$C$4,INDEX(MASTER_AREAS!$B:$B,399)))),398,""),""),IF('WSF DASHBOARD'!$B$4="Zone",IF(398&lt;=$D$4,IF(OR('WSF DASHBOARD'!$C$4="",ISNUMBER(SEARCH('WSF DASHBOARD'!$C$4,INDEX(MASTER_ZONES!$B:$B,399)))),398,""),""),""))</f>
        <v/>
      </c>
      <c r="F399">
        <f>IF('TRANSPORT DASHBOARD'!$B$4="Area",IF(398&lt;=$I$3,IF(OR('TRANSPORT DASHBOARD'!$C$4="",ISNUMBER(SEARCH('TRANSPORT DASHBOARD'!$C$4,INDEX(MASTER_AREAS!$B:$B,399)))),398,""),""),IF('TRANSPORT DASHBOARD'!$B$4="Zone",IF(398&lt;=$I$4,IF(OR('TRANSPORT DASHBOARD'!$C$4="",ISNUMBER(SEARCH('TRANSPORT DASHBOARD'!$C$4,INDEX(MASTER_ZONES!$B:$B,399)))),398,""),""),""))</f>
        <v/>
      </c>
    </row>
    <row r="400">
      <c r="A400">
        <f>IF('WSF DASHBOARD'!$B$4="Area",IF(399&lt;=$D$3,IF(OR('WSF DASHBOARD'!$C$4="",ISNUMBER(SEARCH('WSF DASHBOARD'!$C$4,INDEX(MASTER_AREAS!$B:$B,400)))),399,""),""),IF('WSF DASHBOARD'!$B$4="Zone",IF(399&lt;=$D$4,IF(OR('WSF DASHBOARD'!$C$4="",ISNUMBER(SEARCH('WSF DASHBOARD'!$C$4,INDEX(MASTER_ZONES!$B:$B,400)))),399,""),""),""))</f>
        <v/>
      </c>
      <c r="F400">
        <f>IF('TRANSPORT DASHBOARD'!$B$4="Area",IF(399&lt;=$I$3,IF(OR('TRANSPORT DASHBOARD'!$C$4="",ISNUMBER(SEARCH('TRANSPORT DASHBOARD'!$C$4,INDEX(MASTER_AREAS!$B:$B,400)))),399,""),""),IF('TRANSPORT DASHBOARD'!$B$4="Zone",IF(399&lt;=$I$4,IF(OR('TRANSPORT DASHBOARD'!$C$4="",ISNUMBER(SEARCH('TRANSPORT DASHBOARD'!$C$4,INDEX(MASTER_ZONES!$B:$B,400)))),399,""),""),""))</f>
        <v/>
      </c>
    </row>
    <row r="401">
      <c r="A401">
        <f>IF('WSF DASHBOARD'!$B$4="Area",IF(400&lt;=$D$3,IF(OR('WSF DASHBOARD'!$C$4="",ISNUMBER(SEARCH('WSF DASHBOARD'!$C$4,INDEX(MASTER_AREAS!$B:$B,401)))),400,""),""),IF('WSF DASHBOARD'!$B$4="Zone",IF(400&lt;=$D$4,IF(OR('WSF DASHBOARD'!$C$4="",ISNUMBER(SEARCH('WSF DASHBOARD'!$C$4,INDEX(MASTER_ZONES!$B:$B,401)))),400,""),""),""))</f>
        <v/>
      </c>
      <c r="F401">
        <f>IF('TRANSPORT DASHBOARD'!$B$4="Area",IF(400&lt;=$I$3,IF(OR('TRANSPORT DASHBOARD'!$C$4="",ISNUMBER(SEARCH('TRANSPORT DASHBOARD'!$C$4,INDEX(MASTER_AREAS!$B:$B,401)))),400,""),""),IF('TRANSPORT DASHBOARD'!$B$4="Zone",IF(400&lt;=$I$4,IF(OR('TRANSPORT DASHBOARD'!$C$4="",ISNUMBER(SEARCH('TRANSPORT DASHBOARD'!$C$4,INDEX(MASTER_ZONES!$B:$B,401)))),400,""),""),""))</f>
        <v/>
      </c>
    </row>
    <row r="402">
      <c r="A402">
        <f>IF('WSF DASHBOARD'!$B$4="Area",IF(401&lt;=$D$3,IF(OR('WSF DASHBOARD'!$C$4="",ISNUMBER(SEARCH('WSF DASHBOARD'!$C$4,INDEX(MASTER_AREAS!$B:$B,402)))),401,""),""),IF('WSF DASHBOARD'!$B$4="Zone",IF(401&lt;=$D$4,IF(OR('WSF DASHBOARD'!$C$4="",ISNUMBER(SEARCH('WSF DASHBOARD'!$C$4,INDEX(MASTER_ZONES!$B:$B,402)))),401,""),""),""))</f>
        <v/>
      </c>
      <c r="F402">
        <f>IF('TRANSPORT DASHBOARD'!$B$4="Area",IF(401&lt;=$I$3,IF(OR('TRANSPORT DASHBOARD'!$C$4="",ISNUMBER(SEARCH('TRANSPORT DASHBOARD'!$C$4,INDEX(MASTER_AREAS!$B:$B,402)))),401,""),""),IF('TRANSPORT DASHBOARD'!$B$4="Zone",IF(401&lt;=$I$4,IF(OR('TRANSPORT DASHBOARD'!$C$4="",ISNUMBER(SEARCH('TRANSPORT DASHBOARD'!$C$4,INDEX(MASTER_ZONES!$B:$B,402)))),401,""),""),""))</f>
        <v/>
      </c>
    </row>
    <row r="403">
      <c r="A403">
        <f>IF('WSF DASHBOARD'!$B$4="Area",IF(402&lt;=$D$3,IF(OR('WSF DASHBOARD'!$C$4="",ISNUMBER(SEARCH('WSF DASHBOARD'!$C$4,INDEX(MASTER_AREAS!$B:$B,403)))),402,""),""),IF('WSF DASHBOARD'!$B$4="Zone",IF(402&lt;=$D$4,IF(OR('WSF DASHBOARD'!$C$4="",ISNUMBER(SEARCH('WSF DASHBOARD'!$C$4,INDEX(MASTER_ZONES!$B:$B,403)))),402,""),""),""))</f>
        <v/>
      </c>
      <c r="F403">
        <f>IF('TRANSPORT DASHBOARD'!$B$4="Area",IF(402&lt;=$I$3,IF(OR('TRANSPORT DASHBOARD'!$C$4="",ISNUMBER(SEARCH('TRANSPORT DASHBOARD'!$C$4,INDEX(MASTER_AREAS!$B:$B,403)))),402,""),""),IF('TRANSPORT DASHBOARD'!$B$4="Zone",IF(402&lt;=$I$4,IF(OR('TRANSPORT DASHBOARD'!$C$4="",ISNUMBER(SEARCH('TRANSPORT DASHBOARD'!$C$4,INDEX(MASTER_ZONES!$B:$B,403)))),402,""),""),""))</f>
        <v/>
      </c>
    </row>
    <row r="404">
      <c r="A404">
        <f>IF('WSF DASHBOARD'!$B$4="Area",IF(403&lt;=$D$3,IF(OR('WSF DASHBOARD'!$C$4="",ISNUMBER(SEARCH('WSF DASHBOARD'!$C$4,INDEX(MASTER_AREAS!$B:$B,404)))),403,""),""),IF('WSF DASHBOARD'!$B$4="Zone",IF(403&lt;=$D$4,IF(OR('WSF DASHBOARD'!$C$4="",ISNUMBER(SEARCH('WSF DASHBOARD'!$C$4,INDEX(MASTER_ZONES!$B:$B,404)))),403,""),""),""))</f>
        <v/>
      </c>
      <c r="F404">
        <f>IF('TRANSPORT DASHBOARD'!$B$4="Area",IF(403&lt;=$I$3,IF(OR('TRANSPORT DASHBOARD'!$C$4="",ISNUMBER(SEARCH('TRANSPORT DASHBOARD'!$C$4,INDEX(MASTER_AREAS!$B:$B,404)))),403,""),""),IF('TRANSPORT DASHBOARD'!$B$4="Zone",IF(403&lt;=$I$4,IF(OR('TRANSPORT DASHBOARD'!$C$4="",ISNUMBER(SEARCH('TRANSPORT DASHBOARD'!$C$4,INDEX(MASTER_ZONES!$B:$B,404)))),403,""),""),""))</f>
        <v/>
      </c>
    </row>
    <row r="405">
      <c r="A405">
        <f>IF('WSF DASHBOARD'!$B$4="Area",IF(404&lt;=$D$3,IF(OR('WSF DASHBOARD'!$C$4="",ISNUMBER(SEARCH('WSF DASHBOARD'!$C$4,INDEX(MASTER_AREAS!$B:$B,405)))),404,""),""),IF('WSF DASHBOARD'!$B$4="Zone",IF(404&lt;=$D$4,IF(OR('WSF DASHBOARD'!$C$4="",ISNUMBER(SEARCH('WSF DASHBOARD'!$C$4,INDEX(MASTER_ZONES!$B:$B,405)))),404,""),""),""))</f>
        <v/>
      </c>
      <c r="F405">
        <f>IF('TRANSPORT DASHBOARD'!$B$4="Area",IF(404&lt;=$I$3,IF(OR('TRANSPORT DASHBOARD'!$C$4="",ISNUMBER(SEARCH('TRANSPORT DASHBOARD'!$C$4,INDEX(MASTER_AREAS!$B:$B,405)))),404,""),""),IF('TRANSPORT DASHBOARD'!$B$4="Zone",IF(404&lt;=$I$4,IF(OR('TRANSPORT DASHBOARD'!$C$4="",ISNUMBER(SEARCH('TRANSPORT DASHBOARD'!$C$4,INDEX(MASTER_ZONES!$B:$B,405)))),404,""),""),""))</f>
        <v/>
      </c>
    </row>
    <row r="406">
      <c r="A406">
        <f>IF('WSF DASHBOARD'!$B$4="Area",IF(405&lt;=$D$3,IF(OR('WSF DASHBOARD'!$C$4="",ISNUMBER(SEARCH('WSF DASHBOARD'!$C$4,INDEX(MASTER_AREAS!$B:$B,406)))),405,""),""),IF('WSF DASHBOARD'!$B$4="Zone",IF(405&lt;=$D$4,IF(OR('WSF DASHBOARD'!$C$4="",ISNUMBER(SEARCH('WSF DASHBOARD'!$C$4,INDEX(MASTER_ZONES!$B:$B,406)))),405,""),""),""))</f>
        <v/>
      </c>
      <c r="F406">
        <f>IF('TRANSPORT DASHBOARD'!$B$4="Area",IF(405&lt;=$I$3,IF(OR('TRANSPORT DASHBOARD'!$C$4="",ISNUMBER(SEARCH('TRANSPORT DASHBOARD'!$C$4,INDEX(MASTER_AREAS!$B:$B,406)))),405,""),""),IF('TRANSPORT DASHBOARD'!$B$4="Zone",IF(405&lt;=$I$4,IF(OR('TRANSPORT DASHBOARD'!$C$4="",ISNUMBER(SEARCH('TRANSPORT DASHBOARD'!$C$4,INDEX(MASTER_ZONES!$B:$B,406)))),405,""),""),""))</f>
        <v/>
      </c>
    </row>
    <row r="407">
      <c r="A407">
        <f>IF('WSF DASHBOARD'!$B$4="Area",IF(406&lt;=$D$3,IF(OR('WSF DASHBOARD'!$C$4="",ISNUMBER(SEARCH('WSF DASHBOARD'!$C$4,INDEX(MASTER_AREAS!$B:$B,407)))),406,""),""),IF('WSF DASHBOARD'!$B$4="Zone",IF(406&lt;=$D$4,IF(OR('WSF DASHBOARD'!$C$4="",ISNUMBER(SEARCH('WSF DASHBOARD'!$C$4,INDEX(MASTER_ZONES!$B:$B,407)))),406,""),""),""))</f>
        <v/>
      </c>
      <c r="F407">
        <f>IF('TRANSPORT DASHBOARD'!$B$4="Area",IF(406&lt;=$I$3,IF(OR('TRANSPORT DASHBOARD'!$C$4="",ISNUMBER(SEARCH('TRANSPORT DASHBOARD'!$C$4,INDEX(MASTER_AREAS!$B:$B,407)))),406,""),""),IF('TRANSPORT DASHBOARD'!$B$4="Zone",IF(406&lt;=$I$4,IF(OR('TRANSPORT DASHBOARD'!$C$4="",ISNUMBER(SEARCH('TRANSPORT DASHBOARD'!$C$4,INDEX(MASTER_ZONES!$B:$B,407)))),406,""),""),""))</f>
        <v/>
      </c>
    </row>
    <row r="408">
      <c r="A408">
        <f>IF('WSF DASHBOARD'!$B$4="Area",IF(407&lt;=$D$3,IF(OR('WSF DASHBOARD'!$C$4="",ISNUMBER(SEARCH('WSF DASHBOARD'!$C$4,INDEX(MASTER_AREAS!$B:$B,408)))),407,""),""),IF('WSF DASHBOARD'!$B$4="Zone",IF(407&lt;=$D$4,IF(OR('WSF DASHBOARD'!$C$4="",ISNUMBER(SEARCH('WSF DASHBOARD'!$C$4,INDEX(MASTER_ZONES!$B:$B,408)))),407,""),""),""))</f>
        <v/>
      </c>
      <c r="F408">
        <f>IF('TRANSPORT DASHBOARD'!$B$4="Area",IF(407&lt;=$I$3,IF(OR('TRANSPORT DASHBOARD'!$C$4="",ISNUMBER(SEARCH('TRANSPORT DASHBOARD'!$C$4,INDEX(MASTER_AREAS!$B:$B,408)))),407,""),""),IF('TRANSPORT DASHBOARD'!$B$4="Zone",IF(407&lt;=$I$4,IF(OR('TRANSPORT DASHBOARD'!$C$4="",ISNUMBER(SEARCH('TRANSPORT DASHBOARD'!$C$4,INDEX(MASTER_ZONES!$B:$B,408)))),407,""),""),""))</f>
        <v/>
      </c>
    </row>
    <row r="409">
      <c r="A409">
        <f>IF('WSF DASHBOARD'!$B$4="Area",IF(408&lt;=$D$3,IF(OR('WSF DASHBOARD'!$C$4="",ISNUMBER(SEARCH('WSF DASHBOARD'!$C$4,INDEX(MASTER_AREAS!$B:$B,409)))),408,""),""),IF('WSF DASHBOARD'!$B$4="Zone",IF(408&lt;=$D$4,IF(OR('WSF DASHBOARD'!$C$4="",ISNUMBER(SEARCH('WSF DASHBOARD'!$C$4,INDEX(MASTER_ZONES!$B:$B,409)))),408,""),""),""))</f>
        <v/>
      </c>
      <c r="F409">
        <f>IF('TRANSPORT DASHBOARD'!$B$4="Area",IF(408&lt;=$I$3,IF(OR('TRANSPORT DASHBOARD'!$C$4="",ISNUMBER(SEARCH('TRANSPORT DASHBOARD'!$C$4,INDEX(MASTER_AREAS!$B:$B,409)))),408,""),""),IF('TRANSPORT DASHBOARD'!$B$4="Zone",IF(408&lt;=$I$4,IF(OR('TRANSPORT DASHBOARD'!$C$4="",ISNUMBER(SEARCH('TRANSPORT DASHBOARD'!$C$4,INDEX(MASTER_ZONES!$B:$B,409)))),408,""),""),""))</f>
        <v/>
      </c>
    </row>
    <row r="410">
      <c r="A410">
        <f>IF('WSF DASHBOARD'!$B$4="Area",IF(409&lt;=$D$3,IF(OR('WSF DASHBOARD'!$C$4="",ISNUMBER(SEARCH('WSF DASHBOARD'!$C$4,INDEX(MASTER_AREAS!$B:$B,410)))),409,""),""),IF('WSF DASHBOARD'!$B$4="Zone",IF(409&lt;=$D$4,IF(OR('WSF DASHBOARD'!$C$4="",ISNUMBER(SEARCH('WSF DASHBOARD'!$C$4,INDEX(MASTER_ZONES!$B:$B,410)))),409,""),""),""))</f>
        <v/>
      </c>
      <c r="F410">
        <f>IF('TRANSPORT DASHBOARD'!$B$4="Area",IF(409&lt;=$I$3,IF(OR('TRANSPORT DASHBOARD'!$C$4="",ISNUMBER(SEARCH('TRANSPORT DASHBOARD'!$C$4,INDEX(MASTER_AREAS!$B:$B,410)))),409,""),""),IF('TRANSPORT DASHBOARD'!$B$4="Zone",IF(409&lt;=$I$4,IF(OR('TRANSPORT DASHBOARD'!$C$4="",ISNUMBER(SEARCH('TRANSPORT DASHBOARD'!$C$4,INDEX(MASTER_ZONES!$B:$B,410)))),409,""),""),""))</f>
        <v/>
      </c>
    </row>
    <row r="411">
      <c r="A411">
        <f>IF('WSF DASHBOARD'!$B$4="Area",IF(410&lt;=$D$3,IF(OR('WSF DASHBOARD'!$C$4="",ISNUMBER(SEARCH('WSF DASHBOARD'!$C$4,INDEX(MASTER_AREAS!$B:$B,411)))),410,""),""),IF('WSF DASHBOARD'!$B$4="Zone",IF(410&lt;=$D$4,IF(OR('WSF DASHBOARD'!$C$4="",ISNUMBER(SEARCH('WSF DASHBOARD'!$C$4,INDEX(MASTER_ZONES!$B:$B,411)))),410,""),""),""))</f>
        <v/>
      </c>
      <c r="F411">
        <f>IF('TRANSPORT DASHBOARD'!$B$4="Area",IF(410&lt;=$I$3,IF(OR('TRANSPORT DASHBOARD'!$C$4="",ISNUMBER(SEARCH('TRANSPORT DASHBOARD'!$C$4,INDEX(MASTER_AREAS!$B:$B,411)))),410,""),""),IF('TRANSPORT DASHBOARD'!$B$4="Zone",IF(410&lt;=$I$4,IF(OR('TRANSPORT DASHBOARD'!$C$4="",ISNUMBER(SEARCH('TRANSPORT DASHBOARD'!$C$4,INDEX(MASTER_ZONES!$B:$B,411)))),410,""),""),""))</f>
        <v/>
      </c>
    </row>
    <row r="412">
      <c r="A412">
        <f>IF('WSF DASHBOARD'!$B$4="Area",IF(411&lt;=$D$3,IF(OR('WSF DASHBOARD'!$C$4="",ISNUMBER(SEARCH('WSF DASHBOARD'!$C$4,INDEX(MASTER_AREAS!$B:$B,412)))),411,""),""),IF('WSF DASHBOARD'!$B$4="Zone",IF(411&lt;=$D$4,IF(OR('WSF DASHBOARD'!$C$4="",ISNUMBER(SEARCH('WSF DASHBOARD'!$C$4,INDEX(MASTER_ZONES!$B:$B,412)))),411,""),""),""))</f>
        <v/>
      </c>
      <c r="F412">
        <f>IF('TRANSPORT DASHBOARD'!$B$4="Area",IF(411&lt;=$I$3,IF(OR('TRANSPORT DASHBOARD'!$C$4="",ISNUMBER(SEARCH('TRANSPORT DASHBOARD'!$C$4,INDEX(MASTER_AREAS!$B:$B,412)))),411,""),""),IF('TRANSPORT DASHBOARD'!$B$4="Zone",IF(411&lt;=$I$4,IF(OR('TRANSPORT DASHBOARD'!$C$4="",ISNUMBER(SEARCH('TRANSPORT DASHBOARD'!$C$4,INDEX(MASTER_ZONES!$B:$B,412)))),411,""),""),""))</f>
        <v/>
      </c>
    </row>
    <row r="413">
      <c r="A413">
        <f>IF('WSF DASHBOARD'!$B$4="Area",IF(412&lt;=$D$3,IF(OR('WSF DASHBOARD'!$C$4="",ISNUMBER(SEARCH('WSF DASHBOARD'!$C$4,INDEX(MASTER_AREAS!$B:$B,413)))),412,""),""),IF('WSF DASHBOARD'!$B$4="Zone",IF(412&lt;=$D$4,IF(OR('WSF DASHBOARD'!$C$4="",ISNUMBER(SEARCH('WSF DASHBOARD'!$C$4,INDEX(MASTER_ZONES!$B:$B,413)))),412,""),""),""))</f>
        <v/>
      </c>
      <c r="F413">
        <f>IF('TRANSPORT DASHBOARD'!$B$4="Area",IF(412&lt;=$I$3,IF(OR('TRANSPORT DASHBOARD'!$C$4="",ISNUMBER(SEARCH('TRANSPORT DASHBOARD'!$C$4,INDEX(MASTER_AREAS!$B:$B,413)))),412,""),""),IF('TRANSPORT DASHBOARD'!$B$4="Zone",IF(412&lt;=$I$4,IF(OR('TRANSPORT DASHBOARD'!$C$4="",ISNUMBER(SEARCH('TRANSPORT DASHBOARD'!$C$4,INDEX(MASTER_ZONES!$B:$B,413)))),412,""),""),""))</f>
        <v/>
      </c>
    </row>
    <row r="414">
      <c r="A414">
        <f>IF('WSF DASHBOARD'!$B$4="Area",IF(413&lt;=$D$3,IF(OR('WSF DASHBOARD'!$C$4="",ISNUMBER(SEARCH('WSF DASHBOARD'!$C$4,INDEX(MASTER_AREAS!$B:$B,414)))),413,""),""),IF('WSF DASHBOARD'!$B$4="Zone",IF(413&lt;=$D$4,IF(OR('WSF DASHBOARD'!$C$4="",ISNUMBER(SEARCH('WSF DASHBOARD'!$C$4,INDEX(MASTER_ZONES!$B:$B,414)))),413,""),""),""))</f>
        <v/>
      </c>
      <c r="F414">
        <f>IF('TRANSPORT DASHBOARD'!$B$4="Area",IF(413&lt;=$I$3,IF(OR('TRANSPORT DASHBOARD'!$C$4="",ISNUMBER(SEARCH('TRANSPORT DASHBOARD'!$C$4,INDEX(MASTER_AREAS!$B:$B,414)))),413,""),""),IF('TRANSPORT DASHBOARD'!$B$4="Zone",IF(413&lt;=$I$4,IF(OR('TRANSPORT DASHBOARD'!$C$4="",ISNUMBER(SEARCH('TRANSPORT DASHBOARD'!$C$4,INDEX(MASTER_ZONES!$B:$B,414)))),413,""),""),""))</f>
        <v/>
      </c>
    </row>
    <row r="415">
      <c r="A415">
        <f>IF('WSF DASHBOARD'!$B$4="Area",IF(414&lt;=$D$3,IF(OR('WSF DASHBOARD'!$C$4="",ISNUMBER(SEARCH('WSF DASHBOARD'!$C$4,INDEX(MASTER_AREAS!$B:$B,415)))),414,""),""),IF('WSF DASHBOARD'!$B$4="Zone",IF(414&lt;=$D$4,IF(OR('WSF DASHBOARD'!$C$4="",ISNUMBER(SEARCH('WSF DASHBOARD'!$C$4,INDEX(MASTER_ZONES!$B:$B,415)))),414,""),""),""))</f>
        <v/>
      </c>
      <c r="F415">
        <f>IF('TRANSPORT DASHBOARD'!$B$4="Area",IF(414&lt;=$I$3,IF(OR('TRANSPORT DASHBOARD'!$C$4="",ISNUMBER(SEARCH('TRANSPORT DASHBOARD'!$C$4,INDEX(MASTER_AREAS!$B:$B,415)))),414,""),""),IF('TRANSPORT DASHBOARD'!$B$4="Zone",IF(414&lt;=$I$4,IF(OR('TRANSPORT DASHBOARD'!$C$4="",ISNUMBER(SEARCH('TRANSPORT DASHBOARD'!$C$4,INDEX(MASTER_ZONES!$B:$B,415)))),414,""),""),""))</f>
        <v/>
      </c>
    </row>
    <row r="416">
      <c r="A416">
        <f>IF('WSF DASHBOARD'!$B$4="Area",IF(415&lt;=$D$3,IF(OR('WSF DASHBOARD'!$C$4="",ISNUMBER(SEARCH('WSF DASHBOARD'!$C$4,INDEX(MASTER_AREAS!$B:$B,416)))),415,""),""),IF('WSF DASHBOARD'!$B$4="Zone",IF(415&lt;=$D$4,IF(OR('WSF DASHBOARD'!$C$4="",ISNUMBER(SEARCH('WSF DASHBOARD'!$C$4,INDEX(MASTER_ZONES!$B:$B,416)))),415,""),""),""))</f>
        <v/>
      </c>
      <c r="F416">
        <f>IF('TRANSPORT DASHBOARD'!$B$4="Area",IF(415&lt;=$I$3,IF(OR('TRANSPORT DASHBOARD'!$C$4="",ISNUMBER(SEARCH('TRANSPORT DASHBOARD'!$C$4,INDEX(MASTER_AREAS!$B:$B,416)))),415,""),""),IF('TRANSPORT DASHBOARD'!$B$4="Zone",IF(415&lt;=$I$4,IF(OR('TRANSPORT DASHBOARD'!$C$4="",ISNUMBER(SEARCH('TRANSPORT DASHBOARD'!$C$4,INDEX(MASTER_ZONES!$B:$B,416)))),415,""),""),""))</f>
        <v/>
      </c>
    </row>
    <row r="417">
      <c r="A417">
        <f>IF('WSF DASHBOARD'!$B$4="Area",IF(416&lt;=$D$3,IF(OR('WSF DASHBOARD'!$C$4="",ISNUMBER(SEARCH('WSF DASHBOARD'!$C$4,INDEX(MASTER_AREAS!$B:$B,417)))),416,""),""),IF('WSF DASHBOARD'!$B$4="Zone",IF(416&lt;=$D$4,IF(OR('WSF DASHBOARD'!$C$4="",ISNUMBER(SEARCH('WSF DASHBOARD'!$C$4,INDEX(MASTER_ZONES!$B:$B,417)))),416,""),""),""))</f>
        <v/>
      </c>
      <c r="F417">
        <f>IF('TRANSPORT DASHBOARD'!$B$4="Area",IF(416&lt;=$I$3,IF(OR('TRANSPORT DASHBOARD'!$C$4="",ISNUMBER(SEARCH('TRANSPORT DASHBOARD'!$C$4,INDEX(MASTER_AREAS!$B:$B,417)))),416,""),""),IF('TRANSPORT DASHBOARD'!$B$4="Zone",IF(416&lt;=$I$4,IF(OR('TRANSPORT DASHBOARD'!$C$4="",ISNUMBER(SEARCH('TRANSPORT DASHBOARD'!$C$4,INDEX(MASTER_ZONES!$B:$B,417)))),416,""),""),""))</f>
        <v/>
      </c>
    </row>
    <row r="418">
      <c r="A418">
        <f>IF('WSF DASHBOARD'!$B$4="Area",IF(417&lt;=$D$3,IF(OR('WSF DASHBOARD'!$C$4="",ISNUMBER(SEARCH('WSF DASHBOARD'!$C$4,INDEX(MASTER_AREAS!$B:$B,418)))),417,""),""),IF('WSF DASHBOARD'!$B$4="Zone",IF(417&lt;=$D$4,IF(OR('WSF DASHBOARD'!$C$4="",ISNUMBER(SEARCH('WSF DASHBOARD'!$C$4,INDEX(MASTER_ZONES!$B:$B,418)))),417,""),""),""))</f>
        <v/>
      </c>
      <c r="F418">
        <f>IF('TRANSPORT DASHBOARD'!$B$4="Area",IF(417&lt;=$I$3,IF(OR('TRANSPORT DASHBOARD'!$C$4="",ISNUMBER(SEARCH('TRANSPORT DASHBOARD'!$C$4,INDEX(MASTER_AREAS!$B:$B,418)))),417,""),""),IF('TRANSPORT DASHBOARD'!$B$4="Zone",IF(417&lt;=$I$4,IF(OR('TRANSPORT DASHBOARD'!$C$4="",ISNUMBER(SEARCH('TRANSPORT DASHBOARD'!$C$4,INDEX(MASTER_ZONES!$B:$B,418)))),417,""),""),""))</f>
        <v/>
      </c>
    </row>
    <row r="419">
      <c r="A419">
        <f>IF('WSF DASHBOARD'!$B$4="Area",IF(418&lt;=$D$3,IF(OR('WSF DASHBOARD'!$C$4="",ISNUMBER(SEARCH('WSF DASHBOARD'!$C$4,INDEX(MASTER_AREAS!$B:$B,419)))),418,""),""),IF('WSF DASHBOARD'!$B$4="Zone",IF(418&lt;=$D$4,IF(OR('WSF DASHBOARD'!$C$4="",ISNUMBER(SEARCH('WSF DASHBOARD'!$C$4,INDEX(MASTER_ZONES!$B:$B,419)))),418,""),""),""))</f>
        <v/>
      </c>
      <c r="F419">
        <f>IF('TRANSPORT DASHBOARD'!$B$4="Area",IF(418&lt;=$I$3,IF(OR('TRANSPORT DASHBOARD'!$C$4="",ISNUMBER(SEARCH('TRANSPORT DASHBOARD'!$C$4,INDEX(MASTER_AREAS!$B:$B,419)))),418,""),""),IF('TRANSPORT DASHBOARD'!$B$4="Zone",IF(418&lt;=$I$4,IF(OR('TRANSPORT DASHBOARD'!$C$4="",ISNUMBER(SEARCH('TRANSPORT DASHBOARD'!$C$4,INDEX(MASTER_ZONES!$B:$B,419)))),418,""),""),""))</f>
        <v/>
      </c>
    </row>
    <row r="420">
      <c r="A420">
        <f>IF('WSF DASHBOARD'!$B$4="Area",IF(419&lt;=$D$3,IF(OR('WSF DASHBOARD'!$C$4="",ISNUMBER(SEARCH('WSF DASHBOARD'!$C$4,INDEX(MASTER_AREAS!$B:$B,420)))),419,""),""),IF('WSF DASHBOARD'!$B$4="Zone",IF(419&lt;=$D$4,IF(OR('WSF DASHBOARD'!$C$4="",ISNUMBER(SEARCH('WSF DASHBOARD'!$C$4,INDEX(MASTER_ZONES!$B:$B,420)))),419,""),""),""))</f>
        <v/>
      </c>
      <c r="F420">
        <f>IF('TRANSPORT DASHBOARD'!$B$4="Area",IF(419&lt;=$I$3,IF(OR('TRANSPORT DASHBOARD'!$C$4="",ISNUMBER(SEARCH('TRANSPORT DASHBOARD'!$C$4,INDEX(MASTER_AREAS!$B:$B,420)))),419,""),""),IF('TRANSPORT DASHBOARD'!$B$4="Zone",IF(419&lt;=$I$4,IF(OR('TRANSPORT DASHBOARD'!$C$4="",ISNUMBER(SEARCH('TRANSPORT DASHBOARD'!$C$4,INDEX(MASTER_ZONES!$B:$B,420)))),419,""),""),""))</f>
        <v/>
      </c>
    </row>
    <row r="421">
      <c r="A421">
        <f>IF('WSF DASHBOARD'!$B$4="Area",IF(420&lt;=$D$3,IF(OR('WSF DASHBOARD'!$C$4="",ISNUMBER(SEARCH('WSF DASHBOARD'!$C$4,INDEX(MASTER_AREAS!$B:$B,421)))),420,""),""),IF('WSF DASHBOARD'!$B$4="Zone",IF(420&lt;=$D$4,IF(OR('WSF DASHBOARD'!$C$4="",ISNUMBER(SEARCH('WSF DASHBOARD'!$C$4,INDEX(MASTER_ZONES!$B:$B,421)))),420,""),""),""))</f>
        <v/>
      </c>
      <c r="F421">
        <f>IF('TRANSPORT DASHBOARD'!$B$4="Area",IF(420&lt;=$I$3,IF(OR('TRANSPORT DASHBOARD'!$C$4="",ISNUMBER(SEARCH('TRANSPORT DASHBOARD'!$C$4,INDEX(MASTER_AREAS!$B:$B,421)))),420,""),""),IF('TRANSPORT DASHBOARD'!$B$4="Zone",IF(420&lt;=$I$4,IF(OR('TRANSPORT DASHBOARD'!$C$4="",ISNUMBER(SEARCH('TRANSPORT DASHBOARD'!$C$4,INDEX(MASTER_ZONES!$B:$B,421)))),420,""),""),""))</f>
        <v/>
      </c>
    </row>
    <row r="422">
      <c r="A422">
        <f>IF('WSF DASHBOARD'!$B$4="Area",IF(421&lt;=$D$3,IF(OR('WSF DASHBOARD'!$C$4="",ISNUMBER(SEARCH('WSF DASHBOARD'!$C$4,INDEX(MASTER_AREAS!$B:$B,422)))),421,""),""),IF('WSF DASHBOARD'!$B$4="Zone",IF(421&lt;=$D$4,IF(OR('WSF DASHBOARD'!$C$4="",ISNUMBER(SEARCH('WSF DASHBOARD'!$C$4,INDEX(MASTER_ZONES!$B:$B,422)))),421,""),""),""))</f>
        <v/>
      </c>
      <c r="F422">
        <f>IF('TRANSPORT DASHBOARD'!$B$4="Area",IF(421&lt;=$I$3,IF(OR('TRANSPORT DASHBOARD'!$C$4="",ISNUMBER(SEARCH('TRANSPORT DASHBOARD'!$C$4,INDEX(MASTER_AREAS!$B:$B,422)))),421,""),""),IF('TRANSPORT DASHBOARD'!$B$4="Zone",IF(421&lt;=$I$4,IF(OR('TRANSPORT DASHBOARD'!$C$4="",ISNUMBER(SEARCH('TRANSPORT DASHBOARD'!$C$4,INDEX(MASTER_ZONES!$B:$B,422)))),421,""),""),""))</f>
        <v/>
      </c>
    </row>
    <row r="423">
      <c r="A423">
        <f>IF('WSF DASHBOARD'!$B$4="Area",IF(422&lt;=$D$3,IF(OR('WSF DASHBOARD'!$C$4="",ISNUMBER(SEARCH('WSF DASHBOARD'!$C$4,INDEX(MASTER_AREAS!$B:$B,423)))),422,""),""),IF('WSF DASHBOARD'!$B$4="Zone",IF(422&lt;=$D$4,IF(OR('WSF DASHBOARD'!$C$4="",ISNUMBER(SEARCH('WSF DASHBOARD'!$C$4,INDEX(MASTER_ZONES!$B:$B,423)))),422,""),""),""))</f>
        <v/>
      </c>
      <c r="F423">
        <f>IF('TRANSPORT DASHBOARD'!$B$4="Area",IF(422&lt;=$I$3,IF(OR('TRANSPORT DASHBOARD'!$C$4="",ISNUMBER(SEARCH('TRANSPORT DASHBOARD'!$C$4,INDEX(MASTER_AREAS!$B:$B,423)))),422,""),""),IF('TRANSPORT DASHBOARD'!$B$4="Zone",IF(422&lt;=$I$4,IF(OR('TRANSPORT DASHBOARD'!$C$4="",ISNUMBER(SEARCH('TRANSPORT DASHBOARD'!$C$4,INDEX(MASTER_ZONES!$B:$B,423)))),422,""),""),""))</f>
        <v/>
      </c>
    </row>
    <row r="424">
      <c r="A424">
        <f>IF('WSF DASHBOARD'!$B$4="Area",IF(423&lt;=$D$3,IF(OR('WSF DASHBOARD'!$C$4="",ISNUMBER(SEARCH('WSF DASHBOARD'!$C$4,INDEX(MASTER_AREAS!$B:$B,424)))),423,""),""),IF('WSF DASHBOARD'!$B$4="Zone",IF(423&lt;=$D$4,IF(OR('WSF DASHBOARD'!$C$4="",ISNUMBER(SEARCH('WSF DASHBOARD'!$C$4,INDEX(MASTER_ZONES!$B:$B,424)))),423,""),""),""))</f>
        <v/>
      </c>
      <c r="F424">
        <f>IF('TRANSPORT DASHBOARD'!$B$4="Area",IF(423&lt;=$I$3,IF(OR('TRANSPORT DASHBOARD'!$C$4="",ISNUMBER(SEARCH('TRANSPORT DASHBOARD'!$C$4,INDEX(MASTER_AREAS!$B:$B,424)))),423,""),""),IF('TRANSPORT DASHBOARD'!$B$4="Zone",IF(423&lt;=$I$4,IF(OR('TRANSPORT DASHBOARD'!$C$4="",ISNUMBER(SEARCH('TRANSPORT DASHBOARD'!$C$4,INDEX(MASTER_ZONES!$B:$B,424)))),423,""),""),""))</f>
        <v/>
      </c>
    </row>
    <row r="425">
      <c r="A425">
        <f>IF('WSF DASHBOARD'!$B$4="Area",IF(424&lt;=$D$3,IF(OR('WSF DASHBOARD'!$C$4="",ISNUMBER(SEARCH('WSF DASHBOARD'!$C$4,INDEX(MASTER_AREAS!$B:$B,425)))),424,""),""),IF('WSF DASHBOARD'!$B$4="Zone",IF(424&lt;=$D$4,IF(OR('WSF DASHBOARD'!$C$4="",ISNUMBER(SEARCH('WSF DASHBOARD'!$C$4,INDEX(MASTER_ZONES!$B:$B,425)))),424,""),""),""))</f>
        <v/>
      </c>
      <c r="F425">
        <f>IF('TRANSPORT DASHBOARD'!$B$4="Area",IF(424&lt;=$I$3,IF(OR('TRANSPORT DASHBOARD'!$C$4="",ISNUMBER(SEARCH('TRANSPORT DASHBOARD'!$C$4,INDEX(MASTER_AREAS!$B:$B,425)))),424,""),""),IF('TRANSPORT DASHBOARD'!$B$4="Zone",IF(424&lt;=$I$4,IF(OR('TRANSPORT DASHBOARD'!$C$4="",ISNUMBER(SEARCH('TRANSPORT DASHBOARD'!$C$4,INDEX(MASTER_ZONES!$B:$B,425)))),424,""),""),""))</f>
        <v/>
      </c>
    </row>
    <row r="426">
      <c r="A426">
        <f>IF('WSF DASHBOARD'!$B$4="Area",IF(425&lt;=$D$3,IF(OR('WSF DASHBOARD'!$C$4="",ISNUMBER(SEARCH('WSF DASHBOARD'!$C$4,INDEX(MASTER_AREAS!$B:$B,426)))),425,""),""),IF('WSF DASHBOARD'!$B$4="Zone",IF(425&lt;=$D$4,IF(OR('WSF DASHBOARD'!$C$4="",ISNUMBER(SEARCH('WSF DASHBOARD'!$C$4,INDEX(MASTER_ZONES!$B:$B,426)))),425,""),""),""))</f>
        <v/>
      </c>
      <c r="F426">
        <f>IF('TRANSPORT DASHBOARD'!$B$4="Area",IF(425&lt;=$I$3,IF(OR('TRANSPORT DASHBOARD'!$C$4="",ISNUMBER(SEARCH('TRANSPORT DASHBOARD'!$C$4,INDEX(MASTER_AREAS!$B:$B,426)))),425,""),""),IF('TRANSPORT DASHBOARD'!$B$4="Zone",IF(425&lt;=$I$4,IF(OR('TRANSPORT DASHBOARD'!$C$4="",ISNUMBER(SEARCH('TRANSPORT DASHBOARD'!$C$4,INDEX(MASTER_ZONES!$B:$B,426)))),425,""),""),""))</f>
        <v/>
      </c>
    </row>
    <row r="427">
      <c r="A427">
        <f>IF('WSF DASHBOARD'!$B$4="Area",IF(426&lt;=$D$3,IF(OR('WSF DASHBOARD'!$C$4="",ISNUMBER(SEARCH('WSF DASHBOARD'!$C$4,INDEX(MASTER_AREAS!$B:$B,427)))),426,""),""),IF('WSF DASHBOARD'!$B$4="Zone",IF(426&lt;=$D$4,IF(OR('WSF DASHBOARD'!$C$4="",ISNUMBER(SEARCH('WSF DASHBOARD'!$C$4,INDEX(MASTER_ZONES!$B:$B,427)))),426,""),""),""))</f>
        <v/>
      </c>
      <c r="F427">
        <f>IF('TRANSPORT DASHBOARD'!$B$4="Area",IF(426&lt;=$I$3,IF(OR('TRANSPORT DASHBOARD'!$C$4="",ISNUMBER(SEARCH('TRANSPORT DASHBOARD'!$C$4,INDEX(MASTER_AREAS!$B:$B,427)))),426,""),""),IF('TRANSPORT DASHBOARD'!$B$4="Zone",IF(426&lt;=$I$4,IF(OR('TRANSPORT DASHBOARD'!$C$4="",ISNUMBER(SEARCH('TRANSPORT DASHBOARD'!$C$4,INDEX(MASTER_ZONES!$B:$B,427)))),426,""),""),""))</f>
        <v/>
      </c>
    </row>
    <row r="428">
      <c r="A428">
        <f>IF('WSF DASHBOARD'!$B$4="Area",IF(427&lt;=$D$3,IF(OR('WSF DASHBOARD'!$C$4="",ISNUMBER(SEARCH('WSF DASHBOARD'!$C$4,INDEX(MASTER_AREAS!$B:$B,428)))),427,""),""),IF('WSF DASHBOARD'!$B$4="Zone",IF(427&lt;=$D$4,IF(OR('WSF DASHBOARD'!$C$4="",ISNUMBER(SEARCH('WSF DASHBOARD'!$C$4,INDEX(MASTER_ZONES!$B:$B,428)))),427,""),""),""))</f>
        <v/>
      </c>
      <c r="F428">
        <f>IF('TRANSPORT DASHBOARD'!$B$4="Area",IF(427&lt;=$I$3,IF(OR('TRANSPORT DASHBOARD'!$C$4="",ISNUMBER(SEARCH('TRANSPORT DASHBOARD'!$C$4,INDEX(MASTER_AREAS!$B:$B,428)))),427,""),""),IF('TRANSPORT DASHBOARD'!$B$4="Zone",IF(427&lt;=$I$4,IF(OR('TRANSPORT DASHBOARD'!$C$4="",ISNUMBER(SEARCH('TRANSPORT DASHBOARD'!$C$4,INDEX(MASTER_ZONES!$B:$B,428)))),427,""),""),""))</f>
        <v/>
      </c>
    </row>
    <row r="429">
      <c r="A429">
        <f>IF('WSF DASHBOARD'!$B$4="Area",IF(428&lt;=$D$3,IF(OR('WSF DASHBOARD'!$C$4="",ISNUMBER(SEARCH('WSF DASHBOARD'!$C$4,INDEX(MASTER_AREAS!$B:$B,429)))),428,""),""),IF('WSF DASHBOARD'!$B$4="Zone",IF(428&lt;=$D$4,IF(OR('WSF DASHBOARD'!$C$4="",ISNUMBER(SEARCH('WSF DASHBOARD'!$C$4,INDEX(MASTER_ZONES!$B:$B,429)))),428,""),""),""))</f>
        <v/>
      </c>
      <c r="F429">
        <f>IF('TRANSPORT DASHBOARD'!$B$4="Area",IF(428&lt;=$I$3,IF(OR('TRANSPORT DASHBOARD'!$C$4="",ISNUMBER(SEARCH('TRANSPORT DASHBOARD'!$C$4,INDEX(MASTER_AREAS!$B:$B,429)))),428,""),""),IF('TRANSPORT DASHBOARD'!$B$4="Zone",IF(428&lt;=$I$4,IF(OR('TRANSPORT DASHBOARD'!$C$4="",ISNUMBER(SEARCH('TRANSPORT DASHBOARD'!$C$4,INDEX(MASTER_ZONES!$B:$B,429)))),428,""),""),""))</f>
        <v/>
      </c>
    </row>
    <row r="430">
      <c r="A430">
        <f>IF('WSF DASHBOARD'!$B$4="Area",IF(429&lt;=$D$3,IF(OR('WSF DASHBOARD'!$C$4="",ISNUMBER(SEARCH('WSF DASHBOARD'!$C$4,INDEX(MASTER_AREAS!$B:$B,430)))),429,""),""),IF('WSF DASHBOARD'!$B$4="Zone",IF(429&lt;=$D$4,IF(OR('WSF DASHBOARD'!$C$4="",ISNUMBER(SEARCH('WSF DASHBOARD'!$C$4,INDEX(MASTER_ZONES!$B:$B,430)))),429,""),""),""))</f>
        <v/>
      </c>
      <c r="F430">
        <f>IF('TRANSPORT DASHBOARD'!$B$4="Area",IF(429&lt;=$I$3,IF(OR('TRANSPORT DASHBOARD'!$C$4="",ISNUMBER(SEARCH('TRANSPORT DASHBOARD'!$C$4,INDEX(MASTER_AREAS!$B:$B,430)))),429,""),""),IF('TRANSPORT DASHBOARD'!$B$4="Zone",IF(429&lt;=$I$4,IF(OR('TRANSPORT DASHBOARD'!$C$4="",ISNUMBER(SEARCH('TRANSPORT DASHBOARD'!$C$4,INDEX(MASTER_ZONES!$B:$B,430)))),429,""),""),""))</f>
        <v/>
      </c>
    </row>
    <row r="431">
      <c r="A431">
        <f>IF('WSF DASHBOARD'!$B$4="Area",IF(430&lt;=$D$3,IF(OR('WSF DASHBOARD'!$C$4="",ISNUMBER(SEARCH('WSF DASHBOARD'!$C$4,INDEX(MASTER_AREAS!$B:$B,431)))),430,""),""),IF('WSF DASHBOARD'!$B$4="Zone",IF(430&lt;=$D$4,IF(OR('WSF DASHBOARD'!$C$4="",ISNUMBER(SEARCH('WSF DASHBOARD'!$C$4,INDEX(MASTER_ZONES!$B:$B,431)))),430,""),""),""))</f>
        <v/>
      </c>
      <c r="F431">
        <f>IF('TRANSPORT DASHBOARD'!$B$4="Area",IF(430&lt;=$I$3,IF(OR('TRANSPORT DASHBOARD'!$C$4="",ISNUMBER(SEARCH('TRANSPORT DASHBOARD'!$C$4,INDEX(MASTER_AREAS!$B:$B,431)))),430,""),""),IF('TRANSPORT DASHBOARD'!$B$4="Zone",IF(430&lt;=$I$4,IF(OR('TRANSPORT DASHBOARD'!$C$4="",ISNUMBER(SEARCH('TRANSPORT DASHBOARD'!$C$4,INDEX(MASTER_ZONES!$B:$B,431)))),430,""),""),""))</f>
        <v/>
      </c>
    </row>
    <row r="432">
      <c r="A432">
        <f>IF('WSF DASHBOARD'!$B$4="Area",IF(431&lt;=$D$3,IF(OR('WSF DASHBOARD'!$C$4="",ISNUMBER(SEARCH('WSF DASHBOARD'!$C$4,INDEX(MASTER_AREAS!$B:$B,432)))),431,""),""),IF('WSF DASHBOARD'!$B$4="Zone",IF(431&lt;=$D$4,IF(OR('WSF DASHBOARD'!$C$4="",ISNUMBER(SEARCH('WSF DASHBOARD'!$C$4,INDEX(MASTER_ZONES!$B:$B,432)))),431,""),""),""))</f>
        <v/>
      </c>
      <c r="F432">
        <f>IF('TRANSPORT DASHBOARD'!$B$4="Area",IF(431&lt;=$I$3,IF(OR('TRANSPORT DASHBOARD'!$C$4="",ISNUMBER(SEARCH('TRANSPORT DASHBOARD'!$C$4,INDEX(MASTER_AREAS!$B:$B,432)))),431,""),""),IF('TRANSPORT DASHBOARD'!$B$4="Zone",IF(431&lt;=$I$4,IF(OR('TRANSPORT DASHBOARD'!$C$4="",ISNUMBER(SEARCH('TRANSPORT DASHBOARD'!$C$4,INDEX(MASTER_ZONES!$B:$B,432)))),431,""),""),""))</f>
        <v/>
      </c>
    </row>
    <row r="433">
      <c r="A433">
        <f>IF('WSF DASHBOARD'!$B$4="Area",IF(432&lt;=$D$3,IF(OR('WSF DASHBOARD'!$C$4="",ISNUMBER(SEARCH('WSF DASHBOARD'!$C$4,INDEX(MASTER_AREAS!$B:$B,433)))),432,""),""),IF('WSF DASHBOARD'!$B$4="Zone",IF(432&lt;=$D$4,IF(OR('WSF DASHBOARD'!$C$4="",ISNUMBER(SEARCH('WSF DASHBOARD'!$C$4,INDEX(MASTER_ZONES!$B:$B,433)))),432,""),""),""))</f>
        <v/>
      </c>
      <c r="F433">
        <f>IF('TRANSPORT DASHBOARD'!$B$4="Area",IF(432&lt;=$I$3,IF(OR('TRANSPORT DASHBOARD'!$C$4="",ISNUMBER(SEARCH('TRANSPORT DASHBOARD'!$C$4,INDEX(MASTER_AREAS!$B:$B,433)))),432,""),""),IF('TRANSPORT DASHBOARD'!$B$4="Zone",IF(432&lt;=$I$4,IF(OR('TRANSPORT DASHBOARD'!$C$4="",ISNUMBER(SEARCH('TRANSPORT DASHBOARD'!$C$4,INDEX(MASTER_ZONES!$B:$B,433)))),432,""),""),""))</f>
        <v/>
      </c>
    </row>
    <row r="434">
      <c r="A434">
        <f>IF('WSF DASHBOARD'!$B$4="Area",IF(433&lt;=$D$3,IF(OR('WSF DASHBOARD'!$C$4="",ISNUMBER(SEARCH('WSF DASHBOARD'!$C$4,INDEX(MASTER_AREAS!$B:$B,434)))),433,""),""),IF('WSF DASHBOARD'!$B$4="Zone",IF(433&lt;=$D$4,IF(OR('WSF DASHBOARD'!$C$4="",ISNUMBER(SEARCH('WSF DASHBOARD'!$C$4,INDEX(MASTER_ZONES!$B:$B,434)))),433,""),""),""))</f>
        <v/>
      </c>
      <c r="F434">
        <f>IF('TRANSPORT DASHBOARD'!$B$4="Area",IF(433&lt;=$I$3,IF(OR('TRANSPORT DASHBOARD'!$C$4="",ISNUMBER(SEARCH('TRANSPORT DASHBOARD'!$C$4,INDEX(MASTER_AREAS!$B:$B,434)))),433,""),""),IF('TRANSPORT DASHBOARD'!$B$4="Zone",IF(433&lt;=$I$4,IF(OR('TRANSPORT DASHBOARD'!$C$4="",ISNUMBER(SEARCH('TRANSPORT DASHBOARD'!$C$4,INDEX(MASTER_ZONES!$B:$B,434)))),433,""),""),""))</f>
        <v/>
      </c>
    </row>
    <row r="435">
      <c r="A435">
        <f>IF('WSF DASHBOARD'!$B$4="Area",IF(434&lt;=$D$3,IF(OR('WSF DASHBOARD'!$C$4="",ISNUMBER(SEARCH('WSF DASHBOARD'!$C$4,INDEX(MASTER_AREAS!$B:$B,435)))),434,""),""),IF('WSF DASHBOARD'!$B$4="Zone",IF(434&lt;=$D$4,IF(OR('WSF DASHBOARD'!$C$4="",ISNUMBER(SEARCH('WSF DASHBOARD'!$C$4,INDEX(MASTER_ZONES!$B:$B,435)))),434,""),""),""))</f>
        <v/>
      </c>
      <c r="F435">
        <f>IF('TRANSPORT DASHBOARD'!$B$4="Area",IF(434&lt;=$I$3,IF(OR('TRANSPORT DASHBOARD'!$C$4="",ISNUMBER(SEARCH('TRANSPORT DASHBOARD'!$C$4,INDEX(MASTER_AREAS!$B:$B,435)))),434,""),""),IF('TRANSPORT DASHBOARD'!$B$4="Zone",IF(434&lt;=$I$4,IF(OR('TRANSPORT DASHBOARD'!$C$4="",ISNUMBER(SEARCH('TRANSPORT DASHBOARD'!$C$4,INDEX(MASTER_ZONES!$B:$B,435)))),434,""),""),""))</f>
        <v/>
      </c>
    </row>
    <row r="436">
      <c r="A436">
        <f>IF('WSF DASHBOARD'!$B$4="Area",IF(435&lt;=$D$3,IF(OR('WSF DASHBOARD'!$C$4="",ISNUMBER(SEARCH('WSF DASHBOARD'!$C$4,INDEX(MASTER_AREAS!$B:$B,436)))),435,""),""),IF('WSF DASHBOARD'!$B$4="Zone",IF(435&lt;=$D$4,IF(OR('WSF DASHBOARD'!$C$4="",ISNUMBER(SEARCH('WSF DASHBOARD'!$C$4,INDEX(MASTER_ZONES!$B:$B,436)))),435,""),""),""))</f>
        <v/>
      </c>
      <c r="F436">
        <f>IF('TRANSPORT DASHBOARD'!$B$4="Area",IF(435&lt;=$I$3,IF(OR('TRANSPORT DASHBOARD'!$C$4="",ISNUMBER(SEARCH('TRANSPORT DASHBOARD'!$C$4,INDEX(MASTER_AREAS!$B:$B,436)))),435,""),""),IF('TRANSPORT DASHBOARD'!$B$4="Zone",IF(435&lt;=$I$4,IF(OR('TRANSPORT DASHBOARD'!$C$4="",ISNUMBER(SEARCH('TRANSPORT DASHBOARD'!$C$4,INDEX(MASTER_ZONES!$B:$B,436)))),435,""),""),""))</f>
        <v/>
      </c>
    </row>
    <row r="437">
      <c r="A437">
        <f>IF('WSF DASHBOARD'!$B$4="Area",IF(436&lt;=$D$3,IF(OR('WSF DASHBOARD'!$C$4="",ISNUMBER(SEARCH('WSF DASHBOARD'!$C$4,INDEX(MASTER_AREAS!$B:$B,437)))),436,""),""),IF('WSF DASHBOARD'!$B$4="Zone",IF(436&lt;=$D$4,IF(OR('WSF DASHBOARD'!$C$4="",ISNUMBER(SEARCH('WSF DASHBOARD'!$C$4,INDEX(MASTER_ZONES!$B:$B,437)))),436,""),""),""))</f>
        <v/>
      </c>
      <c r="F437">
        <f>IF('TRANSPORT DASHBOARD'!$B$4="Area",IF(436&lt;=$I$3,IF(OR('TRANSPORT DASHBOARD'!$C$4="",ISNUMBER(SEARCH('TRANSPORT DASHBOARD'!$C$4,INDEX(MASTER_AREAS!$B:$B,437)))),436,""),""),IF('TRANSPORT DASHBOARD'!$B$4="Zone",IF(436&lt;=$I$4,IF(OR('TRANSPORT DASHBOARD'!$C$4="",ISNUMBER(SEARCH('TRANSPORT DASHBOARD'!$C$4,INDEX(MASTER_ZONES!$B:$B,437)))),436,""),""),""))</f>
        <v/>
      </c>
    </row>
    <row r="438">
      <c r="A438">
        <f>IF('WSF DASHBOARD'!$B$4="Area",IF(437&lt;=$D$3,IF(OR('WSF DASHBOARD'!$C$4="",ISNUMBER(SEARCH('WSF DASHBOARD'!$C$4,INDEX(MASTER_AREAS!$B:$B,438)))),437,""),""),IF('WSF DASHBOARD'!$B$4="Zone",IF(437&lt;=$D$4,IF(OR('WSF DASHBOARD'!$C$4="",ISNUMBER(SEARCH('WSF DASHBOARD'!$C$4,INDEX(MASTER_ZONES!$B:$B,438)))),437,""),""),""))</f>
        <v/>
      </c>
      <c r="F438">
        <f>IF('TRANSPORT DASHBOARD'!$B$4="Area",IF(437&lt;=$I$3,IF(OR('TRANSPORT DASHBOARD'!$C$4="",ISNUMBER(SEARCH('TRANSPORT DASHBOARD'!$C$4,INDEX(MASTER_AREAS!$B:$B,438)))),437,""),""),IF('TRANSPORT DASHBOARD'!$B$4="Zone",IF(437&lt;=$I$4,IF(OR('TRANSPORT DASHBOARD'!$C$4="",ISNUMBER(SEARCH('TRANSPORT DASHBOARD'!$C$4,INDEX(MASTER_ZONES!$B:$B,438)))),437,""),""),""))</f>
        <v/>
      </c>
    </row>
    <row r="439">
      <c r="A439">
        <f>IF('WSF DASHBOARD'!$B$4="Area",IF(438&lt;=$D$3,IF(OR('WSF DASHBOARD'!$C$4="",ISNUMBER(SEARCH('WSF DASHBOARD'!$C$4,INDEX(MASTER_AREAS!$B:$B,439)))),438,""),""),IF('WSF DASHBOARD'!$B$4="Zone",IF(438&lt;=$D$4,IF(OR('WSF DASHBOARD'!$C$4="",ISNUMBER(SEARCH('WSF DASHBOARD'!$C$4,INDEX(MASTER_ZONES!$B:$B,439)))),438,""),""),""))</f>
        <v/>
      </c>
      <c r="F439">
        <f>IF('TRANSPORT DASHBOARD'!$B$4="Area",IF(438&lt;=$I$3,IF(OR('TRANSPORT DASHBOARD'!$C$4="",ISNUMBER(SEARCH('TRANSPORT DASHBOARD'!$C$4,INDEX(MASTER_AREAS!$B:$B,439)))),438,""),""),IF('TRANSPORT DASHBOARD'!$B$4="Zone",IF(438&lt;=$I$4,IF(OR('TRANSPORT DASHBOARD'!$C$4="",ISNUMBER(SEARCH('TRANSPORT DASHBOARD'!$C$4,INDEX(MASTER_ZONES!$B:$B,439)))),438,""),""),""))</f>
        <v/>
      </c>
    </row>
    <row r="440">
      <c r="A440">
        <f>IF('WSF DASHBOARD'!$B$4="Area",IF(439&lt;=$D$3,IF(OR('WSF DASHBOARD'!$C$4="",ISNUMBER(SEARCH('WSF DASHBOARD'!$C$4,INDEX(MASTER_AREAS!$B:$B,440)))),439,""),""),IF('WSF DASHBOARD'!$B$4="Zone",IF(439&lt;=$D$4,IF(OR('WSF DASHBOARD'!$C$4="",ISNUMBER(SEARCH('WSF DASHBOARD'!$C$4,INDEX(MASTER_ZONES!$B:$B,440)))),439,""),""),""))</f>
        <v/>
      </c>
      <c r="F440">
        <f>IF('TRANSPORT DASHBOARD'!$B$4="Area",IF(439&lt;=$I$3,IF(OR('TRANSPORT DASHBOARD'!$C$4="",ISNUMBER(SEARCH('TRANSPORT DASHBOARD'!$C$4,INDEX(MASTER_AREAS!$B:$B,440)))),439,""),""),IF('TRANSPORT DASHBOARD'!$B$4="Zone",IF(439&lt;=$I$4,IF(OR('TRANSPORT DASHBOARD'!$C$4="",ISNUMBER(SEARCH('TRANSPORT DASHBOARD'!$C$4,INDEX(MASTER_ZONES!$B:$B,440)))),439,""),""),""))</f>
        <v/>
      </c>
    </row>
    <row r="441">
      <c r="A441">
        <f>IF('WSF DASHBOARD'!$B$4="Area",IF(440&lt;=$D$3,IF(OR('WSF DASHBOARD'!$C$4="",ISNUMBER(SEARCH('WSF DASHBOARD'!$C$4,INDEX(MASTER_AREAS!$B:$B,441)))),440,""),""),IF('WSF DASHBOARD'!$B$4="Zone",IF(440&lt;=$D$4,IF(OR('WSF DASHBOARD'!$C$4="",ISNUMBER(SEARCH('WSF DASHBOARD'!$C$4,INDEX(MASTER_ZONES!$B:$B,441)))),440,""),""),""))</f>
        <v/>
      </c>
      <c r="F441">
        <f>IF('TRANSPORT DASHBOARD'!$B$4="Area",IF(440&lt;=$I$3,IF(OR('TRANSPORT DASHBOARD'!$C$4="",ISNUMBER(SEARCH('TRANSPORT DASHBOARD'!$C$4,INDEX(MASTER_AREAS!$B:$B,441)))),440,""),""),IF('TRANSPORT DASHBOARD'!$B$4="Zone",IF(440&lt;=$I$4,IF(OR('TRANSPORT DASHBOARD'!$C$4="",ISNUMBER(SEARCH('TRANSPORT DASHBOARD'!$C$4,INDEX(MASTER_ZONES!$B:$B,441)))),440,""),""),""))</f>
        <v/>
      </c>
    </row>
    <row r="442">
      <c r="A442">
        <f>IF('WSF DASHBOARD'!$B$4="Area",IF(441&lt;=$D$3,IF(OR('WSF DASHBOARD'!$C$4="",ISNUMBER(SEARCH('WSF DASHBOARD'!$C$4,INDEX(MASTER_AREAS!$B:$B,442)))),441,""),""),IF('WSF DASHBOARD'!$B$4="Zone",IF(441&lt;=$D$4,IF(OR('WSF DASHBOARD'!$C$4="",ISNUMBER(SEARCH('WSF DASHBOARD'!$C$4,INDEX(MASTER_ZONES!$B:$B,442)))),441,""),""),""))</f>
        <v/>
      </c>
      <c r="F442">
        <f>IF('TRANSPORT DASHBOARD'!$B$4="Area",IF(441&lt;=$I$3,IF(OR('TRANSPORT DASHBOARD'!$C$4="",ISNUMBER(SEARCH('TRANSPORT DASHBOARD'!$C$4,INDEX(MASTER_AREAS!$B:$B,442)))),441,""),""),IF('TRANSPORT DASHBOARD'!$B$4="Zone",IF(441&lt;=$I$4,IF(OR('TRANSPORT DASHBOARD'!$C$4="",ISNUMBER(SEARCH('TRANSPORT DASHBOARD'!$C$4,INDEX(MASTER_ZONES!$B:$B,442)))),441,""),""),""))</f>
        <v/>
      </c>
    </row>
    <row r="443">
      <c r="A443">
        <f>IF('WSF DASHBOARD'!$B$4="Area",IF(442&lt;=$D$3,IF(OR('WSF DASHBOARD'!$C$4="",ISNUMBER(SEARCH('WSF DASHBOARD'!$C$4,INDEX(MASTER_AREAS!$B:$B,443)))),442,""),""),IF('WSF DASHBOARD'!$B$4="Zone",IF(442&lt;=$D$4,IF(OR('WSF DASHBOARD'!$C$4="",ISNUMBER(SEARCH('WSF DASHBOARD'!$C$4,INDEX(MASTER_ZONES!$B:$B,443)))),442,""),""),""))</f>
        <v/>
      </c>
      <c r="F443">
        <f>IF('TRANSPORT DASHBOARD'!$B$4="Area",IF(442&lt;=$I$3,IF(OR('TRANSPORT DASHBOARD'!$C$4="",ISNUMBER(SEARCH('TRANSPORT DASHBOARD'!$C$4,INDEX(MASTER_AREAS!$B:$B,443)))),442,""),""),IF('TRANSPORT DASHBOARD'!$B$4="Zone",IF(442&lt;=$I$4,IF(OR('TRANSPORT DASHBOARD'!$C$4="",ISNUMBER(SEARCH('TRANSPORT DASHBOARD'!$C$4,INDEX(MASTER_ZONES!$B:$B,443)))),442,""),""),""))</f>
        <v/>
      </c>
    </row>
    <row r="444">
      <c r="A444">
        <f>IF('WSF DASHBOARD'!$B$4="Area",IF(443&lt;=$D$3,IF(OR('WSF DASHBOARD'!$C$4="",ISNUMBER(SEARCH('WSF DASHBOARD'!$C$4,INDEX(MASTER_AREAS!$B:$B,444)))),443,""),""),IF('WSF DASHBOARD'!$B$4="Zone",IF(443&lt;=$D$4,IF(OR('WSF DASHBOARD'!$C$4="",ISNUMBER(SEARCH('WSF DASHBOARD'!$C$4,INDEX(MASTER_ZONES!$B:$B,444)))),443,""),""),""))</f>
        <v/>
      </c>
      <c r="F444">
        <f>IF('TRANSPORT DASHBOARD'!$B$4="Area",IF(443&lt;=$I$3,IF(OR('TRANSPORT DASHBOARD'!$C$4="",ISNUMBER(SEARCH('TRANSPORT DASHBOARD'!$C$4,INDEX(MASTER_AREAS!$B:$B,444)))),443,""),""),IF('TRANSPORT DASHBOARD'!$B$4="Zone",IF(443&lt;=$I$4,IF(OR('TRANSPORT DASHBOARD'!$C$4="",ISNUMBER(SEARCH('TRANSPORT DASHBOARD'!$C$4,INDEX(MASTER_ZONES!$B:$B,444)))),443,""),""),""))</f>
        <v/>
      </c>
    </row>
    <row r="445">
      <c r="A445">
        <f>IF('WSF DASHBOARD'!$B$4="Area",IF(444&lt;=$D$3,IF(OR('WSF DASHBOARD'!$C$4="",ISNUMBER(SEARCH('WSF DASHBOARD'!$C$4,INDEX(MASTER_AREAS!$B:$B,445)))),444,""),""),IF('WSF DASHBOARD'!$B$4="Zone",IF(444&lt;=$D$4,IF(OR('WSF DASHBOARD'!$C$4="",ISNUMBER(SEARCH('WSF DASHBOARD'!$C$4,INDEX(MASTER_ZONES!$B:$B,445)))),444,""),""),""))</f>
        <v/>
      </c>
      <c r="F445">
        <f>IF('TRANSPORT DASHBOARD'!$B$4="Area",IF(444&lt;=$I$3,IF(OR('TRANSPORT DASHBOARD'!$C$4="",ISNUMBER(SEARCH('TRANSPORT DASHBOARD'!$C$4,INDEX(MASTER_AREAS!$B:$B,445)))),444,""),""),IF('TRANSPORT DASHBOARD'!$B$4="Zone",IF(444&lt;=$I$4,IF(OR('TRANSPORT DASHBOARD'!$C$4="",ISNUMBER(SEARCH('TRANSPORT DASHBOARD'!$C$4,INDEX(MASTER_ZONES!$B:$B,445)))),444,""),""),""))</f>
        <v/>
      </c>
    </row>
    <row r="446">
      <c r="A446">
        <f>IF('WSF DASHBOARD'!$B$4="Area",IF(445&lt;=$D$3,IF(OR('WSF DASHBOARD'!$C$4="",ISNUMBER(SEARCH('WSF DASHBOARD'!$C$4,INDEX(MASTER_AREAS!$B:$B,446)))),445,""),""),IF('WSF DASHBOARD'!$B$4="Zone",IF(445&lt;=$D$4,IF(OR('WSF DASHBOARD'!$C$4="",ISNUMBER(SEARCH('WSF DASHBOARD'!$C$4,INDEX(MASTER_ZONES!$B:$B,446)))),445,""),""),""))</f>
        <v/>
      </c>
      <c r="F446">
        <f>IF('TRANSPORT DASHBOARD'!$B$4="Area",IF(445&lt;=$I$3,IF(OR('TRANSPORT DASHBOARD'!$C$4="",ISNUMBER(SEARCH('TRANSPORT DASHBOARD'!$C$4,INDEX(MASTER_AREAS!$B:$B,446)))),445,""),""),IF('TRANSPORT DASHBOARD'!$B$4="Zone",IF(445&lt;=$I$4,IF(OR('TRANSPORT DASHBOARD'!$C$4="",ISNUMBER(SEARCH('TRANSPORT DASHBOARD'!$C$4,INDEX(MASTER_ZONES!$B:$B,446)))),445,""),""),""))</f>
        <v/>
      </c>
    </row>
    <row r="447">
      <c r="A447">
        <f>IF('WSF DASHBOARD'!$B$4="Area",IF(446&lt;=$D$3,IF(OR('WSF DASHBOARD'!$C$4="",ISNUMBER(SEARCH('WSF DASHBOARD'!$C$4,INDEX(MASTER_AREAS!$B:$B,447)))),446,""),""),IF('WSF DASHBOARD'!$B$4="Zone",IF(446&lt;=$D$4,IF(OR('WSF DASHBOARD'!$C$4="",ISNUMBER(SEARCH('WSF DASHBOARD'!$C$4,INDEX(MASTER_ZONES!$B:$B,447)))),446,""),""),""))</f>
        <v/>
      </c>
      <c r="F447">
        <f>IF('TRANSPORT DASHBOARD'!$B$4="Area",IF(446&lt;=$I$3,IF(OR('TRANSPORT DASHBOARD'!$C$4="",ISNUMBER(SEARCH('TRANSPORT DASHBOARD'!$C$4,INDEX(MASTER_AREAS!$B:$B,447)))),446,""),""),IF('TRANSPORT DASHBOARD'!$B$4="Zone",IF(446&lt;=$I$4,IF(OR('TRANSPORT DASHBOARD'!$C$4="",ISNUMBER(SEARCH('TRANSPORT DASHBOARD'!$C$4,INDEX(MASTER_ZONES!$B:$B,447)))),446,""),""),""))</f>
        <v/>
      </c>
    </row>
    <row r="448">
      <c r="A448">
        <f>IF('WSF DASHBOARD'!$B$4="Area",IF(447&lt;=$D$3,IF(OR('WSF DASHBOARD'!$C$4="",ISNUMBER(SEARCH('WSF DASHBOARD'!$C$4,INDEX(MASTER_AREAS!$B:$B,448)))),447,""),""),IF('WSF DASHBOARD'!$B$4="Zone",IF(447&lt;=$D$4,IF(OR('WSF DASHBOARD'!$C$4="",ISNUMBER(SEARCH('WSF DASHBOARD'!$C$4,INDEX(MASTER_ZONES!$B:$B,448)))),447,""),""),""))</f>
        <v/>
      </c>
      <c r="F448">
        <f>IF('TRANSPORT DASHBOARD'!$B$4="Area",IF(447&lt;=$I$3,IF(OR('TRANSPORT DASHBOARD'!$C$4="",ISNUMBER(SEARCH('TRANSPORT DASHBOARD'!$C$4,INDEX(MASTER_AREAS!$B:$B,448)))),447,""),""),IF('TRANSPORT DASHBOARD'!$B$4="Zone",IF(447&lt;=$I$4,IF(OR('TRANSPORT DASHBOARD'!$C$4="",ISNUMBER(SEARCH('TRANSPORT DASHBOARD'!$C$4,INDEX(MASTER_ZONES!$B:$B,448)))),447,""),""),""))</f>
        <v/>
      </c>
    </row>
    <row r="449">
      <c r="A449">
        <f>IF('WSF DASHBOARD'!$B$4="Area",IF(448&lt;=$D$3,IF(OR('WSF DASHBOARD'!$C$4="",ISNUMBER(SEARCH('WSF DASHBOARD'!$C$4,INDEX(MASTER_AREAS!$B:$B,449)))),448,""),""),IF('WSF DASHBOARD'!$B$4="Zone",IF(448&lt;=$D$4,IF(OR('WSF DASHBOARD'!$C$4="",ISNUMBER(SEARCH('WSF DASHBOARD'!$C$4,INDEX(MASTER_ZONES!$B:$B,449)))),448,""),""),""))</f>
        <v/>
      </c>
      <c r="F449">
        <f>IF('TRANSPORT DASHBOARD'!$B$4="Area",IF(448&lt;=$I$3,IF(OR('TRANSPORT DASHBOARD'!$C$4="",ISNUMBER(SEARCH('TRANSPORT DASHBOARD'!$C$4,INDEX(MASTER_AREAS!$B:$B,449)))),448,""),""),IF('TRANSPORT DASHBOARD'!$B$4="Zone",IF(448&lt;=$I$4,IF(OR('TRANSPORT DASHBOARD'!$C$4="",ISNUMBER(SEARCH('TRANSPORT DASHBOARD'!$C$4,INDEX(MASTER_ZONES!$B:$B,449)))),448,""),""),""))</f>
        <v/>
      </c>
    </row>
    <row r="450">
      <c r="A450">
        <f>IF('WSF DASHBOARD'!$B$4="Area",IF(449&lt;=$D$3,IF(OR('WSF DASHBOARD'!$C$4="",ISNUMBER(SEARCH('WSF DASHBOARD'!$C$4,INDEX(MASTER_AREAS!$B:$B,450)))),449,""),""),IF('WSF DASHBOARD'!$B$4="Zone",IF(449&lt;=$D$4,IF(OR('WSF DASHBOARD'!$C$4="",ISNUMBER(SEARCH('WSF DASHBOARD'!$C$4,INDEX(MASTER_ZONES!$B:$B,450)))),449,""),""),""))</f>
        <v/>
      </c>
      <c r="F450">
        <f>IF('TRANSPORT DASHBOARD'!$B$4="Area",IF(449&lt;=$I$3,IF(OR('TRANSPORT DASHBOARD'!$C$4="",ISNUMBER(SEARCH('TRANSPORT DASHBOARD'!$C$4,INDEX(MASTER_AREAS!$B:$B,450)))),449,""),""),IF('TRANSPORT DASHBOARD'!$B$4="Zone",IF(449&lt;=$I$4,IF(OR('TRANSPORT DASHBOARD'!$C$4="",ISNUMBER(SEARCH('TRANSPORT DASHBOARD'!$C$4,INDEX(MASTER_ZONES!$B:$B,450)))),449,""),""),""))</f>
        <v/>
      </c>
    </row>
    <row r="451">
      <c r="A451">
        <f>IF('WSF DASHBOARD'!$B$4="Area",IF(450&lt;=$D$3,IF(OR('WSF DASHBOARD'!$C$4="",ISNUMBER(SEARCH('WSF DASHBOARD'!$C$4,INDEX(MASTER_AREAS!$B:$B,451)))),450,""),""),IF('WSF DASHBOARD'!$B$4="Zone",IF(450&lt;=$D$4,IF(OR('WSF DASHBOARD'!$C$4="",ISNUMBER(SEARCH('WSF DASHBOARD'!$C$4,INDEX(MASTER_ZONES!$B:$B,451)))),450,""),""),""))</f>
        <v/>
      </c>
      <c r="F451">
        <f>IF('TRANSPORT DASHBOARD'!$B$4="Area",IF(450&lt;=$I$3,IF(OR('TRANSPORT DASHBOARD'!$C$4="",ISNUMBER(SEARCH('TRANSPORT DASHBOARD'!$C$4,INDEX(MASTER_AREAS!$B:$B,451)))),450,""),""),IF('TRANSPORT DASHBOARD'!$B$4="Zone",IF(450&lt;=$I$4,IF(OR('TRANSPORT DASHBOARD'!$C$4="",ISNUMBER(SEARCH('TRANSPORT DASHBOARD'!$C$4,INDEX(MASTER_ZONES!$B:$B,451)))),450,""),""),""))</f>
        <v/>
      </c>
    </row>
    <row r="452">
      <c r="A452">
        <f>IF('WSF DASHBOARD'!$B$4="Area",IF(451&lt;=$D$3,IF(OR('WSF DASHBOARD'!$C$4="",ISNUMBER(SEARCH('WSF DASHBOARD'!$C$4,INDEX(MASTER_AREAS!$B:$B,452)))),451,""),""),IF('WSF DASHBOARD'!$B$4="Zone",IF(451&lt;=$D$4,IF(OR('WSF DASHBOARD'!$C$4="",ISNUMBER(SEARCH('WSF DASHBOARD'!$C$4,INDEX(MASTER_ZONES!$B:$B,452)))),451,""),""),""))</f>
        <v/>
      </c>
      <c r="F452">
        <f>IF('TRANSPORT DASHBOARD'!$B$4="Area",IF(451&lt;=$I$3,IF(OR('TRANSPORT DASHBOARD'!$C$4="",ISNUMBER(SEARCH('TRANSPORT DASHBOARD'!$C$4,INDEX(MASTER_AREAS!$B:$B,452)))),451,""),""),IF('TRANSPORT DASHBOARD'!$B$4="Zone",IF(451&lt;=$I$4,IF(OR('TRANSPORT DASHBOARD'!$C$4="",ISNUMBER(SEARCH('TRANSPORT DASHBOARD'!$C$4,INDEX(MASTER_ZONES!$B:$B,452)))),451,""),""),""))</f>
        <v/>
      </c>
    </row>
    <row r="453">
      <c r="A453">
        <f>IF('WSF DASHBOARD'!$B$4="Area",IF(452&lt;=$D$3,IF(OR('WSF DASHBOARD'!$C$4="",ISNUMBER(SEARCH('WSF DASHBOARD'!$C$4,INDEX(MASTER_AREAS!$B:$B,453)))),452,""),""),IF('WSF DASHBOARD'!$B$4="Zone",IF(452&lt;=$D$4,IF(OR('WSF DASHBOARD'!$C$4="",ISNUMBER(SEARCH('WSF DASHBOARD'!$C$4,INDEX(MASTER_ZONES!$B:$B,453)))),452,""),""),""))</f>
        <v/>
      </c>
      <c r="F453">
        <f>IF('TRANSPORT DASHBOARD'!$B$4="Area",IF(452&lt;=$I$3,IF(OR('TRANSPORT DASHBOARD'!$C$4="",ISNUMBER(SEARCH('TRANSPORT DASHBOARD'!$C$4,INDEX(MASTER_AREAS!$B:$B,453)))),452,""),""),IF('TRANSPORT DASHBOARD'!$B$4="Zone",IF(452&lt;=$I$4,IF(OR('TRANSPORT DASHBOARD'!$C$4="",ISNUMBER(SEARCH('TRANSPORT DASHBOARD'!$C$4,INDEX(MASTER_ZONES!$B:$B,453)))),452,""),""),""))</f>
        <v/>
      </c>
    </row>
    <row r="454">
      <c r="A454">
        <f>IF('WSF DASHBOARD'!$B$4="Area",IF(453&lt;=$D$3,IF(OR('WSF DASHBOARD'!$C$4="",ISNUMBER(SEARCH('WSF DASHBOARD'!$C$4,INDEX(MASTER_AREAS!$B:$B,454)))),453,""),""),IF('WSF DASHBOARD'!$B$4="Zone",IF(453&lt;=$D$4,IF(OR('WSF DASHBOARD'!$C$4="",ISNUMBER(SEARCH('WSF DASHBOARD'!$C$4,INDEX(MASTER_ZONES!$B:$B,454)))),453,""),""),""))</f>
        <v/>
      </c>
      <c r="F454">
        <f>IF('TRANSPORT DASHBOARD'!$B$4="Area",IF(453&lt;=$I$3,IF(OR('TRANSPORT DASHBOARD'!$C$4="",ISNUMBER(SEARCH('TRANSPORT DASHBOARD'!$C$4,INDEX(MASTER_AREAS!$B:$B,454)))),453,""),""),IF('TRANSPORT DASHBOARD'!$B$4="Zone",IF(453&lt;=$I$4,IF(OR('TRANSPORT DASHBOARD'!$C$4="",ISNUMBER(SEARCH('TRANSPORT DASHBOARD'!$C$4,INDEX(MASTER_ZONES!$B:$B,454)))),453,""),""),""))</f>
        <v/>
      </c>
    </row>
    <row r="455">
      <c r="A455">
        <f>IF('WSF DASHBOARD'!$B$4="Area",IF(454&lt;=$D$3,IF(OR('WSF DASHBOARD'!$C$4="",ISNUMBER(SEARCH('WSF DASHBOARD'!$C$4,INDEX(MASTER_AREAS!$B:$B,455)))),454,""),""),IF('WSF DASHBOARD'!$B$4="Zone",IF(454&lt;=$D$4,IF(OR('WSF DASHBOARD'!$C$4="",ISNUMBER(SEARCH('WSF DASHBOARD'!$C$4,INDEX(MASTER_ZONES!$B:$B,455)))),454,""),""),""))</f>
        <v/>
      </c>
      <c r="F455">
        <f>IF('TRANSPORT DASHBOARD'!$B$4="Area",IF(454&lt;=$I$3,IF(OR('TRANSPORT DASHBOARD'!$C$4="",ISNUMBER(SEARCH('TRANSPORT DASHBOARD'!$C$4,INDEX(MASTER_AREAS!$B:$B,455)))),454,""),""),IF('TRANSPORT DASHBOARD'!$B$4="Zone",IF(454&lt;=$I$4,IF(OR('TRANSPORT DASHBOARD'!$C$4="",ISNUMBER(SEARCH('TRANSPORT DASHBOARD'!$C$4,INDEX(MASTER_ZONES!$B:$B,455)))),454,""),""),""))</f>
        <v/>
      </c>
    </row>
    <row r="456">
      <c r="A456">
        <f>IF('WSF DASHBOARD'!$B$4="Area",IF(455&lt;=$D$3,IF(OR('WSF DASHBOARD'!$C$4="",ISNUMBER(SEARCH('WSF DASHBOARD'!$C$4,INDEX(MASTER_AREAS!$B:$B,456)))),455,""),""),IF('WSF DASHBOARD'!$B$4="Zone",IF(455&lt;=$D$4,IF(OR('WSF DASHBOARD'!$C$4="",ISNUMBER(SEARCH('WSF DASHBOARD'!$C$4,INDEX(MASTER_ZONES!$B:$B,456)))),455,""),""),""))</f>
        <v/>
      </c>
      <c r="F456">
        <f>IF('TRANSPORT DASHBOARD'!$B$4="Area",IF(455&lt;=$I$3,IF(OR('TRANSPORT DASHBOARD'!$C$4="",ISNUMBER(SEARCH('TRANSPORT DASHBOARD'!$C$4,INDEX(MASTER_AREAS!$B:$B,456)))),455,""),""),IF('TRANSPORT DASHBOARD'!$B$4="Zone",IF(455&lt;=$I$4,IF(OR('TRANSPORT DASHBOARD'!$C$4="",ISNUMBER(SEARCH('TRANSPORT DASHBOARD'!$C$4,INDEX(MASTER_ZONES!$B:$B,456)))),455,""),""),""))</f>
        <v/>
      </c>
    </row>
    <row r="457">
      <c r="A457">
        <f>IF('WSF DASHBOARD'!$B$4="Area",IF(456&lt;=$D$3,IF(OR('WSF DASHBOARD'!$C$4="",ISNUMBER(SEARCH('WSF DASHBOARD'!$C$4,INDEX(MASTER_AREAS!$B:$B,457)))),456,""),""),IF('WSF DASHBOARD'!$B$4="Zone",IF(456&lt;=$D$4,IF(OR('WSF DASHBOARD'!$C$4="",ISNUMBER(SEARCH('WSF DASHBOARD'!$C$4,INDEX(MASTER_ZONES!$B:$B,457)))),456,""),""),""))</f>
        <v/>
      </c>
      <c r="F457">
        <f>IF('TRANSPORT DASHBOARD'!$B$4="Area",IF(456&lt;=$I$3,IF(OR('TRANSPORT DASHBOARD'!$C$4="",ISNUMBER(SEARCH('TRANSPORT DASHBOARD'!$C$4,INDEX(MASTER_AREAS!$B:$B,457)))),456,""),""),IF('TRANSPORT DASHBOARD'!$B$4="Zone",IF(456&lt;=$I$4,IF(OR('TRANSPORT DASHBOARD'!$C$4="",ISNUMBER(SEARCH('TRANSPORT DASHBOARD'!$C$4,INDEX(MASTER_ZONES!$B:$B,457)))),456,""),""),""))</f>
        <v/>
      </c>
    </row>
    <row r="458">
      <c r="A458">
        <f>IF('WSF DASHBOARD'!$B$4="Area",IF(457&lt;=$D$3,IF(OR('WSF DASHBOARD'!$C$4="",ISNUMBER(SEARCH('WSF DASHBOARD'!$C$4,INDEX(MASTER_AREAS!$B:$B,458)))),457,""),""),IF('WSF DASHBOARD'!$B$4="Zone",IF(457&lt;=$D$4,IF(OR('WSF DASHBOARD'!$C$4="",ISNUMBER(SEARCH('WSF DASHBOARD'!$C$4,INDEX(MASTER_ZONES!$B:$B,458)))),457,""),""),""))</f>
        <v/>
      </c>
      <c r="F458">
        <f>IF('TRANSPORT DASHBOARD'!$B$4="Area",IF(457&lt;=$I$3,IF(OR('TRANSPORT DASHBOARD'!$C$4="",ISNUMBER(SEARCH('TRANSPORT DASHBOARD'!$C$4,INDEX(MASTER_AREAS!$B:$B,458)))),457,""),""),IF('TRANSPORT DASHBOARD'!$B$4="Zone",IF(457&lt;=$I$4,IF(OR('TRANSPORT DASHBOARD'!$C$4="",ISNUMBER(SEARCH('TRANSPORT DASHBOARD'!$C$4,INDEX(MASTER_ZONES!$B:$B,458)))),457,""),""),""))</f>
        <v/>
      </c>
    </row>
    <row r="459">
      <c r="A459">
        <f>IF('WSF DASHBOARD'!$B$4="Area",IF(458&lt;=$D$3,IF(OR('WSF DASHBOARD'!$C$4="",ISNUMBER(SEARCH('WSF DASHBOARD'!$C$4,INDEX(MASTER_AREAS!$B:$B,459)))),458,""),""),IF('WSF DASHBOARD'!$B$4="Zone",IF(458&lt;=$D$4,IF(OR('WSF DASHBOARD'!$C$4="",ISNUMBER(SEARCH('WSF DASHBOARD'!$C$4,INDEX(MASTER_ZONES!$B:$B,459)))),458,""),""),""))</f>
        <v/>
      </c>
      <c r="F459">
        <f>IF('TRANSPORT DASHBOARD'!$B$4="Area",IF(458&lt;=$I$3,IF(OR('TRANSPORT DASHBOARD'!$C$4="",ISNUMBER(SEARCH('TRANSPORT DASHBOARD'!$C$4,INDEX(MASTER_AREAS!$B:$B,459)))),458,""),""),IF('TRANSPORT DASHBOARD'!$B$4="Zone",IF(458&lt;=$I$4,IF(OR('TRANSPORT DASHBOARD'!$C$4="",ISNUMBER(SEARCH('TRANSPORT DASHBOARD'!$C$4,INDEX(MASTER_ZONES!$B:$B,459)))),458,""),""),""))</f>
        <v/>
      </c>
    </row>
    <row r="460">
      <c r="A460">
        <f>IF('WSF DASHBOARD'!$B$4="Area",IF(459&lt;=$D$3,IF(OR('WSF DASHBOARD'!$C$4="",ISNUMBER(SEARCH('WSF DASHBOARD'!$C$4,INDEX(MASTER_AREAS!$B:$B,460)))),459,""),""),IF('WSF DASHBOARD'!$B$4="Zone",IF(459&lt;=$D$4,IF(OR('WSF DASHBOARD'!$C$4="",ISNUMBER(SEARCH('WSF DASHBOARD'!$C$4,INDEX(MASTER_ZONES!$B:$B,460)))),459,""),""),""))</f>
        <v/>
      </c>
      <c r="F460">
        <f>IF('TRANSPORT DASHBOARD'!$B$4="Area",IF(459&lt;=$I$3,IF(OR('TRANSPORT DASHBOARD'!$C$4="",ISNUMBER(SEARCH('TRANSPORT DASHBOARD'!$C$4,INDEX(MASTER_AREAS!$B:$B,460)))),459,""),""),IF('TRANSPORT DASHBOARD'!$B$4="Zone",IF(459&lt;=$I$4,IF(OR('TRANSPORT DASHBOARD'!$C$4="",ISNUMBER(SEARCH('TRANSPORT DASHBOARD'!$C$4,INDEX(MASTER_ZONES!$B:$B,460)))),459,""),""),""))</f>
        <v/>
      </c>
    </row>
    <row r="461">
      <c r="A461">
        <f>IF('WSF DASHBOARD'!$B$4="Area",IF(460&lt;=$D$3,IF(OR('WSF DASHBOARD'!$C$4="",ISNUMBER(SEARCH('WSF DASHBOARD'!$C$4,INDEX(MASTER_AREAS!$B:$B,461)))),460,""),""),IF('WSF DASHBOARD'!$B$4="Zone",IF(460&lt;=$D$4,IF(OR('WSF DASHBOARD'!$C$4="",ISNUMBER(SEARCH('WSF DASHBOARD'!$C$4,INDEX(MASTER_ZONES!$B:$B,461)))),460,""),""),""))</f>
        <v/>
      </c>
      <c r="F461">
        <f>IF('TRANSPORT DASHBOARD'!$B$4="Area",IF(460&lt;=$I$3,IF(OR('TRANSPORT DASHBOARD'!$C$4="",ISNUMBER(SEARCH('TRANSPORT DASHBOARD'!$C$4,INDEX(MASTER_AREAS!$B:$B,461)))),460,""),""),IF('TRANSPORT DASHBOARD'!$B$4="Zone",IF(460&lt;=$I$4,IF(OR('TRANSPORT DASHBOARD'!$C$4="",ISNUMBER(SEARCH('TRANSPORT DASHBOARD'!$C$4,INDEX(MASTER_ZONES!$B:$B,461)))),460,""),""),""))</f>
        <v/>
      </c>
    </row>
    <row r="462">
      <c r="A462">
        <f>IF('WSF DASHBOARD'!$B$4="Area",IF(461&lt;=$D$3,IF(OR('WSF DASHBOARD'!$C$4="",ISNUMBER(SEARCH('WSF DASHBOARD'!$C$4,INDEX(MASTER_AREAS!$B:$B,462)))),461,""),""),IF('WSF DASHBOARD'!$B$4="Zone",IF(461&lt;=$D$4,IF(OR('WSF DASHBOARD'!$C$4="",ISNUMBER(SEARCH('WSF DASHBOARD'!$C$4,INDEX(MASTER_ZONES!$B:$B,462)))),461,""),""),""))</f>
        <v/>
      </c>
      <c r="F462">
        <f>IF('TRANSPORT DASHBOARD'!$B$4="Area",IF(461&lt;=$I$3,IF(OR('TRANSPORT DASHBOARD'!$C$4="",ISNUMBER(SEARCH('TRANSPORT DASHBOARD'!$C$4,INDEX(MASTER_AREAS!$B:$B,462)))),461,""),""),IF('TRANSPORT DASHBOARD'!$B$4="Zone",IF(461&lt;=$I$4,IF(OR('TRANSPORT DASHBOARD'!$C$4="",ISNUMBER(SEARCH('TRANSPORT DASHBOARD'!$C$4,INDEX(MASTER_ZONES!$B:$B,462)))),461,""),""),""))</f>
        <v/>
      </c>
    </row>
    <row r="463">
      <c r="A463">
        <f>IF('WSF DASHBOARD'!$B$4="Area",IF(462&lt;=$D$3,IF(OR('WSF DASHBOARD'!$C$4="",ISNUMBER(SEARCH('WSF DASHBOARD'!$C$4,INDEX(MASTER_AREAS!$B:$B,463)))),462,""),""),IF('WSF DASHBOARD'!$B$4="Zone",IF(462&lt;=$D$4,IF(OR('WSF DASHBOARD'!$C$4="",ISNUMBER(SEARCH('WSF DASHBOARD'!$C$4,INDEX(MASTER_ZONES!$B:$B,463)))),462,""),""),""))</f>
        <v/>
      </c>
      <c r="F463">
        <f>IF('TRANSPORT DASHBOARD'!$B$4="Area",IF(462&lt;=$I$3,IF(OR('TRANSPORT DASHBOARD'!$C$4="",ISNUMBER(SEARCH('TRANSPORT DASHBOARD'!$C$4,INDEX(MASTER_AREAS!$B:$B,463)))),462,""),""),IF('TRANSPORT DASHBOARD'!$B$4="Zone",IF(462&lt;=$I$4,IF(OR('TRANSPORT DASHBOARD'!$C$4="",ISNUMBER(SEARCH('TRANSPORT DASHBOARD'!$C$4,INDEX(MASTER_ZONES!$B:$B,463)))),462,""),""),""))</f>
        <v/>
      </c>
    </row>
    <row r="464">
      <c r="A464">
        <f>IF('WSF DASHBOARD'!$B$4="Area",IF(463&lt;=$D$3,IF(OR('WSF DASHBOARD'!$C$4="",ISNUMBER(SEARCH('WSF DASHBOARD'!$C$4,INDEX(MASTER_AREAS!$B:$B,464)))),463,""),""),IF('WSF DASHBOARD'!$B$4="Zone",IF(463&lt;=$D$4,IF(OR('WSF DASHBOARD'!$C$4="",ISNUMBER(SEARCH('WSF DASHBOARD'!$C$4,INDEX(MASTER_ZONES!$B:$B,464)))),463,""),""),""))</f>
        <v/>
      </c>
      <c r="F464">
        <f>IF('TRANSPORT DASHBOARD'!$B$4="Area",IF(463&lt;=$I$3,IF(OR('TRANSPORT DASHBOARD'!$C$4="",ISNUMBER(SEARCH('TRANSPORT DASHBOARD'!$C$4,INDEX(MASTER_AREAS!$B:$B,464)))),463,""),""),IF('TRANSPORT DASHBOARD'!$B$4="Zone",IF(463&lt;=$I$4,IF(OR('TRANSPORT DASHBOARD'!$C$4="",ISNUMBER(SEARCH('TRANSPORT DASHBOARD'!$C$4,INDEX(MASTER_ZONES!$B:$B,464)))),463,""),""),""))</f>
        <v/>
      </c>
    </row>
    <row r="465">
      <c r="A465">
        <f>IF('WSF DASHBOARD'!$B$4="Area",IF(464&lt;=$D$3,IF(OR('WSF DASHBOARD'!$C$4="",ISNUMBER(SEARCH('WSF DASHBOARD'!$C$4,INDEX(MASTER_AREAS!$B:$B,465)))),464,""),""),IF('WSF DASHBOARD'!$B$4="Zone",IF(464&lt;=$D$4,IF(OR('WSF DASHBOARD'!$C$4="",ISNUMBER(SEARCH('WSF DASHBOARD'!$C$4,INDEX(MASTER_ZONES!$B:$B,465)))),464,""),""),""))</f>
        <v/>
      </c>
      <c r="F465">
        <f>IF('TRANSPORT DASHBOARD'!$B$4="Area",IF(464&lt;=$I$3,IF(OR('TRANSPORT DASHBOARD'!$C$4="",ISNUMBER(SEARCH('TRANSPORT DASHBOARD'!$C$4,INDEX(MASTER_AREAS!$B:$B,465)))),464,""),""),IF('TRANSPORT DASHBOARD'!$B$4="Zone",IF(464&lt;=$I$4,IF(OR('TRANSPORT DASHBOARD'!$C$4="",ISNUMBER(SEARCH('TRANSPORT DASHBOARD'!$C$4,INDEX(MASTER_ZONES!$B:$B,465)))),464,""),""),""))</f>
        <v/>
      </c>
    </row>
    <row r="466">
      <c r="A466">
        <f>IF('WSF DASHBOARD'!$B$4="Area",IF(465&lt;=$D$3,IF(OR('WSF DASHBOARD'!$C$4="",ISNUMBER(SEARCH('WSF DASHBOARD'!$C$4,INDEX(MASTER_AREAS!$B:$B,466)))),465,""),""),IF('WSF DASHBOARD'!$B$4="Zone",IF(465&lt;=$D$4,IF(OR('WSF DASHBOARD'!$C$4="",ISNUMBER(SEARCH('WSF DASHBOARD'!$C$4,INDEX(MASTER_ZONES!$B:$B,466)))),465,""),""),""))</f>
        <v/>
      </c>
      <c r="F466">
        <f>IF('TRANSPORT DASHBOARD'!$B$4="Area",IF(465&lt;=$I$3,IF(OR('TRANSPORT DASHBOARD'!$C$4="",ISNUMBER(SEARCH('TRANSPORT DASHBOARD'!$C$4,INDEX(MASTER_AREAS!$B:$B,466)))),465,""),""),IF('TRANSPORT DASHBOARD'!$B$4="Zone",IF(465&lt;=$I$4,IF(OR('TRANSPORT DASHBOARD'!$C$4="",ISNUMBER(SEARCH('TRANSPORT DASHBOARD'!$C$4,INDEX(MASTER_ZONES!$B:$B,466)))),465,""),""),""))</f>
        <v/>
      </c>
    </row>
    <row r="467">
      <c r="A467">
        <f>IF('WSF DASHBOARD'!$B$4="Area",IF(466&lt;=$D$3,IF(OR('WSF DASHBOARD'!$C$4="",ISNUMBER(SEARCH('WSF DASHBOARD'!$C$4,INDEX(MASTER_AREAS!$B:$B,467)))),466,""),""),IF('WSF DASHBOARD'!$B$4="Zone",IF(466&lt;=$D$4,IF(OR('WSF DASHBOARD'!$C$4="",ISNUMBER(SEARCH('WSF DASHBOARD'!$C$4,INDEX(MASTER_ZONES!$B:$B,467)))),466,""),""),""))</f>
        <v/>
      </c>
      <c r="F467">
        <f>IF('TRANSPORT DASHBOARD'!$B$4="Area",IF(466&lt;=$I$3,IF(OR('TRANSPORT DASHBOARD'!$C$4="",ISNUMBER(SEARCH('TRANSPORT DASHBOARD'!$C$4,INDEX(MASTER_AREAS!$B:$B,467)))),466,""),""),IF('TRANSPORT DASHBOARD'!$B$4="Zone",IF(466&lt;=$I$4,IF(OR('TRANSPORT DASHBOARD'!$C$4="",ISNUMBER(SEARCH('TRANSPORT DASHBOARD'!$C$4,INDEX(MASTER_ZONES!$B:$B,467)))),466,""),""),""))</f>
        <v/>
      </c>
    </row>
    <row r="468">
      <c r="A468">
        <f>IF('WSF DASHBOARD'!$B$4="Area",IF(467&lt;=$D$3,IF(OR('WSF DASHBOARD'!$C$4="",ISNUMBER(SEARCH('WSF DASHBOARD'!$C$4,INDEX(MASTER_AREAS!$B:$B,468)))),467,""),""),IF('WSF DASHBOARD'!$B$4="Zone",IF(467&lt;=$D$4,IF(OR('WSF DASHBOARD'!$C$4="",ISNUMBER(SEARCH('WSF DASHBOARD'!$C$4,INDEX(MASTER_ZONES!$B:$B,468)))),467,""),""),""))</f>
        <v/>
      </c>
      <c r="F468">
        <f>IF('TRANSPORT DASHBOARD'!$B$4="Area",IF(467&lt;=$I$3,IF(OR('TRANSPORT DASHBOARD'!$C$4="",ISNUMBER(SEARCH('TRANSPORT DASHBOARD'!$C$4,INDEX(MASTER_AREAS!$B:$B,468)))),467,""),""),IF('TRANSPORT DASHBOARD'!$B$4="Zone",IF(467&lt;=$I$4,IF(OR('TRANSPORT DASHBOARD'!$C$4="",ISNUMBER(SEARCH('TRANSPORT DASHBOARD'!$C$4,INDEX(MASTER_ZONES!$B:$B,468)))),467,""),""),""))</f>
        <v/>
      </c>
    </row>
    <row r="469">
      <c r="A469">
        <f>IF('WSF DASHBOARD'!$B$4="Area",IF(468&lt;=$D$3,IF(OR('WSF DASHBOARD'!$C$4="",ISNUMBER(SEARCH('WSF DASHBOARD'!$C$4,INDEX(MASTER_AREAS!$B:$B,469)))),468,""),""),IF('WSF DASHBOARD'!$B$4="Zone",IF(468&lt;=$D$4,IF(OR('WSF DASHBOARD'!$C$4="",ISNUMBER(SEARCH('WSF DASHBOARD'!$C$4,INDEX(MASTER_ZONES!$B:$B,469)))),468,""),""),""))</f>
        <v/>
      </c>
      <c r="F469">
        <f>IF('TRANSPORT DASHBOARD'!$B$4="Area",IF(468&lt;=$I$3,IF(OR('TRANSPORT DASHBOARD'!$C$4="",ISNUMBER(SEARCH('TRANSPORT DASHBOARD'!$C$4,INDEX(MASTER_AREAS!$B:$B,469)))),468,""),""),IF('TRANSPORT DASHBOARD'!$B$4="Zone",IF(468&lt;=$I$4,IF(OR('TRANSPORT DASHBOARD'!$C$4="",ISNUMBER(SEARCH('TRANSPORT DASHBOARD'!$C$4,INDEX(MASTER_ZONES!$B:$B,469)))),468,""),""),""))</f>
        <v/>
      </c>
    </row>
    <row r="470">
      <c r="A470">
        <f>IF('WSF DASHBOARD'!$B$4="Area",IF(469&lt;=$D$3,IF(OR('WSF DASHBOARD'!$C$4="",ISNUMBER(SEARCH('WSF DASHBOARD'!$C$4,INDEX(MASTER_AREAS!$B:$B,470)))),469,""),""),IF('WSF DASHBOARD'!$B$4="Zone",IF(469&lt;=$D$4,IF(OR('WSF DASHBOARD'!$C$4="",ISNUMBER(SEARCH('WSF DASHBOARD'!$C$4,INDEX(MASTER_ZONES!$B:$B,470)))),469,""),""),""))</f>
        <v/>
      </c>
      <c r="F470">
        <f>IF('TRANSPORT DASHBOARD'!$B$4="Area",IF(469&lt;=$I$3,IF(OR('TRANSPORT DASHBOARD'!$C$4="",ISNUMBER(SEARCH('TRANSPORT DASHBOARD'!$C$4,INDEX(MASTER_AREAS!$B:$B,470)))),469,""),""),IF('TRANSPORT DASHBOARD'!$B$4="Zone",IF(469&lt;=$I$4,IF(OR('TRANSPORT DASHBOARD'!$C$4="",ISNUMBER(SEARCH('TRANSPORT DASHBOARD'!$C$4,INDEX(MASTER_ZONES!$B:$B,470)))),469,""),""),""))</f>
        <v/>
      </c>
    </row>
    <row r="471">
      <c r="A471">
        <f>IF('WSF DASHBOARD'!$B$4="Area",IF(470&lt;=$D$3,IF(OR('WSF DASHBOARD'!$C$4="",ISNUMBER(SEARCH('WSF DASHBOARD'!$C$4,INDEX(MASTER_AREAS!$B:$B,471)))),470,""),""),IF('WSF DASHBOARD'!$B$4="Zone",IF(470&lt;=$D$4,IF(OR('WSF DASHBOARD'!$C$4="",ISNUMBER(SEARCH('WSF DASHBOARD'!$C$4,INDEX(MASTER_ZONES!$B:$B,471)))),470,""),""),""))</f>
        <v/>
      </c>
      <c r="F471">
        <f>IF('TRANSPORT DASHBOARD'!$B$4="Area",IF(470&lt;=$I$3,IF(OR('TRANSPORT DASHBOARD'!$C$4="",ISNUMBER(SEARCH('TRANSPORT DASHBOARD'!$C$4,INDEX(MASTER_AREAS!$B:$B,471)))),470,""),""),IF('TRANSPORT DASHBOARD'!$B$4="Zone",IF(470&lt;=$I$4,IF(OR('TRANSPORT DASHBOARD'!$C$4="",ISNUMBER(SEARCH('TRANSPORT DASHBOARD'!$C$4,INDEX(MASTER_ZONES!$B:$B,471)))),470,""),""),""))</f>
        <v/>
      </c>
    </row>
    <row r="472">
      <c r="A472">
        <f>IF('WSF DASHBOARD'!$B$4="Area",IF(471&lt;=$D$3,IF(OR('WSF DASHBOARD'!$C$4="",ISNUMBER(SEARCH('WSF DASHBOARD'!$C$4,INDEX(MASTER_AREAS!$B:$B,472)))),471,""),""),IF('WSF DASHBOARD'!$B$4="Zone",IF(471&lt;=$D$4,IF(OR('WSF DASHBOARD'!$C$4="",ISNUMBER(SEARCH('WSF DASHBOARD'!$C$4,INDEX(MASTER_ZONES!$B:$B,472)))),471,""),""),""))</f>
        <v/>
      </c>
      <c r="F472">
        <f>IF('TRANSPORT DASHBOARD'!$B$4="Area",IF(471&lt;=$I$3,IF(OR('TRANSPORT DASHBOARD'!$C$4="",ISNUMBER(SEARCH('TRANSPORT DASHBOARD'!$C$4,INDEX(MASTER_AREAS!$B:$B,472)))),471,""),""),IF('TRANSPORT DASHBOARD'!$B$4="Zone",IF(471&lt;=$I$4,IF(OR('TRANSPORT DASHBOARD'!$C$4="",ISNUMBER(SEARCH('TRANSPORT DASHBOARD'!$C$4,INDEX(MASTER_ZONES!$B:$B,472)))),471,""),""),""))</f>
        <v/>
      </c>
    </row>
    <row r="473">
      <c r="A473">
        <f>IF('WSF DASHBOARD'!$B$4="Area",IF(472&lt;=$D$3,IF(OR('WSF DASHBOARD'!$C$4="",ISNUMBER(SEARCH('WSF DASHBOARD'!$C$4,INDEX(MASTER_AREAS!$B:$B,473)))),472,""),""),IF('WSF DASHBOARD'!$B$4="Zone",IF(472&lt;=$D$4,IF(OR('WSF DASHBOARD'!$C$4="",ISNUMBER(SEARCH('WSF DASHBOARD'!$C$4,INDEX(MASTER_ZONES!$B:$B,473)))),472,""),""),""))</f>
        <v/>
      </c>
      <c r="F473">
        <f>IF('TRANSPORT DASHBOARD'!$B$4="Area",IF(472&lt;=$I$3,IF(OR('TRANSPORT DASHBOARD'!$C$4="",ISNUMBER(SEARCH('TRANSPORT DASHBOARD'!$C$4,INDEX(MASTER_AREAS!$B:$B,473)))),472,""),""),IF('TRANSPORT DASHBOARD'!$B$4="Zone",IF(472&lt;=$I$4,IF(OR('TRANSPORT DASHBOARD'!$C$4="",ISNUMBER(SEARCH('TRANSPORT DASHBOARD'!$C$4,INDEX(MASTER_ZONES!$B:$B,473)))),472,""),""),""))</f>
        <v/>
      </c>
    </row>
    <row r="474">
      <c r="A474">
        <f>IF('WSF DASHBOARD'!$B$4="Area",IF(473&lt;=$D$3,IF(OR('WSF DASHBOARD'!$C$4="",ISNUMBER(SEARCH('WSF DASHBOARD'!$C$4,INDEX(MASTER_AREAS!$B:$B,474)))),473,""),""),IF('WSF DASHBOARD'!$B$4="Zone",IF(473&lt;=$D$4,IF(OR('WSF DASHBOARD'!$C$4="",ISNUMBER(SEARCH('WSF DASHBOARD'!$C$4,INDEX(MASTER_ZONES!$B:$B,474)))),473,""),""),""))</f>
        <v/>
      </c>
      <c r="F474">
        <f>IF('TRANSPORT DASHBOARD'!$B$4="Area",IF(473&lt;=$I$3,IF(OR('TRANSPORT DASHBOARD'!$C$4="",ISNUMBER(SEARCH('TRANSPORT DASHBOARD'!$C$4,INDEX(MASTER_AREAS!$B:$B,474)))),473,""),""),IF('TRANSPORT DASHBOARD'!$B$4="Zone",IF(473&lt;=$I$4,IF(OR('TRANSPORT DASHBOARD'!$C$4="",ISNUMBER(SEARCH('TRANSPORT DASHBOARD'!$C$4,INDEX(MASTER_ZONES!$B:$B,474)))),473,""),""),""))</f>
        <v/>
      </c>
    </row>
    <row r="475">
      <c r="A475">
        <f>IF('WSF DASHBOARD'!$B$4="Area",IF(474&lt;=$D$3,IF(OR('WSF DASHBOARD'!$C$4="",ISNUMBER(SEARCH('WSF DASHBOARD'!$C$4,INDEX(MASTER_AREAS!$B:$B,475)))),474,""),""),IF('WSF DASHBOARD'!$B$4="Zone",IF(474&lt;=$D$4,IF(OR('WSF DASHBOARD'!$C$4="",ISNUMBER(SEARCH('WSF DASHBOARD'!$C$4,INDEX(MASTER_ZONES!$B:$B,475)))),474,""),""),""))</f>
        <v/>
      </c>
      <c r="F475">
        <f>IF('TRANSPORT DASHBOARD'!$B$4="Area",IF(474&lt;=$I$3,IF(OR('TRANSPORT DASHBOARD'!$C$4="",ISNUMBER(SEARCH('TRANSPORT DASHBOARD'!$C$4,INDEX(MASTER_AREAS!$B:$B,475)))),474,""),""),IF('TRANSPORT DASHBOARD'!$B$4="Zone",IF(474&lt;=$I$4,IF(OR('TRANSPORT DASHBOARD'!$C$4="",ISNUMBER(SEARCH('TRANSPORT DASHBOARD'!$C$4,INDEX(MASTER_ZONES!$B:$B,475)))),474,""),""),""))</f>
        <v/>
      </c>
    </row>
    <row r="476">
      <c r="A476">
        <f>IF('WSF DASHBOARD'!$B$4="Area",IF(475&lt;=$D$3,IF(OR('WSF DASHBOARD'!$C$4="",ISNUMBER(SEARCH('WSF DASHBOARD'!$C$4,INDEX(MASTER_AREAS!$B:$B,476)))),475,""),""),IF('WSF DASHBOARD'!$B$4="Zone",IF(475&lt;=$D$4,IF(OR('WSF DASHBOARD'!$C$4="",ISNUMBER(SEARCH('WSF DASHBOARD'!$C$4,INDEX(MASTER_ZONES!$B:$B,476)))),475,""),""),""))</f>
        <v/>
      </c>
      <c r="F476">
        <f>IF('TRANSPORT DASHBOARD'!$B$4="Area",IF(475&lt;=$I$3,IF(OR('TRANSPORT DASHBOARD'!$C$4="",ISNUMBER(SEARCH('TRANSPORT DASHBOARD'!$C$4,INDEX(MASTER_AREAS!$B:$B,476)))),475,""),""),IF('TRANSPORT DASHBOARD'!$B$4="Zone",IF(475&lt;=$I$4,IF(OR('TRANSPORT DASHBOARD'!$C$4="",ISNUMBER(SEARCH('TRANSPORT DASHBOARD'!$C$4,INDEX(MASTER_ZONES!$B:$B,476)))),475,""),""),""))</f>
        <v/>
      </c>
    </row>
    <row r="477">
      <c r="A477">
        <f>IF('WSF DASHBOARD'!$B$4="Area",IF(476&lt;=$D$3,IF(OR('WSF DASHBOARD'!$C$4="",ISNUMBER(SEARCH('WSF DASHBOARD'!$C$4,INDEX(MASTER_AREAS!$B:$B,477)))),476,""),""),IF('WSF DASHBOARD'!$B$4="Zone",IF(476&lt;=$D$4,IF(OR('WSF DASHBOARD'!$C$4="",ISNUMBER(SEARCH('WSF DASHBOARD'!$C$4,INDEX(MASTER_ZONES!$B:$B,477)))),476,""),""),""))</f>
        <v/>
      </c>
      <c r="F477">
        <f>IF('TRANSPORT DASHBOARD'!$B$4="Area",IF(476&lt;=$I$3,IF(OR('TRANSPORT DASHBOARD'!$C$4="",ISNUMBER(SEARCH('TRANSPORT DASHBOARD'!$C$4,INDEX(MASTER_AREAS!$B:$B,477)))),476,""),""),IF('TRANSPORT DASHBOARD'!$B$4="Zone",IF(476&lt;=$I$4,IF(OR('TRANSPORT DASHBOARD'!$C$4="",ISNUMBER(SEARCH('TRANSPORT DASHBOARD'!$C$4,INDEX(MASTER_ZONES!$B:$B,477)))),476,""),""),""))</f>
        <v/>
      </c>
    </row>
    <row r="478">
      <c r="A478">
        <f>IF('WSF DASHBOARD'!$B$4="Area",IF(477&lt;=$D$3,IF(OR('WSF DASHBOARD'!$C$4="",ISNUMBER(SEARCH('WSF DASHBOARD'!$C$4,INDEX(MASTER_AREAS!$B:$B,478)))),477,""),""),IF('WSF DASHBOARD'!$B$4="Zone",IF(477&lt;=$D$4,IF(OR('WSF DASHBOARD'!$C$4="",ISNUMBER(SEARCH('WSF DASHBOARD'!$C$4,INDEX(MASTER_ZONES!$B:$B,478)))),477,""),""),""))</f>
        <v/>
      </c>
      <c r="F478">
        <f>IF('TRANSPORT DASHBOARD'!$B$4="Area",IF(477&lt;=$I$3,IF(OR('TRANSPORT DASHBOARD'!$C$4="",ISNUMBER(SEARCH('TRANSPORT DASHBOARD'!$C$4,INDEX(MASTER_AREAS!$B:$B,478)))),477,""),""),IF('TRANSPORT DASHBOARD'!$B$4="Zone",IF(477&lt;=$I$4,IF(OR('TRANSPORT DASHBOARD'!$C$4="",ISNUMBER(SEARCH('TRANSPORT DASHBOARD'!$C$4,INDEX(MASTER_ZONES!$B:$B,478)))),477,""),""),""))</f>
        <v/>
      </c>
    </row>
    <row r="479">
      <c r="A479">
        <f>IF('WSF DASHBOARD'!$B$4="Area",IF(478&lt;=$D$3,IF(OR('WSF DASHBOARD'!$C$4="",ISNUMBER(SEARCH('WSF DASHBOARD'!$C$4,INDEX(MASTER_AREAS!$B:$B,479)))),478,""),""),IF('WSF DASHBOARD'!$B$4="Zone",IF(478&lt;=$D$4,IF(OR('WSF DASHBOARD'!$C$4="",ISNUMBER(SEARCH('WSF DASHBOARD'!$C$4,INDEX(MASTER_ZONES!$B:$B,479)))),478,""),""),""))</f>
        <v/>
      </c>
      <c r="F479">
        <f>IF('TRANSPORT DASHBOARD'!$B$4="Area",IF(478&lt;=$I$3,IF(OR('TRANSPORT DASHBOARD'!$C$4="",ISNUMBER(SEARCH('TRANSPORT DASHBOARD'!$C$4,INDEX(MASTER_AREAS!$B:$B,479)))),478,""),""),IF('TRANSPORT DASHBOARD'!$B$4="Zone",IF(478&lt;=$I$4,IF(OR('TRANSPORT DASHBOARD'!$C$4="",ISNUMBER(SEARCH('TRANSPORT DASHBOARD'!$C$4,INDEX(MASTER_ZONES!$B:$B,479)))),478,""),""),""))</f>
        <v/>
      </c>
    </row>
    <row r="480">
      <c r="A480">
        <f>IF('WSF DASHBOARD'!$B$4="Area",IF(479&lt;=$D$3,IF(OR('WSF DASHBOARD'!$C$4="",ISNUMBER(SEARCH('WSF DASHBOARD'!$C$4,INDEX(MASTER_AREAS!$B:$B,480)))),479,""),""),IF('WSF DASHBOARD'!$B$4="Zone",IF(479&lt;=$D$4,IF(OR('WSF DASHBOARD'!$C$4="",ISNUMBER(SEARCH('WSF DASHBOARD'!$C$4,INDEX(MASTER_ZONES!$B:$B,480)))),479,""),""),""))</f>
        <v/>
      </c>
      <c r="F480">
        <f>IF('TRANSPORT DASHBOARD'!$B$4="Area",IF(479&lt;=$I$3,IF(OR('TRANSPORT DASHBOARD'!$C$4="",ISNUMBER(SEARCH('TRANSPORT DASHBOARD'!$C$4,INDEX(MASTER_AREAS!$B:$B,480)))),479,""),""),IF('TRANSPORT DASHBOARD'!$B$4="Zone",IF(479&lt;=$I$4,IF(OR('TRANSPORT DASHBOARD'!$C$4="",ISNUMBER(SEARCH('TRANSPORT DASHBOARD'!$C$4,INDEX(MASTER_ZONES!$B:$B,480)))),479,""),""),""))</f>
        <v/>
      </c>
    </row>
    <row r="481">
      <c r="A481">
        <f>IF('WSF DASHBOARD'!$B$4="Area",IF(480&lt;=$D$3,IF(OR('WSF DASHBOARD'!$C$4="",ISNUMBER(SEARCH('WSF DASHBOARD'!$C$4,INDEX(MASTER_AREAS!$B:$B,481)))),480,""),""),IF('WSF DASHBOARD'!$B$4="Zone",IF(480&lt;=$D$4,IF(OR('WSF DASHBOARD'!$C$4="",ISNUMBER(SEARCH('WSF DASHBOARD'!$C$4,INDEX(MASTER_ZONES!$B:$B,481)))),480,""),""),""))</f>
        <v/>
      </c>
      <c r="F481">
        <f>IF('TRANSPORT DASHBOARD'!$B$4="Area",IF(480&lt;=$I$3,IF(OR('TRANSPORT DASHBOARD'!$C$4="",ISNUMBER(SEARCH('TRANSPORT DASHBOARD'!$C$4,INDEX(MASTER_AREAS!$B:$B,481)))),480,""),""),IF('TRANSPORT DASHBOARD'!$B$4="Zone",IF(480&lt;=$I$4,IF(OR('TRANSPORT DASHBOARD'!$C$4="",ISNUMBER(SEARCH('TRANSPORT DASHBOARD'!$C$4,INDEX(MASTER_ZONES!$B:$B,481)))),480,""),""),""))</f>
        <v/>
      </c>
    </row>
    <row r="482">
      <c r="A482">
        <f>IF('WSF DASHBOARD'!$B$4="Area",IF(481&lt;=$D$3,IF(OR('WSF DASHBOARD'!$C$4="",ISNUMBER(SEARCH('WSF DASHBOARD'!$C$4,INDEX(MASTER_AREAS!$B:$B,482)))),481,""),""),IF('WSF DASHBOARD'!$B$4="Zone",IF(481&lt;=$D$4,IF(OR('WSF DASHBOARD'!$C$4="",ISNUMBER(SEARCH('WSF DASHBOARD'!$C$4,INDEX(MASTER_ZONES!$B:$B,482)))),481,""),""),""))</f>
        <v/>
      </c>
      <c r="F482">
        <f>IF('TRANSPORT DASHBOARD'!$B$4="Area",IF(481&lt;=$I$3,IF(OR('TRANSPORT DASHBOARD'!$C$4="",ISNUMBER(SEARCH('TRANSPORT DASHBOARD'!$C$4,INDEX(MASTER_AREAS!$B:$B,482)))),481,""),""),IF('TRANSPORT DASHBOARD'!$B$4="Zone",IF(481&lt;=$I$4,IF(OR('TRANSPORT DASHBOARD'!$C$4="",ISNUMBER(SEARCH('TRANSPORT DASHBOARD'!$C$4,INDEX(MASTER_ZONES!$B:$B,482)))),481,""),""),""))</f>
        <v/>
      </c>
    </row>
    <row r="483">
      <c r="A483">
        <f>IF('WSF DASHBOARD'!$B$4="Area",IF(482&lt;=$D$3,IF(OR('WSF DASHBOARD'!$C$4="",ISNUMBER(SEARCH('WSF DASHBOARD'!$C$4,INDEX(MASTER_AREAS!$B:$B,483)))),482,""),""),IF('WSF DASHBOARD'!$B$4="Zone",IF(482&lt;=$D$4,IF(OR('WSF DASHBOARD'!$C$4="",ISNUMBER(SEARCH('WSF DASHBOARD'!$C$4,INDEX(MASTER_ZONES!$B:$B,483)))),482,""),""),""))</f>
        <v/>
      </c>
      <c r="F483">
        <f>IF('TRANSPORT DASHBOARD'!$B$4="Area",IF(482&lt;=$I$3,IF(OR('TRANSPORT DASHBOARD'!$C$4="",ISNUMBER(SEARCH('TRANSPORT DASHBOARD'!$C$4,INDEX(MASTER_AREAS!$B:$B,483)))),482,""),""),IF('TRANSPORT DASHBOARD'!$B$4="Zone",IF(482&lt;=$I$4,IF(OR('TRANSPORT DASHBOARD'!$C$4="",ISNUMBER(SEARCH('TRANSPORT DASHBOARD'!$C$4,INDEX(MASTER_ZONES!$B:$B,483)))),482,""),""),""))</f>
        <v/>
      </c>
    </row>
    <row r="484">
      <c r="A484">
        <f>IF('WSF DASHBOARD'!$B$4="Area",IF(483&lt;=$D$3,IF(OR('WSF DASHBOARD'!$C$4="",ISNUMBER(SEARCH('WSF DASHBOARD'!$C$4,INDEX(MASTER_AREAS!$B:$B,484)))),483,""),""),IF('WSF DASHBOARD'!$B$4="Zone",IF(483&lt;=$D$4,IF(OR('WSF DASHBOARD'!$C$4="",ISNUMBER(SEARCH('WSF DASHBOARD'!$C$4,INDEX(MASTER_ZONES!$B:$B,484)))),483,""),""),""))</f>
        <v/>
      </c>
      <c r="F484">
        <f>IF('TRANSPORT DASHBOARD'!$B$4="Area",IF(483&lt;=$I$3,IF(OR('TRANSPORT DASHBOARD'!$C$4="",ISNUMBER(SEARCH('TRANSPORT DASHBOARD'!$C$4,INDEX(MASTER_AREAS!$B:$B,484)))),483,""),""),IF('TRANSPORT DASHBOARD'!$B$4="Zone",IF(483&lt;=$I$4,IF(OR('TRANSPORT DASHBOARD'!$C$4="",ISNUMBER(SEARCH('TRANSPORT DASHBOARD'!$C$4,INDEX(MASTER_ZONES!$B:$B,484)))),483,""),""),""))</f>
        <v/>
      </c>
    </row>
    <row r="485">
      <c r="A485">
        <f>IF('WSF DASHBOARD'!$B$4="Area",IF(484&lt;=$D$3,IF(OR('WSF DASHBOARD'!$C$4="",ISNUMBER(SEARCH('WSF DASHBOARD'!$C$4,INDEX(MASTER_AREAS!$B:$B,485)))),484,""),""),IF('WSF DASHBOARD'!$B$4="Zone",IF(484&lt;=$D$4,IF(OR('WSF DASHBOARD'!$C$4="",ISNUMBER(SEARCH('WSF DASHBOARD'!$C$4,INDEX(MASTER_ZONES!$B:$B,485)))),484,""),""),""))</f>
        <v/>
      </c>
      <c r="F485">
        <f>IF('TRANSPORT DASHBOARD'!$B$4="Area",IF(484&lt;=$I$3,IF(OR('TRANSPORT DASHBOARD'!$C$4="",ISNUMBER(SEARCH('TRANSPORT DASHBOARD'!$C$4,INDEX(MASTER_AREAS!$B:$B,485)))),484,""),""),IF('TRANSPORT DASHBOARD'!$B$4="Zone",IF(484&lt;=$I$4,IF(OR('TRANSPORT DASHBOARD'!$C$4="",ISNUMBER(SEARCH('TRANSPORT DASHBOARD'!$C$4,INDEX(MASTER_ZONES!$B:$B,485)))),484,""),""),""))</f>
        <v/>
      </c>
    </row>
    <row r="486">
      <c r="A486">
        <f>IF('WSF DASHBOARD'!$B$4="Area",IF(485&lt;=$D$3,IF(OR('WSF DASHBOARD'!$C$4="",ISNUMBER(SEARCH('WSF DASHBOARD'!$C$4,INDEX(MASTER_AREAS!$B:$B,486)))),485,""),""),IF('WSF DASHBOARD'!$B$4="Zone",IF(485&lt;=$D$4,IF(OR('WSF DASHBOARD'!$C$4="",ISNUMBER(SEARCH('WSF DASHBOARD'!$C$4,INDEX(MASTER_ZONES!$B:$B,486)))),485,""),""),""))</f>
        <v/>
      </c>
      <c r="F486">
        <f>IF('TRANSPORT DASHBOARD'!$B$4="Area",IF(485&lt;=$I$3,IF(OR('TRANSPORT DASHBOARD'!$C$4="",ISNUMBER(SEARCH('TRANSPORT DASHBOARD'!$C$4,INDEX(MASTER_AREAS!$B:$B,486)))),485,""),""),IF('TRANSPORT DASHBOARD'!$B$4="Zone",IF(485&lt;=$I$4,IF(OR('TRANSPORT DASHBOARD'!$C$4="",ISNUMBER(SEARCH('TRANSPORT DASHBOARD'!$C$4,INDEX(MASTER_ZONES!$B:$B,486)))),485,""),""),""))</f>
        <v/>
      </c>
    </row>
    <row r="487">
      <c r="A487">
        <f>IF('WSF DASHBOARD'!$B$4="Area",IF(486&lt;=$D$3,IF(OR('WSF DASHBOARD'!$C$4="",ISNUMBER(SEARCH('WSF DASHBOARD'!$C$4,INDEX(MASTER_AREAS!$B:$B,487)))),486,""),""),IF('WSF DASHBOARD'!$B$4="Zone",IF(486&lt;=$D$4,IF(OR('WSF DASHBOARD'!$C$4="",ISNUMBER(SEARCH('WSF DASHBOARD'!$C$4,INDEX(MASTER_ZONES!$B:$B,487)))),486,""),""),""))</f>
        <v/>
      </c>
      <c r="F487">
        <f>IF('TRANSPORT DASHBOARD'!$B$4="Area",IF(486&lt;=$I$3,IF(OR('TRANSPORT DASHBOARD'!$C$4="",ISNUMBER(SEARCH('TRANSPORT DASHBOARD'!$C$4,INDEX(MASTER_AREAS!$B:$B,487)))),486,""),""),IF('TRANSPORT DASHBOARD'!$B$4="Zone",IF(486&lt;=$I$4,IF(OR('TRANSPORT DASHBOARD'!$C$4="",ISNUMBER(SEARCH('TRANSPORT DASHBOARD'!$C$4,INDEX(MASTER_ZONES!$B:$B,487)))),486,""),""),""))</f>
        <v/>
      </c>
    </row>
    <row r="488">
      <c r="A488">
        <f>IF('WSF DASHBOARD'!$B$4="Area",IF(487&lt;=$D$3,IF(OR('WSF DASHBOARD'!$C$4="",ISNUMBER(SEARCH('WSF DASHBOARD'!$C$4,INDEX(MASTER_AREAS!$B:$B,488)))),487,""),""),IF('WSF DASHBOARD'!$B$4="Zone",IF(487&lt;=$D$4,IF(OR('WSF DASHBOARD'!$C$4="",ISNUMBER(SEARCH('WSF DASHBOARD'!$C$4,INDEX(MASTER_ZONES!$B:$B,488)))),487,""),""),""))</f>
        <v/>
      </c>
      <c r="F488">
        <f>IF('TRANSPORT DASHBOARD'!$B$4="Area",IF(487&lt;=$I$3,IF(OR('TRANSPORT DASHBOARD'!$C$4="",ISNUMBER(SEARCH('TRANSPORT DASHBOARD'!$C$4,INDEX(MASTER_AREAS!$B:$B,488)))),487,""),""),IF('TRANSPORT DASHBOARD'!$B$4="Zone",IF(487&lt;=$I$4,IF(OR('TRANSPORT DASHBOARD'!$C$4="",ISNUMBER(SEARCH('TRANSPORT DASHBOARD'!$C$4,INDEX(MASTER_ZONES!$B:$B,488)))),487,""),""),""))</f>
        <v/>
      </c>
    </row>
    <row r="489">
      <c r="A489">
        <f>IF('WSF DASHBOARD'!$B$4="Area",IF(488&lt;=$D$3,IF(OR('WSF DASHBOARD'!$C$4="",ISNUMBER(SEARCH('WSF DASHBOARD'!$C$4,INDEX(MASTER_AREAS!$B:$B,489)))),488,""),""),IF('WSF DASHBOARD'!$B$4="Zone",IF(488&lt;=$D$4,IF(OR('WSF DASHBOARD'!$C$4="",ISNUMBER(SEARCH('WSF DASHBOARD'!$C$4,INDEX(MASTER_ZONES!$B:$B,489)))),488,""),""),""))</f>
        <v/>
      </c>
      <c r="F489">
        <f>IF('TRANSPORT DASHBOARD'!$B$4="Area",IF(488&lt;=$I$3,IF(OR('TRANSPORT DASHBOARD'!$C$4="",ISNUMBER(SEARCH('TRANSPORT DASHBOARD'!$C$4,INDEX(MASTER_AREAS!$B:$B,489)))),488,""),""),IF('TRANSPORT DASHBOARD'!$B$4="Zone",IF(488&lt;=$I$4,IF(OR('TRANSPORT DASHBOARD'!$C$4="",ISNUMBER(SEARCH('TRANSPORT DASHBOARD'!$C$4,INDEX(MASTER_ZONES!$B:$B,489)))),488,""),""),""))</f>
        <v/>
      </c>
    </row>
    <row r="490">
      <c r="A490">
        <f>IF('WSF DASHBOARD'!$B$4="Area",IF(489&lt;=$D$3,IF(OR('WSF DASHBOARD'!$C$4="",ISNUMBER(SEARCH('WSF DASHBOARD'!$C$4,INDEX(MASTER_AREAS!$B:$B,490)))),489,""),""),IF('WSF DASHBOARD'!$B$4="Zone",IF(489&lt;=$D$4,IF(OR('WSF DASHBOARD'!$C$4="",ISNUMBER(SEARCH('WSF DASHBOARD'!$C$4,INDEX(MASTER_ZONES!$B:$B,490)))),489,""),""),""))</f>
        <v/>
      </c>
      <c r="F490">
        <f>IF('TRANSPORT DASHBOARD'!$B$4="Area",IF(489&lt;=$I$3,IF(OR('TRANSPORT DASHBOARD'!$C$4="",ISNUMBER(SEARCH('TRANSPORT DASHBOARD'!$C$4,INDEX(MASTER_AREAS!$B:$B,490)))),489,""),""),IF('TRANSPORT DASHBOARD'!$B$4="Zone",IF(489&lt;=$I$4,IF(OR('TRANSPORT DASHBOARD'!$C$4="",ISNUMBER(SEARCH('TRANSPORT DASHBOARD'!$C$4,INDEX(MASTER_ZONES!$B:$B,490)))),489,""),""),""))</f>
        <v/>
      </c>
    </row>
    <row r="491">
      <c r="A491">
        <f>IF('WSF DASHBOARD'!$B$4="Area",IF(490&lt;=$D$3,IF(OR('WSF DASHBOARD'!$C$4="",ISNUMBER(SEARCH('WSF DASHBOARD'!$C$4,INDEX(MASTER_AREAS!$B:$B,491)))),490,""),""),IF('WSF DASHBOARD'!$B$4="Zone",IF(490&lt;=$D$4,IF(OR('WSF DASHBOARD'!$C$4="",ISNUMBER(SEARCH('WSF DASHBOARD'!$C$4,INDEX(MASTER_ZONES!$B:$B,491)))),490,""),""),""))</f>
        <v/>
      </c>
      <c r="F491">
        <f>IF('TRANSPORT DASHBOARD'!$B$4="Area",IF(490&lt;=$I$3,IF(OR('TRANSPORT DASHBOARD'!$C$4="",ISNUMBER(SEARCH('TRANSPORT DASHBOARD'!$C$4,INDEX(MASTER_AREAS!$B:$B,491)))),490,""),""),IF('TRANSPORT DASHBOARD'!$B$4="Zone",IF(490&lt;=$I$4,IF(OR('TRANSPORT DASHBOARD'!$C$4="",ISNUMBER(SEARCH('TRANSPORT DASHBOARD'!$C$4,INDEX(MASTER_ZONES!$B:$B,491)))),490,""),""),""))</f>
        <v/>
      </c>
    </row>
    <row r="492">
      <c r="A492">
        <f>IF('WSF DASHBOARD'!$B$4="Area",IF(491&lt;=$D$3,IF(OR('WSF DASHBOARD'!$C$4="",ISNUMBER(SEARCH('WSF DASHBOARD'!$C$4,INDEX(MASTER_AREAS!$B:$B,492)))),491,""),""),IF('WSF DASHBOARD'!$B$4="Zone",IF(491&lt;=$D$4,IF(OR('WSF DASHBOARD'!$C$4="",ISNUMBER(SEARCH('WSF DASHBOARD'!$C$4,INDEX(MASTER_ZONES!$B:$B,492)))),491,""),""),""))</f>
        <v/>
      </c>
      <c r="F492">
        <f>IF('TRANSPORT DASHBOARD'!$B$4="Area",IF(491&lt;=$I$3,IF(OR('TRANSPORT DASHBOARD'!$C$4="",ISNUMBER(SEARCH('TRANSPORT DASHBOARD'!$C$4,INDEX(MASTER_AREAS!$B:$B,492)))),491,""),""),IF('TRANSPORT DASHBOARD'!$B$4="Zone",IF(491&lt;=$I$4,IF(OR('TRANSPORT DASHBOARD'!$C$4="",ISNUMBER(SEARCH('TRANSPORT DASHBOARD'!$C$4,INDEX(MASTER_ZONES!$B:$B,492)))),491,""),""),""))</f>
        <v/>
      </c>
    </row>
    <row r="493">
      <c r="A493">
        <f>IF('WSF DASHBOARD'!$B$4="Area",IF(492&lt;=$D$3,IF(OR('WSF DASHBOARD'!$C$4="",ISNUMBER(SEARCH('WSF DASHBOARD'!$C$4,INDEX(MASTER_AREAS!$B:$B,493)))),492,""),""),IF('WSF DASHBOARD'!$B$4="Zone",IF(492&lt;=$D$4,IF(OR('WSF DASHBOARD'!$C$4="",ISNUMBER(SEARCH('WSF DASHBOARD'!$C$4,INDEX(MASTER_ZONES!$B:$B,493)))),492,""),""),""))</f>
        <v/>
      </c>
      <c r="F493">
        <f>IF('TRANSPORT DASHBOARD'!$B$4="Area",IF(492&lt;=$I$3,IF(OR('TRANSPORT DASHBOARD'!$C$4="",ISNUMBER(SEARCH('TRANSPORT DASHBOARD'!$C$4,INDEX(MASTER_AREAS!$B:$B,493)))),492,""),""),IF('TRANSPORT DASHBOARD'!$B$4="Zone",IF(492&lt;=$I$4,IF(OR('TRANSPORT DASHBOARD'!$C$4="",ISNUMBER(SEARCH('TRANSPORT DASHBOARD'!$C$4,INDEX(MASTER_ZONES!$B:$B,493)))),492,""),""),""))</f>
        <v/>
      </c>
    </row>
    <row r="494">
      <c r="A494">
        <f>IF('WSF DASHBOARD'!$B$4="Area",IF(493&lt;=$D$3,IF(OR('WSF DASHBOARD'!$C$4="",ISNUMBER(SEARCH('WSF DASHBOARD'!$C$4,INDEX(MASTER_AREAS!$B:$B,494)))),493,""),""),IF('WSF DASHBOARD'!$B$4="Zone",IF(493&lt;=$D$4,IF(OR('WSF DASHBOARD'!$C$4="",ISNUMBER(SEARCH('WSF DASHBOARD'!$C$4,INDEX(MASTER_ZONES!$B:$B,494)))),493,""),""),""))</f>
        <v/>
      </c>
      <c r="F494">
        <f>IF('TRANSPORT DASHBOARD'!$B$4="Area",IF(493&lt;=$I$3,IF(OR('TRANSPORT DASHBOARD'!$C$4="",ISNUMBER(SEARCH('TRANSPORT DASHBOARD'!$C$4,INDEX(MASTER_AREAS!$B:$B,494)))),493,""),""),IF('TRANSPORT DASHBOARD'!$B$4="Zone",IF(493&lt;=$I$4,IF(OR('TRANSPORT DASHBOARD'!$C$4="",ISNUMBER(SEARCH('TRANSPORT DASHBOARD'!$C$4,INDEX(MASTER_ZONES!$B:$B,494)))),493,""),""),""))</f>
        <v/>
      </c>
    </row>
    <row r="495">
      <c r="A495">
        <f>IF('WSF DASHBOARD'!$B$4="Area",IF(494&lt;=$D$3,IF(OR('WSF DASHBOARD'!$C$4="",ISNUMBER(SEARCH('WSF DASHBOARD'!$C$4,INDEX(MASTER_AREAS!$B:$B,495)))),494,""),""),IF('WSF DASHBOARD'!$B$4="Zone",IF(494&lt;=$D$4,IF(OR('WSF DASHBOARD'!$C$4="",ISNUMBER(SEARCH('WSF DASHBOARD'!$C$4,INDEX(MASTER_ZONES!$B:$B,495)))),494,""),""),""))</f>
        <v/>
      </c>
      <c r="F495">
        <f>IF('TRANSPORT DASHBOARD'!$B$4="Area",IF(494&lt;=$I$3,IF(OR('TRANSPORT DASHBOARD'!$C$4="",ISNUMBER(SEARCH('TRANSPORT DASHBOARD'!$C$4,INDEX(MASTER_AREAS!$B:$B,495)))),494,""),""),IF('TRANSPORT DASHBOARD'!$B$4="Zone",IF(494&lt;=$I$4,IF(OR('TRANSPORT DASHBOARD'!$C$4="",ISNUMBER(SEARCH('TRANSPORT DASHBOARD'!$C$4,INDEX(MASTER_ZONES!$B:$B,495)))),494,""),""),""))</f>
        <v/>
      </c>
    </row>
    <row r="496">
      <c r="A496">
        <f>IF('WSF DASHBOARD'!$B$4="Area",IF(495&lt;=$D$3,IF(OR('WSF DASHBOARD'!$C$4="",ISNUMBER(SEARCH('WSF DASHBOARD'!$C$4,INDEX(MASTER_AREAS!$B:$B,496)))),495,""),""),IF('WSF DASHBOARD'!$B$4="Zone",IF(495&lt;=$D$4,IF(OR('WSF DASHBOARD'!$C$4="",ISNUMBER(SEARCH('WSF DASHBOARD'!$C$4,INDEX(MASTER_ZONES!$B:$B,496)))),495,""),""),""))</f>
        <v/>
      </c>
      <c r="F496">
        <f>IF('TRANSPORT DASHBOARD'!$B$4="Area",IF(495&lt;=$I$3,IF(OR('TRANSPORT DASHBOARD'!$C$4="",ISNUMBER(SEARCH('TRANSPORT DASHBOARD'!$C$4,INDEX(MASTER_AREAS!$B:$B,496)))),495,""),""),IF('TRANSPORT DASHBOARD'!$B$4="Zone",IF(495&lt;=$I$4,IF(OR('TRANSPORT DASHBOARD'!$C$4="",ISNUMBER(SEARCH('TRANSPORT DASHBOARD'!$C$4,INDEX(MASTER_ZONES!$B:$B,496)))),495,""),""),""))</f>
        <v/>
      </c>
    </row>
    <row r="497">
      <c r="A497">
        <f>IF('WSF DASHBOARD'!$B$4="Area",IF(496&lt;=$D$3,IF(OR('WSF DASHBOARD'!$C$4="",ISNUMBER(SEARCH('WSF DASHBOARD'!$C$4,INDEX(MASTER_AREAS!$B:$B,497)))),496,""),""),IF('WSF DASHBOARD'!$B$4="Zone",IF(496&lt;=$D$4,IF(OR('WSF DASHBOARD'!$C$4="",ISNUMBER(SEARCH('WSF DASHBOARD'!$C$4,INDEX(MASTER_ZONES!$B:$B,497)))),496,""),""),""))</f>
        <v/>
      </c>
      <c r="F497">
        <f>IF('TRANSPORT DASHBOARD'!$B$4="Area",IF(496&lt;=$I$3,IF(OR('TRANSPORT DASHBOARD'!$C$4="",ISNUMBER(SEARCH('TRANSPORT DASHBOARD'!$C$4,INDEX(MASTER_AREAS!$B:$B,497)))),496,""),""),IF('TRANSPORT DASHBOARD'!$B$4="Zone",IF(496&lt;=$I$4,IF(OR('TRANSPORT DASHBOARD'!$C$4="",ISNUMBER(SEARCH('TRANSPORT DASHBOARD'!$C$4,INDEX(MASTER_ZONES!$B:$B,497)))),496,""),""),""))</f>
        <v/>
      </c>
    </row>
    <row r="498">
      <c r="A498">
        <f>IF('WSF DASHBOARD'!$B$4="Area",IF(497&lt;=$D$3,IF(OR('WSF DASHBOARD'!$C$4="",ISNUMBER(SEARCH('WSF DASHBOARD'!$C$4,INDEX(MASTER_AREAS!$B:$B,498)))),497,""),""),IF('WSF DASHBOARD'!$B$4="Zone",IF(497&lt;=$D$4,IF(OR('WSF DASHBOARD'!$C$4="",ISNUMBER(SEARCH('WSF DASHBOARD'!$C$4,INDEX(MASTER_ZONES!$B:$B,498)))),497,""),""),""))</f>
        <v/>
      </c>
      <c r="F498">
        <f>IF('TRANSPORT DASHBOARD'!$B$4="Area",IF(497&lt;=$I$3,IF(OR('TRANSPORT DASHBOARD'!$C$4="",ISNUMBER(SEARCH('TRANSPORT DASHBOARD'!$C$4,INDEX(MASTER_AREAS!$B:$B,498)))),497,""),""),IF('TRANSPORT DASHBOARD'!$B$4="Zone",IF(497&lt;=$I$4,IF(OR('TRANSPORT DASHBOARD'!$C$4="",ISNUMBER(SEARCH('TRANSPORT DASHBOARD'!$C$4,INDEX(MASTER_ZONES!$B:$B,498)))),497,""),""),""))</f>
        <v/>
      </c>
    </row>
    <row r="499">
      <c r="A499">
        <f>IF('WSF DASHBOARD'!$B$4="Area",IF(498&lt;=$D$3,IF(OR('WSF DASHBOARD'!$C$4="",ISNUMBER(SEARCH('WSF DASHBOARD'!$C$4,INDEX(MASTER_AREAS!$B:$B,499)))),498,""),""),IF('WSF DASHBOARD'!$B$4="Zone",IF(498&lt;=$D$4,IF(OR('WSF DASHBOARD'!$C$4="",ISNUMBER(SEARCH('WSF DASHBOARD'!$C$4,INDEX(MASTER_ZONES!$B:$B,499)))),498,""),""),""))</f>
        <v/>
      </c>
      <c r="F499">
        <f>IF('TRANSPORT DASHBOARD'!$B$4="Area",IF(498&lt;=$I$3,IF(OR('TRANSPORT DASHBOARD'!$C$4="",ISNUMBER(SEARCH('TRANSPORT DASHBOARD'!$C$4,INDEX(MASTER_AREAS!$B:$B,499)))),498,""),""),IF('TRANSPORT DASHBOARD'!$B$4="Zone",IF(498&lt;=$I$4,IF(OR('TRANSPORT DASHBOARD'!$C$4="",ISNUMBER(SEARCH('TRANSPORT DASHBOARD'!$C$4,INDEX(MASTER_ZONES!$B:$B,499)))),498,""),""),""))</f>
        <v/>
      </c>
    </row>
    <row r="500">
      <c r="A500">
        <f>IF('WSF DASHBOARD'!$B$4="Area",IF(499&lt;=$D$3,IF(OR('WSF DASHBOARD'!$C$4="",ISNUMBER(SEARCH('WSF DASHBOARD'!$C$4,INDEX(MASTER_AREAS!$B:$B,500)))),499,""),""),IF('WSF DASHBOARD'!$B$4="Zone",IF(499&lt;=$D$4,IF(OR('WSF DASHBOARD'!$C$4="",ISNUMBER(SEARCH('WSF DASHBOARD'!$C$4,INDEX(MASTER_ZONES!$B:$B,500)))),499,""),""),""))</f>
        <v/>
      </c>
      <c r="F500">
        <f>IF('TRANSPORT DASHBOARD'!$B$4="Area",IF(499&lt;=$I$3,IF(OR('TRANSPORT DASHBOARD'!$C$4="",ISNUMBER(SEARCH('TRANSPORT DASHBOARD'!$C$4,INDEX(MASTER_AREAS!$B:$B,500)))),499,""),""),IF('TRANSPORT DASHBOARD'!$B$4="Zone",IF(499&lt;=$I$4,IF(OR('TRANSPORT DASHBOARD'!$C$4="",ISNUMBER(SEARCH('TRANSPORT DASHBOARD'!$C$4,INDEX(MASTER_ZONES!$B:$B,500)))),499,""),""),""))</f>
        <v/>
      </c>
    </row>
    <row r="501">
      <c r="A501">
        <f>IF('WSF DASHBOARD'!$B$4="Area",IF(500&lt;=$D$3,IF(OR('WSF DASHBOARD'!$C$4="",ISNUMBER(SEARCH('WSF DASHBOARD'!$C$4,INDEX(MASTER_AREAS!$B:$B,501)))),500,""),""),IF('WSF DASHBOARD'!$B$4="Zone",IF(500&lt;=$D$4,IF(OR('WSF DASHBOARD'!$C$4="",ISNUMBER(SEARCH('WSF DASHBOARD'!$C$4,INDEX(MASTER_ZONES!$B:$B,501)))),500,""),""),""))</f>
        <v/>
      </c>
      <c r="F501">
        <f>IF('TRANSPORT DASHBOARD'!$B$4="Area",IF(500&lt;=$I$3,IF(OR('TRANSPORT DASHBOARD'!$C$4="",ISNUMBER(SEARCH('TRANSPORT DASHBOARD'!$C$4,INDEX(MASTER_AREAS!$B:$B,501)))),500,""),""),IF('TRANSPORT DASHBOARD'!$B$4="Zone",IF(500&lt;=$I$4,IF(OR('TRANSPORT DASHBOARD'!$C$4="",ISNUMBER(SEARCH('TRANSPORT DASHBOARD'!$C$4,INDEX(MASTER_ZONES!$B:$B,501)))),500,""),""),""))</f>
        <v/>
      </c>
    </row>
    <row r="502">
      <c r="A502">
        <f>IF('WSF DASHBOARD'!$B$4="Area",IF(501&lt;=$D$3,IF(OR('WSF DASHBOARD'!$C$4="",ISNUMBER(SEARCH('WSF DASHBOARD'!$C$4,INDEX(MASTER_AREAS!$B:$B,502)))),501,""),""),IF('WSF DASHBOARD'!$B$4="Zone",IF(501&lt;=$D$4,IF(OR('WSF DASHBOARD'!$C$4="",ISNUMBER(SEARCH('WSF DASHBOARD'!$C$4,INDEX(MASTER_ZONES!$B:$B,502)))),501,""),""),""))</f>
        <v/>
      </c>
      <c r="F502">
        <f>IF('TRANSPORT DASHBOARD'!$B$4="Area",IF(501&lt;=$I$3,IF(OR('TRANSPORT DASHBOARD'!$C$4="",ISNUMBER(SEARCH('TRANSPORT DASHBOARD'!$C$4,INDEX(MASTER_AREAS!$B:$B,502)))),501,""),""),IF('TRANSPORT DASHBOARD'!$B$4="Zone",IF(501&lt;=$I$4,IF(OR('TRANSPORT DASHBOARD'!$C$4="",ISNUMBER(SEARCH('TRANSPORT DASHBOARD'!$C$4,INDEX(MASTER_ZONES!$B:$B,502)))),501,""),""),""))</f>
        <v/>
      </c>
    </row>
    <row r="503">
      <c r="A503">
        <f>IF('WSF DASHBOARD'!$B$4="Area",IF(502&lt;=$D$3,IF(OR('WSF DASHBOARD'!$C$4="",ISNUMBER(SEARCH('WSF DASHBOARD'!$C$4,INDEX(MASTER_AREAS!$B:$B,503)))),502,""),""),IF('WSF DASHBOARD'!$B$4="Zone",IF(502&lt;=$D$4,IF(OR('WSF DASHBOARD'!$C$4="",ISNUMBER(SEARCH('WSF DASHBOARD'!$C$4,INDEX(MASTER_ZONES!$B:$B,503)))),502,""),""),""))</f>
        <v/>
      </c>
      <c r="F503">
        <f>IF('TRANSPORT DASHBOARD'!$B$4="Area",IF(502&lt;=$I$3,IF(OR('TRANSPORT DASHBOARD'!$C$4="",ISNUMBER(SEARCH('TRANSPORT DASHBOARD'!$C$4,INDEX(MASTER_AREAS!$B:$B,503)))),502,""),""),IF('TRANSPORT DASHBOARD'!$B$4="Zone",IF(502&lt;=$I$4,IF(OR('TRANSPORT DASHBOARD'!$C$4="",ISNUMBER(SEARCH('TRANSPORT DASHBOARD'!$C$4,INDEX(MASTER_ZONES!$B:$B,503)))),502,""),""),""))</f>
        <v/>
      </c>
    </row>
    <row r="504">
      <c r="A504">
        <f>IF('WSF DASHBOARD'!$B$4="Area",IF(503&lt;=$D$3,IF(OR('WSF DASHBOARD'!$C$4="",ISNUMBER(SEARCH('WSF DASHBOARD'!$C$4,INDEX(MASTER_AREAS!$B:$B,504)))),503,""),""),IF('WSF DASHBOARD'!$B$4="Zone",IF(503&lt;=$D$4,IF(OR('WSF DASHBOARD'!$C$4="",ISNUMBER(SEARCH('WSF DASHBOARD'!$C$4,INDEX(MASTER_ZONES!$B:$B,504)))),503,""),""),""))</f>
        <v/>
      </c>
      <c r="F504">
        <f>IF('TRANSPORT DASHBOARD'!$B$4="Area",IF(503&lt;=$I$3,IF(OR('TRANSPORT DASHBOARD'!$C$4="",ISNUMBER(SEARCH('TRANSPORT DASHBOARD'!$C$4,INDEX(MASTER_AREAS!$B:$B,504)))),503,""),""),IF('TRANSPORT DASHBOARD'!$B$4="Zone",IF(503&lt;=$I$4,IF(OR('TRANSPORT DASHBOARD'!$C$4="",ISNUMBER(SEARCH('TRANSPORT DASHBOARD'!$C$4,INDEX(MASTER_ZONES!$B:$B,504)))),503,""),""),""))</f>
        <v/>
      </c>
    </row>
    <row r="505">
      <c r="A505">
        <f>IF('WSF DASHBOARD'!$B$4="Area",IF(504&lt;=$D$3,IF(OR('WSF DASHBOARD'!$C$4="",ISNUMBER(SEARCH('WSF DASHBOARD'!$C$4,INDEX(MASTER_AREAS!$B:$B,505)))),504,""),""),IF('WSF DASHBOARD'!$B$4="Zone",IF(504&lt;=$D$4,IF(OR('WSF DASHBOARD'!$C$4="",ISNUMBER(SEARCH('WSF DASHBOARD'!$C$4,INDEX(MASTER_ZONES!$B:$B,505)))),504,""),""),""))</f>
        <v/>
      </c>
      <c r="F505">
        <f>IF('TRANSPORT DASHBOARD'!$B$4="Area",IF(504&lt;=$I$3,IF(OR('TRANSPORT DASHBOARD'!$C$4="",ISNUMBER(SEARCH('TRANSPORT DASHBOARD'!$C$4,INDEX(MASTER_AREAS!$B:$B,505)))),504,""),""),IF('TRANSPORT DASHBOARD'!$B$4="Zone",IF(504&lt;=$I$4,IF(OR('TRANSPORT DASHBOARD'!$C$4="",ISNUMBER(SEARCH('TRANSPORT DASHBOARD'!$C$4,INDEX(MASTER_ZONES!$B:$B,505)))),504,""),""),""))</f>
        <v/>
      </c>
    </row>
    <row r="506">
      <c r="A506">
        <f>IF('WSF DASHBOARD'!$B$4="Area",IF(505&lt;=$D$3,IF(OR('WSF DASHBOARD'!$C$4="",ISNUMBER(SEARCH('WSF DASHBOARD'!$C$4,INDEX(MASTER_AREAS!$B:$B,506)))),505,""),""),IF('WSF DASHBOARD'!$B$4="Zone",IF(505&lt;=$D$4,IF(OR('WSF DASHBOARD'!$C$4="",ISNUMBER(SEARCH('WSF DASHBOARD'!$C$4,INDEX(MASTER_ZONES!$B:$B,506)))),505,""),""),""))</f>
        <v/>
      </c>
      <c r="F506">
        <f>IF('TRANSPORT DASHBOARD'!$B$4="Area",IF(505&lt;=$I$3,IF(OR('TRANSPORT DASHBOARD'!$C$4="",ISNUMBER(SEARCH('TRANSPORT DASHBOARD'!$C$4,INDEX(MASTER_AREAS!$B:$B,506)))),505,""),""),IF('TRANSPORT DASHBOARD'!$B$4="Zone",IF(505&lt;=$I$4,IF(OR('TRANSPORT DASHBOARD'!$C$4="",ISNUMBER(SEARCH('TRANSPORT DASHBOARD'!$C$4,INDEX(MASTER_ZONES!$B:$B,506)))),505,""),""),""))</f>
        <v/>
      </c>
    </row>
    <row r="507">
      <c r="A507">
        <f>IF('WSF DASHBOARD'!$B$4="Area",IF(506&lt;=$D$3,IF(OR('WSF DASHBOARD'!$C$4="",ISNUMBER(SEARCH('WSF DASHBOARD'!$C$4,INDEX(MASTER_AREAS!$B:$B,507)))),506,""),""),IF('WSF DASHBOARD'!$B$4="Zone",IF(506&lt;=$D$4,IF(OR('WSF DASHBOARD'!$C$4="",ISNUMBER(SEARCH('WSF DASHBOARD'!$C$4,INDEX(MASTER_ZONES!$B:$B,507)))),506,""),""),""))</f>
        <v/>
      </c>
      <c r="F507">
        <f>IF('TRANSPORT DASHBOARD'!$B$4="Area",IF(506&lt;=$I$3,IF(OR('TRANSPORT DASHBOARD'!$C$4="",ISNUMBER(SEARCH('TRANSPORT DASHBOARD'!$C$4,INDEX(MASTER_AREAS!$B:$B,507)))),506,""),""),IF('TRANSPORT DASHBOARD'!$B$4="Zone",IF(506&lt;=$I$4,IF(OR('TRANSPORT DASHBOARD'!$C$4="",ISNUMBER(SEARCH('TRANSPORT DASHBOARD'!$C$4,INDEX(MASTER_ZONES!$B:$B,507)))),506,""),""),""))</f>
        <v/>
      </c>
    </row>
    <row r="508">
      <c r="A508">
        <f>IF('WSF DASHBOARD'!$B$4="Area",IF(507&lt;=$D$3,IF(OR('WSF DASHBOARD'!$C$4="",ISNUMBER(SEARCH('WSF DASHBOARD'!$C$4,INDEX(MASTER_AREAS!$B:$B,508)))),507,""),""),IF('WSF DASHBOARD'!$B$4="Zone",IF(507&lt;=$D$4,IF(OR('WSF DASHBOARD'!$C$4="",ISNUMBER(SEARCH('WSF DASHBOARD'!$C$4,INDEX(MASTER_ZONES!$B:$B,508)))),507,""),""),""))</f>
        <v/>
      </c>
      <c r="F508">
        <f>IF('TRANSPORT DASHBOARD'!$B$4="Area",IF(507&lt;=$I$3,IF(OR('TRANSPORT DASHBOARD'!$C$4="",ISNUMBER(SEARCH('TRANSPORT DASHBOARD'!$C$4,INDEX(MASTER_AREAS!$B:$B,508)))),507,""),""),IF('TRANSPORT DASHBOARD'!$B$4="Zone",IF(507&lt;=$I$4,IF(OR('TRANSPORT DASHBOARD'!$C$4="",ISNUMBER(SEARCH('TRANSPORT DASHBOARD'!$C$4,INDEX(MASTER_ZONES!$B:$B,508)))),507,""),""),""))</f>
        <v/>
      </c>
    </row>
    <row r="509">
      <c r="A509">
        <f>IF('WSF DASHBOARD'!$B$4="Area",IF(508&lt;=$D$3,IF(OR('WSF DASHBOARD'!$C$4="",ISNUMBER(SEARCH('WSF DASHBOARD'!$C$4,INDEX(MASTER_AREAS!$B:$B,509)))),508,""),""),IF('WSF DASHBOARD'!$B$4="Zone",IF(508&lt;=$D$4,IF(OR('WSF DASHBOARD'!$C$4="",ISNUMBER(SEARCH('WSF DASHBOARD'!$C$4,INDEX(MASTER_ZONES!$B:$B,509)))),508,""),""),""))</f>
        <v/>
      </c>
      <c r="F509">
        <f>IF('TRANSPORT DASHBOARD'!$B$4="Area",IF(508&lt;=$I$3,IF(OR('TRANSPORT DASHBOARD'!$C$4="",ISNUMBER(SEARCH('TRANSPORT DASHBOARD'!$C$4,INDEX(MASTER_AREAS!$B:$B,509)))),508,""),""),IF('TRANSPORT DASHBOARD'!$B$4="Zone",IF(508&lt;=$I$4,IF(OR('TRANSPORT DASHBOARD'!$C$4="",ISNUMBER(SEARCH('TRANSPORT DASHBOARD'!$C$4,INDEX(MASTER_ZONES!$B:$B,509)))),508,""),""),""))</f>
        <v/>
      </c>
    </row>
    <row r="510">
      <c r="A510">
        <f>IF('WSF DASHBOARD'!$B$4="Area",IF(509&lt;=$D$3,IF(OR('WSF DASHBOARD'!$C$4="",ISNUMBER(SEARCH('WSF DASHBOARD'!$C$4,INDEX(MASTER_AREAS!$B:$B,510)))),509,""),""),IF('WSF DASHBOARD'!$B$4="Zone",IF(509&lt;=$D$4,IF(OR('WSF DASHBOARD'!$C$4="",ISNUMBER(SEARCH('WSF DASHBOARD'!$C$4,INDEX(MASTER_ZONES!$B:$B,510)))),509,""),""),""))</f>
        <v/>
      </c>
      <c r="F510">
        <f>IF('TRANSPORT DASHBOARD'!$B$4="Area",IF(509&lt;=$I$3,IF(OR('TRANSPORT DASHBOARD'!$C$4="",ISNUMBER(SEARCH('TRANSPORT DASHBOARD'!$C$4,INDEX(MASTER_AREAS!$B:$B,510)))),509,""),""),IF('TRANSPORT DASHBOARD'!$B$4="Zone",IF(509&lt;=$I$4,IF(OR('TRANSPORT DASHBOARD'!$C$4="",ISNUMBER(SEARCH('TRANSPORT DASHBOARD'!$C$4,INDEX(MASTER_ZONES!$B:$B,510)))),509,""),""),""))</f>
        <v/>
      </c>
    </row>
    <row r="511">
      <c r="A511">
        <f>IF('WSF DASHBOARD'!$B$4="Area",IF(510&lt;=$D$3,IF(OR('WSF DASHBOARD'!$C$4="",ISNUMBER(SEARCH('WSF DASHBOARD'!$C$4,INDEX(MASTER_AREAS!$B:$B,511)))),510,""),""),IF('WSF DASHBOARD'!$B$4="Zone",IF(510&lt;=$D$4,IF(OR('WSF DASHBOARD'!$C$4="",ISNUMBER(SEARCH('WSF DASHBOARD'!$C$4,INDEX(MASTER_ZONES!$B:$B,511)))),510,""),""),""))</f>
        <v/>
      </c>
      <c r="F511">
        <f>IF('TRANSPORT DASHBOARD'!$B$4="Area",IF(510&lt;=$I$3,IF(OR('TRANSPORT DASHBOARD'!$C$4="",ISNUMBER(SEARCH('TRANSPORT DASHBOARD'!$C$4,INDEX(MASTER_AREAS!$B:$B,511)))),510,""),""),IF('TRANSPORT DASHBOARD'!$B$4="Zone",IF(510&lt;=$I$4,IF(OR('TRANSPORT DASHBOARD'!$C$4="",ISNUMBER(SEARCH('TRANSPORT DASHBOARD'!$C$4,INDEX(MASTER_ZONES!$B:$B,511)))),510,""),""),""))</f>
        <v/>
      </c>
    </row>
    <row r="512">
      <c r="A512">
        <f>IF('WSF DASHBOARD'!$B$4="Area",IF(511&lt;=$D$3,IF(OR('WSF DASHBOARD'!$C$4="",ISNUMBER(SEARCH('WSF DASHBOARD'!$C$4,INDEX(MASTER_AREAS!$B:$B,512)))),511,""),""),IF('WSF DASHBOARD'!$B$4="Zone",IF(511&lt;=$D$4,IF(OR('WSF DASHBOARD'!$C$4="",ISNUMBER(SEARCH('WSF DASHBOARD'!$C$4,INDEX(MASTER_ZONES!$B:$B,512)))),511,""),""),""))</f>
        <v/>
      </c>
      <c r="F512">
        <f>IF('TRANSPORT DASHBOARD'!$B$4="Area",IF(511&lt;=$I$3,IF(OR('TRANSPORT DASHBOARD'!$C$4="",ISNUMBER(SEARCH('TRANSPORT DASHBOARD'!$C$4,INDEX(MASTER_AREAS!$B:$B,512)))),511,""),""),IF('TRANSPORT DASHBOARD'!$B$4="Zone",IF(511&lt;=$I$4,IF(OR('TRANSPORT DASHBOARD'!$C$4="",ISNUMBER(SEARCH('TRANSPORT DASHBOARD'!$C$4,INDEX(MASTER_ZONES!$B:$B,512)))),511,""),""),""))</f>
        <v/>
      </c>
    </row>
    <row r="513">
      <c r="A513">
        <f>IF('WSF DASHBOARD'!$B$4="Area",IF(512&lt;=$D$3,IF(OR('WSF DASHBOARD'!$C$4="",ISNUMBER(SEARCH('WSF DASHBOARD'!$C$4,INDEX(MASTER_AREAS!$B:$B,513)))),512,""),""),IF('WSF DASHBOARD'!$B$4="Zone",IF(512&lt;=$D$4,IF(OR('WSF DASHBOARD'!$C$4="",ISNUMBER(SEARCH('WSF DASHBOARD'!$C$4,INDEX(MASTER_ZONES!$B:$B,513)))),512,""),""),""))</f>
        <v/>
      </c>
      <c r="F513">
        <f>IF('TRANSPORT DASHBOARD'!$B$4="Area",IF(512&lt;=$I$3,IF(OR('TRANSPORT DASHBOARD'!$C$4="",ISNUMBER(SEARCH('TRANSPORT DASHBOARD'!$C$4,INDEX(MASTER_AREAS!$B:$B,513)))),512,""),""),IF('TRANSPORT DASHBOARD'!$B$4="Zone",IF(512&lt;=$I$4,IF(OR('TRANSPORT DASHBOARD'!$C$4="",ISNUMBER(SEARCH('TRANSPORT DASHBOARD'!$C$4,INDEX(MASTER_ZONES!$B:$B,513)))),512,""),""),""))</f>
        <v/>
      </c>
    </row>
    <row r="514">
      <c r="A514">
        <f>IF('WSF DASHBOARD'!$B$4="Area",IF(513&lt;=$D$3,IF(OR('WSF DASHBOARD'!$C$4="",ISNUMBER(SEARCH('WSF DASHBOARD'!$C$4,INDEX(MASTER_AREAS!$B:$B,514)))),513,""),""),IF('WSF DASHBOARD'!$B$4="Zone",IF(513&lt;=$D$4,IF(OR('WSF DASHBOARD'!$C$4="",ISNUMBER(SEARCH('WSF DASHBOARD'!$C$4,INDEX(MASTER_ZONES!$B:$B,514)))),513,""),""),""))</f>
        <v/>
      </c>
      <c r="F514">
        <f>IF('TRANSPORT DASHBOARD'!$B$4="Area",IF(513&lt;=$I$3,IF(OR('TRANSPORT DASHBOARD'!$C$4="",ISNUMBER(SEARCH('TRANSPORT DASHBOARD'!$C$4,INDEX(MASTER_AREAS!$B:$B,514)))),513,""),""),IF('TRANSPORT DASHBOARD'!$B$4="Zone",IF(513&lt;=$I$4,IF(OR('TRANSPORT DASHBOARD'!$C$4="",ISNUMBER(SEARCH('TRANSPORT DASHBOARD'!$C$4,INDEX(MASTER_ZONES!$B:$B,514)))),513,""),""),""))</f>
        <v/>
      </c>
    </row>
    <row r="515">
      <c r="A515">
        <f>IF('WSF DASHBOARD'!$B$4="Area",IF(514&lt;=$D$3,IF(OR('WSF DASHBOARD'!$C$4="",ISNUMBER(SEARCH('WSF DASHBOARD'!$C$4,INDEX(MASTER_AREAS!$B:$B,515)))),514,""),""),IF('WSF DASHBOARD'!$B$4="Zone",IF(514&lt;=$D$4,IF(OR('WSF DASHBOARD'!$C$4="",ISNUMBER(SEARCH('WSF DASHBOARD'!$C$4,INDEX(MASTER_ZONES!$B:$B,515)))),514,""),""),""))</f>
        <v/>
      </c>
      <c r="F515">
        <f>IF('TRANSPORT DASHBOARD'!$B$4="Area",IF(514&lt;=$I$3,IF(OR('TRANSPORT DASHBOARD'!$C$4="",ISNUMBER(SEARCH('TRANSPORT DASHBOARD'!$C$4,INDEX(MASTER_AREAS!$B:$B,515)))),514,""),""),IF('TRANSPORT DASHBOARD'!$B$4="Zone",IF(514&lt;=$I$4,IF(OR('TRANSPORT DASHBOARD'!$C$4="",ISNUMBER(SEARCH('TRANSPORT DASHBOARD'!$C$4,INDEX(MASTER_ZONES!$B:$B,515)))),514,""),""),""))</f>
        <v/>
      </c>
    </row>
    <row r="516">
      <c r="A516">
        <f>IF('WSF DASHBOARD'!$B$4="Area",IF(515&lt;=$D$3,IF(OR('WSF DASHBOARD'!$C$4="",ISNUMBER(SEARCH('WSF DASHBOARD'!$C$4,INDEX(MASTER_AREAS!$B:$B,516)))),515,""),""),IF('WSF DASHBOARD'!$B$4="Zone",IF(515&lt;=$D$4,IF(OR('WSF DASHBOARD'!$C$4="",ISNUMBER(SEARCH('WSF DASHBOARD'!$C$4,INDEX(MASTER_ZONES!$B:$B,516)))),515,""),""),""))</f>
        <v/>
      </c>
      <c r="F516">
        <f>IF('TRANSPORT DASHBOARD'!$B$4="Area",IF(515&lt;=$I$3,IF(OR('TRANSPORT DASHBOARD'!$C$4="",ISNUMBER(SEARCH('TRANSPORT DASHBOARD'!$C$4,INDEX(MASTER_AREAS!$B:$B,516)))),515,""),""),IF('TRANSPORT DASHBOARD'!$B$4="Zone",IF(515&lt;=$I$4,IF(OR('TRANSPORT DASHBOARD'!$C$4="",ISNUMBER(SEARCH('TRANSPORT DASHBOARD'!$C$4,INDEX(MASTER_ZONES!$B:$B,516)))),515,""),""),""))</f>
        <v/>
      </c>
    </row>
    <row r="517">
      <c r="A517">
        <f>IF('WSF DASHBOARD'!$B$4="Area",IF(516&lt;=$D$3,IF(OR('WSF DASHBOARD'!$C$4="",ISNUMBER(SEARCH('WSF DASHBOARD'!$C$4,INDEX(MASTER_AREAS!$B:$B,517)))),516,""),""),IF('WSF DASHBOARD'!$B$4="Zone",IF(516&lt;=$D$4,IF(OR('WSF DASHBOARD'!$C$4="",ISNUMBER(SEARCH('WSF DASHBOARD'!$C$4,INDEX(MASTER_ZONES!$B:$B,517)))),516,""),""),""))</f>
        <v/>
      </c>
      <c r="F517">
        <f>IF('TRANSPORT DASHBOARD'!$B$4="Area",IF(516&lt;=$I$3,IF(OR('TRANSPORT DASHBOARD'!$C$4="",ISNUMBER(SEARCH('TRANSPORT DASHBOARD'!$C$4,INDEX(MASTER_AREAS!$B:$B,517)))),516,""),""),IF('TRANSPORT DASHBOARD'!$B$4="Zone",IF(516&lt;=$I$4,IF(OR('TRANSPORT DASHBOARD'!$C$4="",ISNUMBER(SEARCH('TRANSPORT DASHBOARD'!$C$4,INDEX(MASTER_ZONES!$B:$B,517)))),516,""),""),""))</f>
        <v/>
      </c>
    </row>
    <row r="518">
      <c r="A518">
        <f>IF('WSF DASHBOARD'!$B$4="Area",IF(517&lt;=$D$3,IF(OR('WSF DASHBOARD'!$C$4="",ISNUMBER(SEARCH('WSF DASHBOARD'!$C$4,INDEX(MASTER_AREAS!$B:$B,518)))),517,""),""),IF('WSF DASHBOARD'!$B$4="Zone",IF(517&lt;=$D$4,IF(OR('WSF DASHBOARD'!$C$4="",ISNUMBER(SEARCH('WSF DASHBOARD'!$C$4,INDEX(MASTER_ZONES!$B:$B,518)))),517,""),""),""))</f>
        <v/>
      </c>
      <c r="F518">
        <f>IF('TRANSPORT DASHBOARD'!$B$4="Area",IF(517&lt;=$I$3,IF(OR('TRANSPORT DASHBOARD'!$C$4="",ISNUMBER(SEARCH('TRANSPORT DASHBOARD'!$C$4,INDEX(MASTER_AREAS!$B:$B,518)))),517,""),""),IF('TRANSPORT DASHBOARD'!$B$4="Zone",IF(517&lt;=$I$4,IF(OR('TRANSPORT DASHBOARD'!$C$4="",ISNUMBER(SEARCH('TRANSPORT DASHBOARD'!$C$4,INDEX(MASTER_ZONES!$B:$B,518)))),517,""),""),""))</f>
        <v/>
      </c>
    </row>
    <row r="519">
      <c r="A519">
        <f>IF('WSF DASHBOARD'!$B$4="Area",IF(518&lt;=$D$3,IF(OR('WSF DASHBOARD'!$C$4="",ISNUMBER(SEARCH('WSF DASHBOARD'!$C$4,INDEX(MASTER_AREAS!$B:$B,519)))),518,""),""),IF('WSF DASHBOARD'!$B$4="Zone",IF(518&lt;=$D$4,IF(OR('WSF DASHBOARD'!$C$4="",ISNUMBER(SEARCH('WSF DASHBOARD'!$C$4,INDEX(MASTER_ZONES!$B:$B,519)))),518,""),""),""))</f>
        <v/>
      </c>
      <c r="F519">
        <f>IF('TRANSPORT DASHBOARD'!$B$4="Area",IF(518&lt;=$I$3,IF(OR('TRANSPORT DASHBOARD'!$C$4="",ISNUMBER(SEARCH('TRANSPORT DASHBOARD'!$C$4,INDEX(MASTER_AREAS!$B:$B,519)))),518,""),""),IF('TRANSPORT DASHBOARD'!$B$4="Zone",IF(518&lt;=$I$4,IF(OR('TRANSPORT DASHBOARD'!$C$4="",ISNUMBER(SEARCH('TRANSPORT DASHBOARD'!$C$4,INDEX(MASTER_ZONES!$B:$B,519)))),518,""),""),""))</f>
        <v/>
      </c>
    </row>
    <row r="520">
      <c r="A520">
        <f>IF('WSF DASHBOARD'!$B$4="Area",IF(519&lt;=$D$3,IF(OR('WSF DASHBOARD'!$C$4="",ISNUMBER(SEARCH('WSF DASHBOARD'!$C$4,INDEX(MASTER_AREAS!$B:$B,520)))),519,""),""),IF('WSF DASHBOARD'!$B$4="Zone",IF(519&lt;=$D$4,IF(OR('WSF DASHBOARD'!$C$4="",ISNUMBER(SEARCH('WSF DASHBOARD'!$C$4,INDEX(MASTER_ZONES!$B:$B,520)))),519,""),""),""))</f>
        <v/>
      </c>
      <c r="F520">
        <f>IF('TRANSPORT DASHBOARD'!$B$4="Area",IF(519&lt;=$I$3,IF(OR('TRANSPORT DASHBOARD'!$C$4="",ISNUMBER(SEARCH('TRANSPORT DASHBOARD'!$C$4,INDEX(MASTER_AREAS!$B:$B,520)))),519,""),""),IF('TRANSPORT DASHBOARD'!$B$4="Zone",IF(519&lt;=$I$4,IF(OR('TRANSPORT DASHBOARD'!$C$4="",ISNUMBER(SEARCH('TRANSPORT DASHBOARD'!$C$4,INDEX(MASTER_ZONES!$B:$B,520)))),519,""),""),""))</f>
        <v/>
      </c>
    </row>
    <row r="521">
      <c r="A521">
        <f>IF('WSF DASHBOARD'!$B$4="Area",IF(520&lt;=$D$3,IF(OR('WSF DASHBOARD'!$C$4="",ISNUMBER(SEARCH('WSF DASHBOARD'!$C$4,INDEX(MASTER_AREAS!$B:$B,521)))),520,""),""),IF('WSF DASHBOARD'!$B$4="Zone",IF(520&lt;=$D$4,IF(OR('WSF DASHBOARD'!$C$4="",ISNUMBER(SEARCH('WSF DASHBOARD'!$C$4,INDEX(MASTER_ZONES!$B:$B,521)))),520,""),""),""))</f>
        <v/>
      </c>
      <c r="F521">
        <f>IF('TRANSPORT DASHBOARD'!$B$4="Area",IF(520&lt;=$I$3,IF(OR('TRANSPORT DASHBOARD'!$C$4="",ISNUMBER(SEARCH('TRANSPORT DASHBOARD'!$C$4,INDEX(MASTER_AREAS!$B:$B,521)))),520,""),""),IF('TRANSPORT DASHBOARD'!$B$4="Zone",IF(520&lt;=$I$4,IF(OR('TRANSPORT DASHBOARD'!$C$4="",ISNUMBER(SEARCH('TRANSPORT DASHBOARD'!$C$4,INDEX(MASTER_ZONES!$B:$B,521)))),520,""),""),""))</f>
        <v/>
      </c>
    </row>
    <row r="522">
      <c r="A522">
        <f>IF('WSF DASHBOARD'!$B$4="Area",IF(521&lt;=$D$3,IF(OR('WSF DASHBOARD'!$C$4="",ISNUMBER(SEARCH('WSF DASHBOARD'!$C$4,INDEX(MASTER_AREAS!$B:$B,522)))),521,""),""),IF('WSF DASHBOARD'!$B$4="Zone",IF(521&lt;=$D$4,IF(OR('WSF DASHBOARD'!$C$4="",ISNUMBER(SEARCH('WSF DASHBOARD'!$C$4,INDEX(MASTER_ZONES!$B:$B,522)))),521,""),""),""))</f>
        <v/>
      </c>
      <c r="F522">
        <f>IF('TRANSPORT DASHBOARD'!$B$4="Area",IF(521&lt;=$I$3,IF(OR('TRANSPORT DASHBOARD'!$C$4="",ISNUMBER(SEARCH('TRANSPORT DASHBOARD'!$C$4,INDEX(MASTER_AREAS!$B:$B,522)))),521,""),""),IF('TRANSPORT DASHBOARD'!$B$4="Zone",IF(521&lt;=$I$4,IF(OR('TRANSPORT DASHBOARD'!$C$4="",ISNUMBER(SEARCH('TRANSPORT DASHBOARD'!$C$4,INDEX(MASTER_ZONES!$B:$B,522)))),521,""),""),""))</f>
        <v/>
      </c>
    </row>
    <row r="523">
      <c r="A523">
        <f>IF('WSF DASHBOARD'!$B$4="Area",IF(522&lt;=$D$3,IF(OR('WSF DASHBOARD'!$C$4="",ISNUMBER(SEARCH('WSF DASHBOARD'!$C$4,INDEX(MASTER_AREAS!$B:$B,523)))),522,""),""),IF('WSF DASHBOARD'!$B$4="Zone",IF(522&lt;=$D$4,IF(OR('WSF DASHBOARD'!$C$4="",ISNUMBER(SEARCH('WSF DASHBOARD'!$C$4,INDEX(MASTER_ZONES!$B:$B,523)))),522,""),""),""))</f>
        <v/>
      </c>
      <c r="F523">
        <f>IF('TRANSPORT DASHBOARD'!$B$4="Area",IF(522&lt;=$I$3,IF(OR('TRANSPORT DASHBOARD'!$C$4="",ISNUMBER(SEARCH('TRANSPORT DASHBOARD'!$C$4,INDEX(MASTER_AREAS!$B:$B,523)))),522,""),""),IF('TRANSPORT DASHBOARD'!$B$4="Zone",IF(522&lt;=$I$4,IF(OR('TRANSPORT DASHBOARD'!$C$4="",ISNUMBER(SEARCH('TRANSPORT DASHBOARD'!$C$4,INDEX(MASTER_ZONES!$B:$B,523)))),522,""),""),""))</f>
        <v/>
      </c>
    </row>
    <row r="524">
      <c r="A524">
        <f>IF('WSF DASHBOARD'!$B$4="Area",IF(523&lt;=$D$3,IF(OR('WSF DASHBOARD'!$C$4="",ISNUMBER(SEARCH('WSF DASHBOARD'!$C$4,INDEX(MASTER_AREAS!$B:$B,524)))),523,""),""),IF('WSF DASHBOARD'!$B$4="Zone",IF(523&lt;=$D$4,IF(OR('WSF DASHBOARD'!$C$4="",ISNUMBER(SEARCH('WSF DASHBOARD'!$C$4,INDEX(MASTER_ZONES!$B:$B,524)))),523,""),""),""))</f>
        <v/>
      </c>
      <c r="F524">
        <f>IF('TRANSPORT DASHBOARD'!$B$4="Area",IF(523&lt;=$I$3,IF(OR('TRANSPORT DASHBOARD'!$C$4="",ISNUMBER(SEARCH('TRANSPORT DASHBOARD'!$C$4,INDEX(MASTER_AREAS!$B:$B,524)))),523,""),""),IF('TRANSPORT DASHBOARD'!$B$4="Zone",IF(523&lt;=$I$4,IF(OR('TRANSPORT DASHBOARD'!$C$4="",ISNUMBER(SEARCH('TRANSPORT DASHBOARD'!$C$4,INDEX(MASTER_ZONES!$B:$B,524)))),523,""),""),""))</f>
        <v/>
      </c>
    </row>
    <row r="525">
      <c r="A525">
        <f>IF('WSF DASHBOARD'!$B$4="Area",IF(524&lt;=$D$3,IF(OR('WSF DASHBOARD'!$C$4="",ISNUMBER(SEARCH('WSF DASHBOARD'!$C$4,INDEX(MASTER_AREAS!$B:$B,525)))),524,""),""),IF('WSF DASHBOARD'!$B$4="Zone",IF(524&lt;=$D$4,IF(OR('WSF DASHBOARD'!$C$4="",ISNUMBER(SEARCH('WSF DASHBOARD'!$C$4,INDEX(MASTER_ZONES!$B:$B,525)))),524,""),""),""))</f>
        <v/>
      </c>
      <c r="F525">
        <f>IF('TRANSPORT DASHBOARD'!$B$4="Area",IF(524&lt;=$I$3,IF(OR('TRANSPORT DASHBOARD'!$C$4="",ISNUMBER(SEARCH('TRANSPORT DASHBOARD'!$C$4,INDEX(MASTER_AREAS!$B:$B,525)))),524,""),""),IF('TRANSPORT DASHBOARD'!$B$4="Zone",IF(524&lt;=$I$4,IF(OR('TRANSPORT DASHBOARD'!$C$4="",ISNUMBER(SEARCH('TRANSPORT DASHBOARD'!$C$4,INDEX(MASTER_ZONES!$B:$B,525)))),524,""),""),""))</f>
        <v/>
      </c>
    </row>
    <row r="526">
      <c r="A526">
        <f>IF('WSF DASHBOARD'!$B$4="Area",IF(525&lt;=$D$3,IF(OR('WSF DASHBOARD'!$C$4="",ISNUMBER(SEARCH('WSF DASHBOARD'!$C$4,INDEX(MASTER_AREAS!$B:$B,526)))),525,""),""),IF('WSF DASHBOARD'!$B$4="Zone",IF(525&lt;=$D$4,IF(OR('WSF DASHBOARD'!$C$4="",ISNUMBER(SEARCH('WSF DASHBOARD'!$C$4,INDEX(MASTER_ZONES!$B:$B,526)))),525,""),""),""))</f>
        <v/>
      </c>
      <c r="F526">
        <f>IF('TRANSPORT DASHBOARD'!$B$4="Area",IF(525&lt;=$I$3,IF(OR('TRANSPORT DASHBOARD'!$C$4="",ISNUMBER(SEARCH('TRANSPORT DASHBOARD'!$C$4,INDEX(MASTER_AREAS!$B:$B,526)))),525,""),""),IF('TRANSPORT DASHBOARD'!$B$4="Zone",IF(525&lt;=$I$4,IF(OR('TRANSPORT DASHBOARD'!$C$4="",ISNUMBER(SEARCH('TRANSPORT DASHBOARD'!$C$4,INDEX(MASTER_ZONES!$B:$B,526)))),525,""),""),""))</f>
        <v/>
      </c>
    </row>
    <row r="527">
      <c r="A527">
        <f>IF('WSF DASHBOARD'!$B$4="Area",IF(526&lt;=$D$3,IF(OR('WSF DASHBOARD'!$C$4="",ISNUMBER(SEARCH('WSF DASHBOARD'!$C$4,INDEX(MASTER_AREAS!$B:$B,527)))),526,""),""),IF('WSF DASHBOARD'!$B$4="Zone",IF(526&lt;=$D$4,IF(OR('WSF DASHBOARD'!$C$4="",ISNUMBER(SEARCH('WSF DASHBOARD'!$C$4,INDEX(MASTER_ZONES!$B:$B,527)))),526,""),""),""))</f>
        <v/>
      </c>
      <c r="F527">
        <f>IF('TRANSPORT DASHBOARD'!$B$4="Area",IF(526&lt;=$I$3,IF(OR('TRANSPORT DASHBOARD'!$C$4="",ISNUMBER(SEARCH('TRANSPORT DASHBOARD'!$C$4,INDEX(MASTER_AREAS!$B:$B,527)))),526,""),""),IF('TRANSPORT DASHBOARD'!$B$4="Zone",IF(526&lt;=$I$4,IF(OR('TRANSPORT DASHBOARD'!$C$4="",ISNUMBER(SEARCH('TRANSPORT DASHBOARD'!$C$4,INDEX(MASTER_ZONES!$B:$B,527)))),526,""),""),""))</f>
        <v/>
      </c>
    </row>
    <row r="528">
      <c r="A528">
        <f>IF('WSF DASHBOARD'!$B$4="Area",IF(527&lt;=$D$3,IF(OR('WSF DASHBOARD'!$C$4="",ISNUMBER(SEARCH('WSF DASHBOARD'!$C$4,INDEX(MASTER_AREAS!$B:$B,528)))),527,""),""),IF('WSF DASHBOARD'!$B$4="Zone",IF(527&lt;=$D$4,IF(OR('WSF DASHBOARD'!$C$4="",ISNUMBER(SEARCH('WSF DASHBOARD'!$C$4,INDEX(MASTER_ZONES!$B:$B,528)))),527,""),""),""))</f>
        <v/>
      </c>
      <c r="F528">
        <f>IF('TRANSPORT DASHBOARD'!$B$4="Area",IF(527&lt;=$I$3,IF(OR('TRANSPORT DASHBOARD'!$C$4="",ISNUMBER(SEARCH('TRANSPORT DASHBOARD'!$C$4,INDEX(MASTER_AREAS!$B:$B,528)))),527,""),""),IF('TRANSPORT DASHBOARD'!$B$4="Zone",IF(527&lt;=$I$4,IF(OR('TRANSPORT DASHBOARD'!$C$4="",ISNUMBER(SEARCH('TRANSPORT DASHBOARD'!$C$4,INDEX(MASTER_ZONES!$B:$B,528)))),527,""),""),""))</f>
        <v/>
      </c>
    </row>
    <row r="529">
      <c r="A529">
        <f>IF('WSF DASHBOARD'!$B$4="Area",IF(528&lt;=$D$3,IF(OR('WSF DASHBOARD'!$C$4="",ISNUMBER(SEARCH('WSF DASHBOARD'!$C$4,INDEX(MASTER_AREAS!$B:$B,529)))),528,""),""),IF('WSF DASHBOARD'!$B$4="Zone",IF(528&lt;=$D$4,IF(OR('WSF DASHBOARD'!$C$4="",ISNUMBER(SEARCH('WSF DASHBOARD'!$C$4,INDEX(MASTER_ZONES!$B:$B,529)))),528,""),""),""))</f>
        <v/>
      </c>
      <c r="F529">
        <f>IF('TRANSPORT DASHBOARD'!$B$4="Area",IF(528&lt;=$I$3,IF(OR('TRANSPORT DASHBOARD'!$C$4="",ISNUMBER(SEARCH('TRANSPORT DASHBOARD'!$C$4,INDEX(MASTER_AREAS!$B:$B,529)))),528,""),""),IF('TRANSPORT DASHBOARD'!$B$4="Zone",IF(528&lt;=$I$4,IF(OR('TRANSPORT DASHBOARD'!$C$4="",ISNUMBER(SEARCH('TRANSPORT DASHBOARD'!$C$4,INDEX(MASTER_ZONES!$B:$B,529)))),528,""),""),""))</f>
        <v/>
      </c>
    </row>
    <row r="530">
      <c r="A530">
        <f>IF('WSF DASHBOARD'!$B$4="Area",IF(529&lt;=$D$3,IF(OR('WSF DASHBOARD'!$C$4="",ISNUMBER(SEARCH('WSF DASHBOARD'!$C$4,INDEX(MASTER_AREAS!$B:$B,530)))),529,""),""),IF('WSF DASHBOARD'!$B$4="Zone",IF(529&lt;=$D$4,IF(OR('WSF DASHBOARD'!$C$4="",ISNUMBER(SEARCH('WSF DASHBOARD'!$C$4,INDEX(MASTER_ZONES!$B:$B,530)))),529,""),""),""))</f>
        <v/>
      </c>
      <c r="F530">
        <f>IF('TRANSPORT DASHBOARD'!$B$4="Area",IF(529&lt;=$I$3,IF(OR('TRANSPORT DASHBOARD'!$C$4="",ISNUMBER(SEARCH('TRANSPORT DASHBOARD'!$C$4,INDEX(MASTER_AREAS!$B:$B,530)))),529,""),""),IF('TRANSPORT DASHBOARD'!$B$4="Zone",IF(529&lt;=$I$4,IF(OR('TRANSPORT DASHBOARD'!$C$4="",ISNUMBER(SEARCH('TRANSPORT DASHBOARD'!$C$4,INDEX(MASTER_ZONES!$B:$B,530)))),529,""),""),""))</f>
        <v/>
      </c>
    </row>
    <row r="531">
      <c r="A531">
        <f>IF('WSF DASHBOARD'!$B$4="Area",IF(530&lt;=$D$3,IF(OR('WSF DASHBOARD'!$C$4="",ISNUMBER(SEARCH('WSF DASHBOARD'!$C$4,INDEX(MASTER_AREAS!$B:$B,531)))),530,""),""),IF('WSF DASHBOARD'!$B$4="Zone",IF(530&lt;=$D$4,IF(OR('WSF DASHBOARD'!$C$4="",ISNUMBER(SEARCH('WSF DASHBOARD'!$C$4,INDEX(MASTER_ZONES!$B:$B,531)))),530,""),""),""))</f>
        <v/>
      </c>
      <c r="F531">
        <f>IF('TRANSPORT DASHBOARD'!$B$4="Area",IF(530&lt;=$I$3,IF(OR('TRANSPORT DASHBOARD'!$C$4="",ISNUMBER(SEARCH('TRANSPORT DASHBOARD'!$C$4,INDEX(MASTER_AREAS!$B:$B,531)))),530,""),""),IF('TRANSPORT DASHBOARD'!$B$4="Zone",IF(530&lt;=$I$4,IF(OR('TRANSPORT DASHBOARD'!$C$4="",ISNUMBER(SEARCH('TRANSPORT DASHBOARD'!$C$4,INDEX(MASTER_ZONES!$B:$B,531)))),530,""),""),""))</f>
        <v/>
      </c>
    </row>
    <row r="532">
      <c r="A532">
        <f>IF('WSF DASHBOARD'!$B$4="Area",IF(531&lt;=$D$3,IF(OR('WSF DASHBOARD'!$C$4="",ISNUMBER(SEARCH('WSF DASHBOARD'!$C$4,INDEX(MASTER_AREAS!$B:$B,532)))),531,""),""),IF('WSF DASHBOARD'!$B$4="Zone",IF(531&lt;=$D$4,IF(OR('WSF DASHBOARD'!$C$4="",ISNUMBER(SEARCH('WSF DASHBOARD'!$C$4,INDEX(MASTER_ZONES!$B:$B,532)))),531,""),""),""))</f>
        <v/>
      </c>
      <c r="F532">
        <f>IF('TRANSPORT DASHBOARD'!$B$4="Area",IF(531&lt;=$I$3,IF(OR('TRANSPORT DASHBOARD'!$C$4="",ISNUMBER(SEARCH('TRANSPORT DASHBOARD'!$C$4,INDEX(MASTER_AREAS!$B:$B,532)))),531,""),""),IF('TRANSPORT DASHBOARD'!$B$4="Zone",IF(531&lt;=$I$4,IF(OR('TRANSPORT DASHBOARD'!$C$4="",ISNUMBER(SEARCH('TRANSPORT DASHBOARD'!$C$4,INDEX(MASTER_ZONES!$B:$B,532)))),531,""),""),""))</f>
        <v/>
      </c>
    </row>
    <row r="533">
      <c r="A533">
        <f>IF('WSF DASHBOARD'!$B$4="Area",IF(532&lt;=$D$3,IF(OR('WSF DASHBOARD'!$C$4="",ISNUMBER(SEARCH('WSF DASHBOARD'!$C$4,INDEX(MASTER_AREAS!$B:$B,533)))),532,""),""),IF('WSF DASHBOARD'!$B$4="Zone",IF(532&lt;=$D$4,IF(OR('WSF DASHBOARD'!$C$4="",ISNUMBER(SEARCH('WSF DASHBOARD'!$C$4,INDEX(MASTER_ZONES!$B:$B,533)))),532,""),""),""))</f>
        <v/>
      </c>
      <c r="F533">
        <f>IF('TRANSPORT DASHBOARD'!$B$4="Area",IF(532&lt;=$I$3,IF(OR('TRANSPORT DASHBOARD'!$C$4="",ISNUMBER(SEARCH('TRANSPORT DASHBOARD'!$C$4,INDEX(MASTER_AREAS!$B:$B,533)))),532,""),""),IF('TRANSPORT DASHBOARD'!$B$4="Zone",IF(532&lt;=$I$4,IF(OR('TRANSPORT DASHBOARD'!$C$4="",ISNUMBER(SEARCH('TRANSPORT DASHBOARD'!$C$4,INDEX(MASTER_ZONES!$B:$B,533)))),532,""),""),""))</f>
        <v/>
      </c>
    </row>
    <row r="534">
      <c r="A534">
        <f>IF('WSF DASHBOARD'!$B$4="Area",IF(533&lt;=$D$3,IF(OR('WSF DASHBOARD'!$C$4="",ISNUMBER(SEARCH('WSF DASHBOARD'!$C$4,INDEX(MASTER_AREAS!$B:$B,534)))),533,""),""),IF('WSF DASHBOARD'!$B$4="Zone",IF(533&lt;=$D$4,IF(OR('WSF DASHBOARD'!$C$4="",ISNUMBER(SEARCH('WSF DASHBOARD'!$C$4,INDEX(MASTER_ZONES!$B:$B,534)))),533,""),""),""))</f>
        <v/>
      </c>
      <c r="F534">
        <f>IF('TRANSPORT DASHBOARD'!$B$4="Area",IF(533&lt;=$I$3,IF(OR('TRANSPORT DASHBOARD'!$C$4="",ISNUMBER(SEARCH('TRANSPORT DASHBOARD'!$C$4,INDEX(MASTER_AREAS!$B:$B,534)))),533,""),""),IF('TRANSPORT DASHBOARD'!$B$4="Zone",IF(533&lt;=$I$4,IF(OR('TRANSPORT DASHBOARD'!$C$4="",ISNUMBER(SEARCH('TRANSPORT DASHBOARD'!$C$4,INDEX(MASTER_ZONES!$B:$B,534)))),533,""),""),""))</f>
        <v/>
      </c>
    </row>
    <row r="535">
      <c r="A535">
        <f>IF('WSF DASHBOARD'!$B$4="Area",IF(534&lt;=$D$3,IF(OR('WSF DASHBOARD'!$C$4="",ISNUMBER(SEARCH('WSF DASHBOARD'!$C$4,INDEX(MASTER_AREAS!$B:$B,535)))),534,""),""),IF('WSF DASHBOARD'!$B$4="Zone",IF(534&lt;=$D$4,IF(OR('WSF DASHBOARD'!$C$4="",ISNUMBER(SEARCH('WSF DASHBOARD'!$C$4,INDEX(MASTER_ZONES!$B:$B,535)))),534,""),""),""))</f>
        <v/>
      </c>
      <c r="F535">
        <f>IF('TRANSPORT DASHBOARD'!$B$4="Area",IF(534&lt;=$I$3,IF(OR('TRANSPORT DASHBOARD'!$C$4="",ISNUMBER(SEARCH('TRANSPORT DASHBOARD'!$C$4,INDEX(MASTER_AREAS!$B:$B,535)))),534,""),""),IF('TRANSPORT DASHBOARD'!$B$4="Zone",IF(534&lt;=$I$4,IF(OR('TRANSPORT DASHBOARD'!$C$4="",ISNUMBER(SEARCH('TRANSPORT DASHBOARD'!$C$4,INDEX(MASTER_ZONES!$B:$B,535)))),534,""),""),""))</f>
        <v/>
      </c>
    </row>
    <row r="536">
      <c r="A536">
        <f>IF('WSF DASHBOARD'!$B$4="Area",IF(535&lt;=$D$3,IF(OR('WSF DASHBOARD'!$C$4="",ISNUMBER(SEARCH('WSF DASHBOARD'!$C$4,INDEX(MASTER_AREAS!$B:$B,536)))),535,""),""),IF('WSF DASHBOARD'!$B$4="Zone",IF(535&lt;=$D$4,IF(OR('WSF DASHBOARD'!$C$4="",ISNUMBER(SEARCH('WSF DASHBOARD'!$C$4,INDEX(MASTER_ZONES!$B:$B,536)))),535,""),""),""))</f>
        <v/>
      </c>
      <c r="F536">
        <f>IF('TRANSPORT DASHBOARD'!$B$4="Area",IF(535&lt;=$I$3,IF(OR('TRANSPORT DASHBOARD'!$C$4="",ISNUMBER(SEARCH('TRANSPORT DASHBOARD'!$C$4,INDEX(MASTER_AREAS!$B:$B,536)))),535,""),""),IF('TRANSPORT DASHBOARD'!$B$4="Zone",IF(535&lt;=$I$4,IF(OR('TRANSPORT DASHBOARD'!$C$4="",ISNUMBER(SEARCH('TRANSPORT DASHBOARD'!$C$4,INDEX(MASTER_ZONES!$B:$B,536)))),535,""),""),""))</f>
        <v/>
      </c>
    </row>
    <row r="537">
      <c r="A537">
        <f>IF('WSF DASHBOARD'!$B$4="Area",IF(536&lt;=$D$3,IF(OR('WSF DASHBOARD'!$C$4="",ISNUMBER(SEARCH('WSF DASHBOARD'!$C$4,INDEX(MASTER_AREAS!$B:$B,537)))),536,""),""),IF('WSF DASHBOARD'!$B$4="Zone",IF(536&lt;=$D$4,IF(OR('WSF DASHBOARD'!$C$4="",ISNUMBER(SEARCH('WSF DASHBOARD'!$C$4,INDEX(MASTER_ZONES!$B:$B,537)))),536,""),""),""))</f>
        <v/>
      </c>
      <c r="F537">
        <f>IF('TRANSPORT DASHBOARD'!$B$4="Area",IF(536&lt;=$I$3,IF(OR('TRANSPORT DASHBOARD'!$C$4="",ISNUMBER(SEARCH('TRANSPORT DASHBOARD'!$C$4,INDEX(MASTER_AREAS!$B:$B,537)))),536,""),""),IF('TRANSPORT DASHBOARD'!$B$4="Zone",IF(536&lt;=$I$4,IF(OR('TRANSPORT DASHBOARD'!$C$4="",ISNUMBER(SEARCH('TRANSPORT DASHBOARD'!$C$4,INDEX(MASTER_ZONES!$B:$B,537)))),536,""),""),""))</f>
        <v/>
      </c>
    </row>
    <row r="538">
      <c r="A538">
        <f>IF('WSF DASHBOARD'!$B$4="Area",IF(537&lt;=$D$3,IF(OR('WSF DASHBOARD'!$C$4="",ISNUMBER(SEARCH('WSF DASHBOARD'!$C$4,INDEX(MASTER_AREAS!$B:$B,538)))),537,""),""),IF('WSF DASHBOARD'!$B$4="Zone",IF(537&lt;=$D$4,IF(OR('WSF DASHBOARD'!$C$4="",ISNUMBER(SEARCH('WSF DASHBOARD'!$C$4,INDEX(MASTER_ZONES!$B:$B,538)))),537,""),""),""))</f>
        <v/>
      </c>
      <c r="F538">
        <f>IF('TRANSPORT DASHBOARD'!$B$4="Area",IF(537&lt;=$I$3,IF(OR('TRANSPORT DASHBOARD'!$C$4="",ISNUMBER(SEARCH('TRANSPORT DASHBOARD'!$C$4,INDEX(MASTER_AREAS!$B:$B,538)))),537,""),""),IF('TRANSPORT DASHBOARD'!$B$4="Zone",IF(537&lt;=$I$4,IF(OR('TRANSPORT DASHBOARD'!$C$4="",ISNUMBER(SEARCH('TRANSPORT DASHBOARD'!$C$4,INDEX(MASTER_ZONES!$B:$B,538)))),537,""),""),""))</f>
        <v/>
      </c>
    </row>
    <row r="539">
      <c r="A539">
        <f>IF('WSF DASHBOARD'!$B$4="Area",IF(538&lt;=$D$3,IF(OR('WSF DASHBOARD'!$C$4="",ISNUMBER(SEARCH('WSF DASHBOARD'!$C$4,INDEX(MASTER_AREAS!$B:$B,539)))),538,""),""),IF('WSF DASHBOARD'!$B$4="Zone",IF(538&lt;=$D$4,IF(OR('WSF DASHBOARD'!$C$4="",ISNUMBER(SEARCH('WSF DASHBOARD'!$C$4,INDEX(MASTER_ZONES!$B:$B,539)))),538,""),""),""))</f>
        <v/>
      </c>
      <c r="F539">
        <f>IF('TRANSPORT DASHBOARD'!$B$4="Area",IF(538&lt;=$I$3,IF(OR('TRANSPORT DASHBOARD'!$C$4="",ISNUMBER(SEARCH('TRANSPORT DASHBOARD'!$C$4,INDEX(MASTER_AREAS!$B:$B,539)))),538,""),""),IF('TRANSPORT DASHBOARD'!$B$4="Zone",IF(538&lt;=$I$4,IF(OR('TRANSPORT DASHBOARD'!$C$4="",ISNUMBER(SEARCH('TRANSPORT DASHBOARD'!$C$4,INDEX(MASTER_ZONES!$B:$B,539)))),538,""),""),""))</f>
        <v/>
      </c>
    </row>
    <row r="540">
      <c r="A540">
        <f>IF('WSF DASHBOARD'!$B$4="Area",IF(539&lt;=$D$3,IF(OR('WSF DASHBOARD'!$C$4="",ISNUMBER(SEARCH('WSF DASHBOARD'!$C$4,INDEX(MASTER_AREAS!$B:$B,540)))),539,""),""),IF('WSF DASHBOARD'!$B$4="Zone",IF(539&lt;=$D$4,IF(OR('WSF DASHBOARD'!$C$4="",ISNUMBER(SEARCH('WSF DASHBOARD'!$C$4,INDEX(MASTER_ZONES!$B:$B,540)))),539,""),""),""))</f>
        <v/>
      </c>
      <c r="F540">
        <f>IF('TRANSPORT DASHBOARD'!$B$4="Area",IF(539&lt;=$I$3,IF(OR('TRANSPORT DASHBOARD'!$C$4="",ISNUMBER(SEARCH('TRANSPORT DASHBOARD'!$C$4,INDEX(MASTER_AREAS!$B:$B,540)))),539,""),""),IF('TRANSPORT DASHBOARD'!$B$4="Zone",IF(539&lt;=$I$4,IF(OR('TRANSPORT DASHBOARD'!$C$4="",ISNUMBER(SEARCH('TRANSPORT DASHBOARD'!$C$4,INDEX(MASTER_ZONES!$B:$B,540)))),539,""),""),""))</f>
        <v/>
      </c>
    </row>
    <row r="541">
      <c r="A541">
        <f>IF('WSF DASHBOARD'!$B$4="Area",IF(540&lt;=$D$3,IF(OR('WSF DASHBOARD'!$C$4="",ISNUMBER(SEARCH('WSF DASHBOARD'!$C$4,INDEX(MASTER_AREAS!$B:$B,541)))),540,""),""),IF('WSF DASHBOARD'!$B$4="Zone",IF(540&lt;=$D$4,IF(OR('WSF DASHBOARD'!$C$4="",ISNUMBER(SEARCH('WSF DASHBOARD'!$C$4,INDEX(MASTER_ZONES!$B:$B,541)))),540,""),""),""))</f>
        <v/>
      </c>
      <c r="F541">
        <f>IF('TRANSPORT DASHBOARD'!$B$4="Area",IF(540&lt;=$I$3,IF(OR('TRANSPORT DASHBOARD'!$C$4="",ISNUMBER(SEARCH('TRANSPORT DASHBOARD'!$C$4,INDEX(MASTER_AREAS!$B:$B,541)))),540,""),""),IF('TRANSPORT DASHBOARD'!$B$4="Zone",IF(540&lt;=$I$4,IF(OR('TRANSPORT DASHBOARD'!$C$4="",ISNUMBER(SEARCH('TRANSPORT DASHBOARD'!$C$4,INDEX(MASTER_ZONES!$B:$B,541)))),540,""),""),""))</f>
        <v/>
      </c>
    </row>
    <row r="542">
      <c r="A542">
        <f>IF('WSF DASHBOARD'!$B$4="Area",IF(541&lt;=$D$3,IF(OR('WSF DASHBOARD'!$C$4="",ISNUMBER(SEARCH('WSF DASHBOARD'!$C$4,INDEX(MASTER_AREAS!$B:$B,542)))),541,""),""),IF('WSF DASHBOARD'!$B$4="Zone",IF(541&lt;=$D$4,IF(OR('WSF DASHBOARD'!$C$4="",ISNUMBER(SEARCH('WSF DASHBOARD'!$C$4,INDEX(MASTER_ZONES!$B:$B,542)))),541,""),""),""))</f>
        <v/>
      </c>
      <c r="F542">
        <f>IF('TRANSPORT DASHBOARD'!$B$4="Area",IF(541&lt;=$I$3,IF(OR('TRANSPORT DASHBOARD'!$C$4="",ISNUMBER(SEARCH('TRANSPORT DASHBOARD'!$C$4,INDEX(MASTER_AREAS!$B:$B,542)))),541,""),""),IF('TRANSPORT DASHBOARD'!$B$4="Zone",IF(541&lt;=$I$4,IF(OR('TRANSPORT DASHBOARD'!$C$4="",ISNUMBER(SEARCH('TRANSPORT DASHBOARD'!$C$4,INDEX(MASTER_ZONES!$B:$B,542)))),541,""),""),""))</f>
        <v/>
      </c>
    </row>
    <row r="543">
      <c r="A543">
        <f>IF('WSF DASHBOARD'!$B$4="Area",IF(542&lt;=$D$3,IF(OR('WSF DASHBOARD'!$C$4="",ISNUMBER(SEARCH('WSF DASHBOARD'!$C$4,INDEX(MASTER_AREAS!$B:$B,543)))),542,""),""),IF('WSF DASHBOARD'!$B$4="Zone",IF(542&lt;=$D$4,IF(OR('WSF DASHBOARD'!$C$4="",ISNUMBER(SEARCH('WSF DASHBOARD'!$C$4,INDEX(MASTER_ZONES!$B:$B,543)))),542,""),""),""))</f>
        <v/>
      </c>
      <c r="F543">
        <f>IF('TRANSPORT DASHBOARD'!$B$4="Area",IF(542&lt;=$I$3,IF(OR('TRANSPORT DASHBOARD'!$C$4="",ISNUMBER(SEARCH('TRANSPORT DASHBOARD'!$C$4,INDEX(MASTER_AREAS!$B:$B,543)))),542,""),""),IF('TRANSPORT DASHBOARD'!$B$4="Zone",IF(542&lt;=$I$4,IF(OR('TRANSPORT DASHBOARD'!$C$4="",ISNUMBER(SEARCH('TRANSPORT DASHBOARD'!$C$4,INDEX(MASTER_ZONES!$B:$B,543)))),542,""),""),""))</f>
        <v/>
      </c>
    </row>
    <row r="544">
      <c r="A544">
        <f>IF('WSF DASHBOARD'!$B$4="Area",IF(543&lt;=$D$3,IF(OR('WSF DASHBOARD'!$C$4="",ISNUMBER(SEARCH('WSF DASHBOARD'!$C$4,INDEX(MASTER_AREAS!$B:$B,544)))),543,""),""),IF('WSF DASHBOARD'!$B$4="Zone",IF(543&lt;=$D$4,IF(OR('WSF DASHBOARD'!$C$4="",ISNUMBER(SEARCH('WSF DASHBOARD'!$C$4,INDEX(MASTER_ZONES!$B:$B,544)))),543,""),""),""))</f>
        <v/>
      </c>
      <c r="F544">
        <f>IF('TRANSPORT DASHBOARD'!$B$4="Area",IF(543&lt;=$I$3,IF(OR('TRANSPORT DASHBOARD'!$C$4="",ISNUMBER(SEARCH('TRANSPORT DASHBOARD'!$C$4,INDEX(MASTER_AREAS!$B:$B,544)))),543,""),""),IF('TRANSPORT DASHBOARD'!$B$4="Zone",IF(543&lt;=$I$4,IF(OR('TRANSPORT DASHBOARD'!$C$4="",ISNUMBER(SEARCH('TRANSPORT DASHBOARD'!$C$4,INDEX(MASTER_ZONES!$B:$B,544)))),543,""),""),""))</f>
        <v/>
      </c>
    </row>
    <row r="545">
      <c r="A545">
        <f>IF('WSF DASHBOARD'!$B$4="Area",IF(544&lt;=$D$3,IF(OR('WSF DASHBOARD'!$C$4="",ISNUMBER(SEARCH('WSF DASHBOARD'!$C$4,INDEX(MASTER_AREAS!$B:$B,545)))),544,""),""),IF('WSF DASHBOARD'!$B$4="Zone",IF(544&lt;=$D$4,IF(OR('WSF DASHBOARD'!$C$4="",ISNUMBER(SEARCH('WSF DASHBOARD'!$C$4,INDEX(MASTER_ZONES!$B:$B,545)))),544,""),""),""))</f>
        <v/>
      </c>
      <c r="F545">
        <f>IF('TRANSPORT DASHBOARD'!$B$4="Area",IF(544&lt;=$I$3,IF(OR('TRANSPORT DASHBOARD'!$C$4="",ISNUMBER(SEARCH('TRANSPORT DASHBOARD'!$C$4,INDEX(MASTER_AREAS!$B:$B,545)))),544,""),""),IF('TRANSPORT DASHBOARD'!$B$4="Zone",IF(544&lt;=$I$4,IF(OR('TRANSPORT DASHBOARD'!$C$4="",ISNUMBER(SEARCH('TRANSPORT DASHBOARD'!$C$4,INDEX(MASTER_ZONES!$B:$B,545)))),544,""),""),""))</f>
        <v/>
      </c>
    </row>
    <row r="546">
      <c r="A546">
        <f>IF('WSF DASHBOARD'!$B$4="Area",IF(545&lt;=$D$3,IF(OR('WSF DASHBOARD'!$C$4="",ISNUMBER(SEARCH('WSF DASHBOARD'!$C$4,INDEX(MASTER_AREAS!$B:$B,546)))),545,""),""),IF('WSF DASHBOARD'!$B$4="Zone",IF(545&lt;=$D$4,IF(OR('WSF DASHBOARD'!$C$4="",ISNUMBER(SEARCH('WSF DASHBOARD'!$C$4,INDEX(MASTER_ZONES!$B:$B,546)))),545,""),""),""))</f>
        <v/>
      </c>
      <c r="F546">
        <f>IF('TRANSPORT DASHBOARD'!$B$4="Area",IF(545&lt;=$I$3,IF(OR('TRANSPORT DASHBOARD'!$C$4="",ISNUMBER(SEARCH('TRANSPORT DASHBOARD'!$C$4,INDEX(MASTER_AREAS!$B:$B,546)))),545,""),""),IF('TRANSPORT DASHBOARD'!$B$4="Zone",IF(545&lt;=$I$4,IF(OR('TRANSPORT DASHBOARD'!$C$4="",ISNUMBER(SEARCH('TRANSPORT DASHBOARD'!$C$4,INDEX(MASTER_ZONES!$B:$B,546)))),545,""),""),""))</f>
        <v/>
      </c>
    </row>
    <row r="547">
      <c r="A547">
        <f>IF('WSF DASHBOARD'!$B$4="Area",IF(546&lt;=$D$3,IF(OR('WSF DASHBOARD'!$C$4="",ISNUMBER(SEARCH('WSF DASHBOARD'!$C$4,INDEX(MASTER_AREAS!$B:$B,547)))),546,""),""),IF('WSF DASHBOARD'!$B$4="Zone",IF(546&lt;=$D$4,IF(OR('WSF DASHBOARD'!$C$4="",ISNUMBER(SEARCH('WSF DASHBOARD'!$C$4,INDEX(MASTER_ZONES!$B:$B,547)))),546,""),""),""))</f>
        <v/>
      </c>
      <c r="F547">
        <f>IF('TRANSPORT DASHBOARD'!$B$4="Area",IF(546&lt;=$I$3,IF(OR('TRANSPORT DASHBOARD'!$C$4="",ISNUMBER(SEARCH('TRANSPORT DASHBOARD'!$C$4,INDEX(MASTER_AREAS!$B:$B,547)))),546,""),""),IF('TRANSPORT DASHBOARD'!$B$4="Zone",IF(546&lt;=$I$4,IF(OR('TRANSPORT DASHBOARD'!$C$4="",ISNUMBER(SEARCH('TRANSPORT DASHBOARD'!$C$4,INDEX(MASTER_ZONES!$B:$B,547)))),546,""),""),""))</f>
        <v/>
      </c>
    </row>
    <row r="548">
      <c r="A548">
        <f>IF('WSF DASHBOARD'!$B$4="Area",IF(547&lt;=$D$3,IF(OR('WSF DASHBOARD'!$C$4="",ISNUMBER(SEARCH('WSF DASHBOARD'!$C$4,INDEX(MASTER_AREAS!$B:$B,548)))),547,""),""),IF('WSF DASHBOARD'!$B$4="Zone",IF(547&lt;=$D$4,IF(OR('WSF DASHBOARD'!$C$4="",ISNUMBER(SEARCH('WSF DASHBOARD'!$C$4,INDEX(MASTER_ZONES!$B:$B,548)))),547,""),""),""))</f>
        <v/>
      </c>
      <c r="F548">
        <f>IF('TRANSPORT DASHBOARD'!$B$4="Area",IF(547&lt;=$I$3,IF(OR('TRANSPORT DASHBOARD'!$C$4="",ISNUMBER(SEARCH('TRANSPORT DASHBOARD'!$C$4,INDEX(MASTER_AREAS!$B:$B,548)))),547,""),""),IF('TRANSPORT DASHBOARD'!$B$4="Zone",IF(547&lt;=$I$4,IF(OR('TRANSPORT DASHBOARD'!$C$4="",ISNUMBER(SEARCH('TRANSPORT DASHBOARD'!$C$4,INDEX(MASTER_ZONES!$B:$B,548)))),547,""),""),""))</f>
        <v/>
      </c>
    </row>
    <row r="549">
      <c r="A549">
        <f>IF('WSF DASHBOARD'!$B$4="Area",IF(548&lt;=$D$3,IF(OR('WSF DASHBOARD'!$C$4="",ISNUMBER(SEARCH('WSF DASHBOARD'!$C$4,INDEX(MASTER_AREAS!$B:$B,549)))),548,""),""),IF('WSF DASHBOARD'!$B$4="Zone",IF(548&lt;=$D$4,IF(OR('WSF DASHBOARD'!$C$4="",ISNUMBER(SEARCH('WSF DASHBOARD'!$C$4,INDEX(MASTER_ZONES!$B:$B,549)))),548,""),""),""))</f>
        <v/>
      </c>
      <c r="F549">
        <f>IF('TRANSPORT DASHBOARD'!$B$4="Area",IF(548&lt;=$I$3,IF(OR('TRANSPORT DASHBOARD'!$C$4="",ISNUMBER(SEARCH('TRANSPORT DASHBOARD'!$C$4,INDEX(MASTER_AREAS!$B:$B,549)))),548,""),""),IF('TRANSPORT DASHBOARD'!$B$4="Zone",IF(548&lt;=$I$4,IF(OR('TRANSPORT DASHBOARD'!$C$4="",ISNUMBER(SEARCH('TRANSPORT DASHBOARD'!$C$4,INDEX(MASTER_ZONES!$B:$B,549)))),548,""),""),""))</f>
        <v/>
      </c>
    </row>
    <row r="550">
      <c r="A550">
        <f>IF('WSF DASHBOARD'!$B$4="Area",IF(549&lt;=$D$3,IF(OR('WSF DASHBOARD'!$C$4="",ISNUMBER(SEARCH('WSF DASHBOARD'!$C$4,INDEX(MASTER_AREAS!$B:$B,550)))),549,""),""),IF('WSF DASHBOARD'!$B$4="Zone",IF(549&lt;=$D$4,IF(OR('WSF DASHBOARD'!$C$4="",ISNUMBER(SEARCH('WSF DASHBOARD'!$C$4,INDEX(MASTER_ZONES!$B:$B,550)))),549,""),""),""))</f>
        <v/>
      </c>
      <c r="F550">
        <f>IF('TRANSPORT DASHBOARD'!$B$4="Area",IF(549&lt;=$I$3,IF(OR('TRANSPORT DASHBOARD'!$C$4="",ISNUMBER(SEARCH('TRANSPORT DASHBOARD'!$C$4,INDEX(MASTER_AREAS!$B:$B,550)))),549,""),""),IF('TRANSPORT DASHBOARD'!$B$4="Zone",IF(549&lt;=$I$4,IF(OR('TRANSPORT DASHBOARD'!$C$4="",ISNUMBER(SEARCH('TRANSPORT DASHBOARD'!$C$4,INDEX(MASTER_ZONES!$B:$B,550)))),549,""),""),""))</f>
        <v/>
      </c>
    </row>
    <row r="551">
      <c r="A551">
        <f>IF('WSF DASHBOARD'!$B$4="Area",IF(550&lt;=$D$3,IF(OR('WSF DASHBOARD'!$C$4="",ISNUMBER(SEARCH('WSF DASHBOARD'!$C$4,INDEX(MASTER_AREAS!$B:$B,551)))),550,""),""),IF('WSF DASHBOARD'!$B$4="Zone",IF(550&lt;=$D$4,IF(OR('WSF DASHBOARD'!$C$4="",ISNUMBER(SEARCH('WSF DASHBOARD'!$C$4,INDEX(MASTER_ZONES!$B:$B,551)))),550,""),""),""))</f>
        <v/>
      </c>
      <c r="F551">
        <f>IF('TRANSPORT DASHBOARD'!$B$4="Area",IF(550&lt;=$I$3,IF(OR('TRANSPORT DASHBOARD'!$C$4="",ISNUMBER(SEARCH('TRANSPORT DASHBOARD'!$C$4,INDEX(MASTER_AREAS!$B:$B,551)))),550,""),""),IF('TRANSPORT DASHBOARD'!$B$4="Zone",IF(550&lt;=$I$4,IF(OR('TRANSPORT DASHBOARD'!$C$4="",ISNUMBER(SEARCH('TRANSPORT DASHBOARD'!$C$4,INDEX(MASTER_ZONES!$B:$B,551)))),550,""),""),""))</f>
        <v/>
      </c>
    </row>
    <row r="552">
      <c r="A552">
        <f>IF('WSF DASHBOARD'!$B$4="Area",IF(551&lt;=$D$3,IF(OR('WSF DASHBOARD'!$C$4="",ISNUMBER(SEARCH('WSF DASHBOARD'!$C$4,INDEX(MASTER_AREAS!$B:$B,552)))),551,""),""),IF('WSF DASHBOARD'!$B$4="Zone",IF(551&lt;=$D$4,IF(OR('WSF DASHBOARD'!$C$4="",ISNUMBER(SEARCH('WSF DASHBOARD'!$C$4,INDEX(MASTER_ZONES!$B:$B,552)))),551,""),""),""))</f>
        <v/>
      </c>
      <c r="F552">
        <f>IF('TRANSPORT DASHBOARD'!$B$4="Area",IF(551&lt;=$I$3,IF(OR('TRANSPORT DASHBOARD'!$C$4="",ISNUMBER(SEARCH('TRANSPORT DASHBOARD'!$C$4,INDEX(MASTER_AREAS!$B:$B,552)))),551,""),""),IF('TRANSPORT DASHBOARD'!$B$4="Zone",IF(551&lt;=$I$4,IF(OR('TRANSPORT DASHBOARD'!$C$4="",ISNUMBER(SEARCH('TRANSPORT DASHBOARD'!$C$4,INDEX(MASTER_ZONES!$B:$B,552)))),551,""),""),""))</f>
        <v/>
      </c>
    </row>
    <row r="553">
      <c r="A553">
        <f>IF('WSF DASHBOARD'!$B$4="Area",IF(552&lt;=$D$3,IF(OR('WSF DASHBOARD'!$C$4="",ISNUMBER(SEARCH('WSF DASHBOARD'!$C$4,INDEX(MASTER_AREAS!$B:$B,553)))),552,""),""),IF('WSF DASHBOARD'!$B$4="Zone",IF(552&lt;=$D$4,IF(OR('WSF DASHBOARD'!$C$4="",ISNUMBER(SEARCH('WSF DASHBOARD'!$C$4,INDEX(MASTER_ZONES!$B:$B,553)))),552,""),""),""))</f>
        <v/>
      </c>
      <c r="F553">
        <f>IF('TRANSPORT DASHBOARD'!$B$4="Area",IF(552&lt;=$I$3,IF(OR('TRANSPORT DASHBOARD'!$C$4="",ISNUMBER(SEARCH('TRANSPORT DASHBOARD'!$C$4,INDEX(MASTER_AREAS!$B:$B,553)))),552,""),""),IF('TRANSPORT DASHBOARD'!$B$4="Zone",IF(552&lt;=$I$4,IF(OR('TRANSPORT DASHBOARD'!$C$4="",ISNUMBER(SEARCH('TRANSPORT DASHBOARD'!$C$4,INDEX(MASTER_ZONES!$B:$B,553)))),552,""),""),""))</f>
        <v/>
      </c>
    </row>
    <row r="554">
      <c r="A554">
        <f>IF('WSF DASHBOARD'!$B$4="Area",IF(553&lt;=$D$3,IF(OR('WSF DASHBOARD'!$C$4="",ISNUMBER(SEARCH('WSF DASHBOARD'!$C$4,INDEX(MASTER_AREAS!$B:$B,554)))),553,""),""),IF('WSF DASHBOARD'!$B$4="Zone",IF(553&lt;=$D$4,IF(OR('WSF DASHBOARD'!$C$4="",ISNUMBER(SEARCH('WSF DASHBOARD'!$C$4,INDEX(MASTER_ZONES!$B:$B,554)))),553,""),""),""))</f>
        <v/>
      </c>
      <c r="F554">
        <f>IF('TRANSPORT DASHBOARD'!$B$4="Area",IF(553&lt;=$I$3,IF(OR('TRANSPORT DASHBOARD'!$C$4="",ISNUMBER(SEARCH('TRANSPORT DASHBOARD'!$C$4,INDEX(MASTER_AREAS!$B:$B,554)))),553,""),""),IF('TRANSPORT DASHBOARD'!$B$4="Zone",IF(553&lt;=$I$4,IF(OR('TRANSPORT DASHBOARD'!$C$4="",ISNUMBER(SEARCH('TRANSPORT DASHBOARD'!$C$4,INDEX(MASTER_ZONES!$B:$B,554)))),553,""),""),""))</f>
        <v/>
      </c>
    </row>
    <row r="555">
      <c r="A555">
        <f>IF('WSF DASHBOARD'!$B$4="Area",IF(554&lt;=$D$3,IF(OR('WSF DASHBOARD'!$C$4="",ISNUMBER(SEARCH('WSF DASHBOARD'!$C$4,INDEX(MASTER_AREAS!$B:$B,555)))),554,""),""),IF('WSF DASHBOARD'!$B$4="Zone",IF(554&lt;=$D$4,IF(OR('WSF DASHBOARD'!$C$4="",ISNUMBER(SEARCH('WSF DASHBOARD'!$C$4,INDEX(MASTER_ZONES!$B:$B,555)))),554,""),""),""))</f>
        <v/>
      </c>
      <c r="F555">
        <f>IF('TRANSPORT DASHBOARD'!$B$4="Area",IF(554&lt;=$I$3,IF(OR('TRANSPORT DASHBOARD'!$C$4="",ISNUMBER(SEARCH('TRANSPORT DASHBOARD'!$C$4,INDEX(MASTER_AREAS!$B:$B,555)))),554,""),""),IF('TRANSPORT DASHBOARD'!$B$4="Zone",IF(554&lt;=$I$4,IF(OR('TRANSPORT DASHBOARD'!$C$4="",ISNUMBER(SEARCH('TRANSPORT DASHBOARD'!$C$4,INDEX(MASTER_ZONES!$B:$B,555)))),554,""),""),""))</f>
        <v/>
      </c>
    </row>
    <row r="556">
      <c r="A556">
        <f>IF('WSF DASHBOARD'!$B$4="Area",IF(555&lt;=$D$3,IF(OR('WSF DASHBOARD'!$C$4="",ISNUMBER(SEARCH('WSF DASHBOARD'!$C$4,INDEX(MASTER_AREAS!$B:$B,556)))),555,""),""),IF('WSF DASHBOARD'!$B$4="Zone",IF(555&lt;=$D$4,IF(OR('WSF DASHBOARD'!$C$4="",ISNUMBER(SEARCH('WSF DASHBOARD'!$C$4,INDEX(MASTER_ZONES!$B:$B,556)))),555,""),""),""))</f>
        <v/>
      </c>
      <c r="F556">
        <f>IF('TRANSPORT DASHBOARD'!$B$4="Area",IF(555&lt;=$I$3,IF(OR('TRANSPORT DASHBOARD'!$C$4="",ISNUMBER(SEARCH('TRANSPORT DASHBOARD'!$C$4,INDEX(MASTER_AREAS!$B:$B,556)))),555,""),""),IF('TRANSPORT DASHBOARD'!$B$4="Zone",IF(555&lt;=$I$4,IF(OR('TRANSPORT DASHBOARD'!$C$4="",ISNUMBER(SEARCH('TRANSPORT DASHBOARD'!$C$4,INDEX(MASTER_ZONES!$B:$B,556)))),555,""),""),""))</f>
        <v/>
      </c>
    </row>
    <row r="557">
      <c r="A557">
        <f>IF('WSF DASHBOARD'!$B$4="Area",IF(556&lt;=$D$3,IF(OR('WSF DASHBOARD'!$C$4="",ISNUMBER(SEARCH('WSF DASHBOARD'!$C$4,INDEX(MASTER_AREAS!$B:$B,557)))),556,""),""),IF('WSF DASHBOARD'!$B$4="Zone",IF(556&lt;=$D$4,IF(OR('WSF DASHBOARD'!$C$4="",ISNUMBER(SEARCH('WSF DASHBOARD'!$C$4,INDEX(MASTER_ZONES!$B:$B,557)))),556,""),""),""))</f>
        <v/>
      </c>
      <c r="F557">
        <f>IF('TRANSPORT DASHBOARD'!$B$4="Area",IF(556&lt;=$I$3,IF(OR('TRANSPORT DASHBOARD'!$C$4="",ISNUMBER(SEARCH('TRANSPORT DASHBOARD'!$C$4,INDEX(MASTER_AREAS!$B:$B,557)))),556,""),""),IF('TRANSPORT DASHBOARD'!$B$4="Zone",IF(556&lt;=$I$4,IF(OR('TRANSPORT DASHBOARD'!$C$4="",ISNUMBER(SEARCH('TRANSPORT DASHBOARD'!$C$4,INDEX(MASTER_ZONES!$B:$B,557)))),556,""),""),""))</f>
        <v/>
      </c>
    </row>
    <row r="558">
      <c r="A558">
        <f>IF('WSF DASHBOARD'!$B$4="Area",IF(557&lt;=$D$3,IF(OR('WSF DASHBOARD'!$C$4="",ISNUMBER(SEARCH('WSF DASHBOARD'!$C$4,INDEX(MASTER_AREAS!$B:$B,558)))),557,""),""),IF('WSF DASHBOARD'!$B$4="Zone",IF(557&lt;=$D$4,IF(OR('WSF DASHBOARD'!$C$4="",ISNUMBER(SEARCH('WSF DASHBOARD'!$C$4,INDEX(MASTER_ZONES!$B:$B,558)))),557,""),""),""))</f>
        <v/>
      </c>
      <c r="F558">
        <f>IF('TRANSPORT DASHBOARD'!$B$4="Area",IF(557&lt;=$I$3,IF(OR('TRANSPORT DASHBOARD'!$C$4="",ISNUMBER(SEARCH('TRANSPORT DASHBOARD'!$C$4,INDEX(MASTER_AREAS!$B:$B,558)))),557,""),""),IF('TRANSPORT DASHBOARD'!$B$4="Zone",IF(557&lt;=$I$4,IF(OR('TRANSPORT DASHBOARD'!$C$4="",ISNUMBER(SEARCH('TRANSPORT DASHBOARD'!$C$4,INDEX(MASTER_ZONES!$B:$B,558)))),557,""),""),""))</f>
        <v/>
      </c>
    </row>
    <row r="559">
      <c r="A559">
        <f>IF('WSF DASHBOARD'!$B$4="Area",IF(558&lt;=$D$3,IF(OR('WSF DASHBOARD'!$C$4="",ISNUMBER(SEARCH('WSF DASHBOARD'!$C$4,INDEX(MASTER_AREAS!$B:$B,559)))),558,""),""),IF('WSF DASHBOARD'!$B$4="Zone",IF(558&lt;=$D$4,IF(OR('WSF DASHBOARD'!$C$4="",ISNUMBER(SEARCH('WSF DASHBOARD'!$C$4,INDEX(MASTER_ZONES!$B:$B,559)))),558,""),""),""))</f>
        <v/>
      </c>
      <c r="F559">
        <f>IF('TRANSPORT DASHBOARD'!$B$4="Area",IF(558&lt;=$I$3,IF(OR('TRANSPORT DASHBOARD'!$C$4="",ISNUMBER(SEARCH('TRANSPORT DASHBOARD'!$C$4,INDEX(MASTER_AREAS!$B:$B,559)))),558,""),""),IF('TRANSPORT DASHBOARD'!$B$4="Zone",IF(558&lt;=$I$4,IF(OR('TRANSPORT DASHBOARD'!$C$4="",ISNUMBER(SEARCH('TRANSPORT DASHBOARD'!$C$4,INDEX(MASTER_ZONES!$B:$B,559)))),558,""),""),""))</f>
        <v/>
      </c>
    </row>
    <row r="560">
      <c r="A560">
        <f>IF('WSF DASHBOARD'!$B$4="Area",IF(559&lt;=$D$3,IF(OR('WSF DASHBOARD'!$C$4="",ISNUMBER(SEARCH('WSF DASHBOARD'!$C$4,INDEX(MASTER_AREAS!$B:$B,560)))),559,""),""),IF('WSF DASHBOARD'!$B$4="Zone",IF(559&lt;=$D$4,IF(OR('WSF DASHBOARD'!$C$4="",ISNUMBER(SEARCH('WSF DASHBOARD'!$C$4,INDEX(MASTER_ZONES!$B:$B,560)))),559,""),""),""))</f>
        <v/>
      </c>
      <c r="F560">
        <f>IF('TRANSPORT DASHBOARD'!$B$4="Area",IF(559&lt;=$I$3,IF(OR('TRANSPORT DASHBOARD'!$C$4="",ISNUMBER(SEARCH('TRANSPORT DASHBOARD'!$C$4,INDEX(MASTER_AREAS!$B:$B,560)))),559,""),""),IF('TRANSPORT DASHBOARD'!$B$4="Zone",IF(559&lt;=$I$4,IF(OR('TRANSPORT DASHBOARD'!$C$4="",ISNUMBER(SEARCH('TRANSPORT DASHBOARD'!$C$4,INDEX(MASTER_ZONES!$B:$B,560)))),559,""),""),""))</f>
        <v/>
      </c>
    </row>
    <row r="561">
      <c r="A561">
        <f>IF('WSF DASHBOARD'!$B$4="Area",IF(560&lt;=$D$3,IF(OR('WSF DASHBOARD'!$C$4="",ISNUMBER(SEARCH('WSF DASHBOARD'!$C$4,INDEX(MASTER_AREAS!$B:$B,561)))),560,""),""),IF('WSF DASHBOARD'!$B$4="Zone",IF(560&lt;=$D$4,IF(OR('WSF DASHBOARD'!$C$4="",ISNUMBER(SEARCH('WSF DASHBOARD'!$C$4,INDEX(MASTER_ZONES!$B:$B,561)))),560,""),""),""))</f>
        <v/>
      </c>
      <c r="F561">
        <f>IF('TRANSPORT DASHBOARD'!$B$4="Area",IF(560&lt;=$I$3,IF(OR('TRANSPORT DASHBOARD'!$C$4="",ISNUMBER(SEARCH('TRANSPORT DASHBOARD'!$C$4,INDEX(MASTER_AREAS!$B:$B,561)))),560,""),""),IF('TRANSPORT DASHBOARD'!$B$4="Zone",IF(560&lt;=$I$4,IF(OR('TRANSPORT DASHBOARD'!$C$4="",ISNUMBER(SEARCH('TRANSPORT DASHBOARD'!$C$4,INDEX(MASTER_ZONES!$B:$B,561)))),560,""),""),""))</f>
        <v/>
      </c>
    </row>
    <row r="562">
      <c r="A562">
        <f>IF('WSF DASHBOARD'!$B$4="Area",IF(561&lt;=$D$3,IF(OR('WSF DASHBOARD'!$C$4="",ISNUMBER(SEARCH('WSF DASHBOARD'!$C$4,INDEX(MASTER_AREAS!$B:$B,562)))),561,""),""),IF('WSF DASHBOARD'!$B$4="Zone",IF(561&lt;=$D$4,IF(OR('WSF DASHBOARD'!$C$4="",ISNUMBER(SEARCH('WSF DASHBOARD'!$C$4,INDEX(MASTER_ZONES!$B:$B,562)))),561,""),""),""))</f>
        <v/>
      </c>
      <c r="F562">
        <f>IF('TRANSPORT DASHBOARD'!$B$4="Area",IF(561&lt;=$I$3,IF(OR('TRANSPORT DASHBOARD'!$C$4="",ISNUMBER(SEARCH('TRANSPORT DASHBOARD'!$C$4,INDEX(MASTER_AREAS!$B:$B,562)))),561,""),""),IF('TRANSPORT DASHBOARD'!$B$4="Zone",IF(561&lt;=$I$4,IF(OR('TRANSPORT DASHBOARD'!$C$4="",ISNUMBER(SEARCH('TRANSPORT DASHBOARD'!$C$4,INDEX(MASTER_ZONES!$B:$B,562)))),561,""),""),""))</f>
        <v/>
      </c>
    </row>
    <row r="563">
      <c r="A563">
        <f>IF('WSF DASHBOARD'!$B$4="Area",IF(562&lt;=$D$3,IF(OR('WSF DASHBOARD'!$C$4="",ISNUMBER(SEARCH('WSF DASHBOARD'!$C$4,INDEX(MASTER_AREAS!$B:$B,563)))),562,""),""),IF('WSF DASHBOARD'!$B$4="Zone",IF(562&lt;=$D$4,IF(OR('WSF DASHBOARD'!$C$4="",ISNUMBER(SEARCH('WSF DASHBOARD'!$C$4,INDEX(MASTER_ZONES!$B:$B,563)))),562,""),""),""))</f>
        <v/>
      </c>
      <c r="F563">
        <f>IF('TRANSPORT DASHBOARD'!$B$4="Area",IF(562&lt;=$I$3,IF(OR('TRANSPORT DASHBOARD'!$C$4="",ISNUMBER(SEARCH('TRANSPORT DASHBOARD'!$C$4,INDEX(MASTER_AREAS!$B:$B,563)))),562,""),""),IF('TRANSPORT DASHBOARD'!$B$4="Zone",IF(562&lt;=$I$4,IF(OR('TRANSPORT DASHBOARD'!$C$4="",ISNUMBER(SEARCH('TRANSPORT DASHBOARD'!$C$4,INDEX(MASTER_ZONES!$B:$B,563)))),562,""),""),""))</f>
        <v/>
      </c>
    </row>
    <row r="564">
      <c r="A564">
        <f>IF('WSF DASHBOARD'!$B$4="Area",IF(563&lt;=$D$3,IF(OR('WSF DASHBOARD'!$C$4="",ISNUMBER(SEARCH('WSF DASHBOARD'!$C$4,INDEX(MASTER_AREAS!$B:$B,564)))),563,""),""),IF('WSF DASHBOARD'!$B$4="Zone",IF(563&lt;=$D$4,IF(OR('WSF DASHBOARD'!$C$4="",ISNUMBER(SEARCH('WSF DASHBOARD'!$C$4,INDEX(MASTER_ZONES!$B:$B,564)))),563,""),""),""))</f>
        <v/>
      </c>
      <c r="F564">
        <f>IF('TRANSPORT DASHBOARD'!$B$4="Area",IF(563&lt;=$I$3,IF(OR('TRANSPORT DASHBOARD'!$C$4="",ISNUMBER(SEARCH('TRANSPORT DASHBOARD'!$C$4,INDEX(MASTER_AREAS!$B:$B,564)))),563,""),""),IF('TRANSPORT DASHBOARD'!$B$4="Zone",IF(563&lt;=$I$4,IF(OR('TRANSPORT DASHBOARD'!$C$4="",ISNUMBER(SEARCH('TRANSPORT DASHBOARD'!$C$4,INDEX(MASTER_ZONES!$B:$B,564)))),563,""),""),""))</f>
        <v/>
      </c>
    </row>
    <row r="565">
      <c r="A565">
        <f>IF('WSF DASHBOARD'!$B$4="Area",IF(564&lt;=$D$3,IF(OR('WSF DASHBOARD'!$C$4="",ISNUMBER(SEARCH('WSF DASHBOARD'!$C$4,INDEX(MASTER_AREAS!$B:$B,565)))),564,""),""),IF('WSF DASHBOARD'!$B$4="Zone",IF(564&lt;=$D$4,IF(OR('WSF DASHBOARD'!$C$4="",ISNUMBER(SEARCH('WSF DASHBOARD'!$C$4,INDEX(MASTER_ZONES!$B:$B,565)))),564,""),""),""))</f>
        <v/>
      </c>
      <c r="F565">
        <f>IF('TRANSPORT DASHBOARD'!$B$4="Area",IF(564&lt;=$I$3,IF(OR('TRANSPORT DASHBOARD'!$C$4="",ISNUMBER(SEARCH('TRANSPORT DASHBOARD'!$C$4,INDEX(MASTER_AREAS!$B:$B,565)))),564,""),""),IF('TRANSPORT DASHBOARD'!$B$4="Zone",IF(564&lt;=$I$4,IF(OR('TRANSPORT DASHBOARD'!$C$4="",ISNUMBER(SEARCH('TRANSPORT DASHBOARD'!$C$4,INDEX(MASTER_ZONES!$B:$B,565)))),564,""),""),""))</f>
        <v/>
      </c>
    </row>
    <row r="566">
      <c r="A566">
        <f>IF('WSF DASHBOARD'!$B$4="Area",IF(565&lt;=$D$3,IF(OR('WSF DASHBOARD'!$C$4="",ISNUMBER(SEARCH('WSF DASHBOARD'!$C$4,INDEX(MASTER_AREAS!$B:$B,566)))),565,""),""),IF('WSF DASHBOARD'!$B$4="Zone",IF(565&lt;=$D$4,IF(OR('WSF DASHBOARD'!$C$4="",ISNUMBER(SEARCH('WSF DASHBOARD'!$C$4,INDEX(MASTER_ZONES!$B:$B,566)))),565,""),""),""))</f>
        <v/>
      </c>
      <c r="F566">
        <f>IF('TRANSPORT DASHBOARD'!$B$4="Area",IF(565&lt;=$I$3,IF(OR('TRANSPORT DASHBOARD'!$C$4="",ISNUMBER(SEARCH('TRANSPORT DASHBOARD'!$C$4,INDEX(MASTER_AREAS!$B:$B,566)))),565,""),""),IF('TRANSPORT DASHBOARD'!$B$4="Zone",IF(565&lt;=$I$4,IF(OR('TRANSPORT DASHBOARD'!$C$4="",ISNUMBER(SEARCH('TRANSPORT DASHBOARD'!$C$4,INDEX(MASTER_ZONES!$B:$B,566)))),565,""),""),""))</f>
        <v/>
      </c>
    </row>
    <row r="567">
      <c r="A567">
        <f>IF('WSF DASHBOARD'!$B$4="Area",IF(566&lt;=$D$3,IF(OR('WSF DASHBOARD'!$C$4="",ISNUMBER(SEARCH('WSF DASHBOARD'!$C$4,INDEX(MASTER_AREAS!$B:$B,567)))),566,""),""),IF('WSF DASHBOARD'!$B$4="Zone",IF(566&lt;=$D$4,IF(OR('WSF DASHBOARD'!$C$4="",ISNUMBER(SEARCH('WSF DASHBOARD'!$C$4,INDEX(MASTER_ZONES!$B:$B,567)))),566,""),""),""))</f>
        <v/>
      </c>
      <c r="F567">
        <f>IF('TRANSPORT DASHBOARD'!$B$4="Area",IF(566&lt;=$I$3,IF(OR('TRANSPORT DASHBOARD'!$C$4="",ISNUMBER(SEARCH('TRANSPORT DASHBOARD'!$C$4,INDEX(MASTER_AREAS!$B:$B,567)))),566,""),""),IF('TRANSPORT DASHBOARD'!$B$4="Zone",IF(566&lt;=$I$4,IF(OR('TRANSPORT DASHBOARD'!$C$4="",ISNUMBER(SEARCH('TRANSPORT DASHBOARD'!$C$4,INDEX(MASTER_ZONES!$B:$B,567)))),566,""),""),""))</f>
        <v/>
      </c>
    </row>
    <row r="568">
      <c r="A568">
        <f>IF('WSF DASHBOARD'!$B$4="Area",IF(567&lt;=$D$3,IF(OR('WSF DASHBOARD'!$C$4="",ISNUMBER(SEARCH('WSF DASHBOARD'!$C$4,INDEX(MASTER_AREAS!$B:$B,568)))),567,""),""),IF('WSF DASHBOARD'!$B$4="Zone",IF(567&lt;=$D$4,IF(OR('WSF DASHBOARD'!$C$4="",ISNUMBER(SEARCH('WSF DASHBOARD'!$C$4,INDEX(MASTER_ZONES!$B:$B,568)))),567,""),""),""))</f>
        <v/>
      </c>
      <c r="F568">
        <f>IF('TRANSPORT DASHBOARD'!$B$4="Area",IF(567&lt;=$I$3,IF(OR('TRANSPORT DASHBOARD'!$C$4="",ISNUMBER(SEARCH('TRANSPORT DASHBOARD'!$C$4,INDEX(MASTER_AREAS!$B:$B,568)))),567,""),""),IF('TRANSPORT DASHBOARD'!$B$4="Zone",IF(567&lt;=$I$4,IF(OR('TRANSPORT DASHBOARD'!$C$4="",ISNUMBER(SEARCH('TRANSPORT DASHBOARD'!$C$4,INDEX(MASTER_ZONES!$B:$B,568)))),567,""),""),""))</f>
        <v/>
      </c>
    </row>
    <row r="569">
      <c r="A569">
        <f>IF('WSF DASHBOARD'!$B$4="Area",IF(568&lt;=$D$3,IF(OR('WSF DASHBOARD'!$C$4="",ISNUMBER(SEARCH('WSF DASHBOARD'!$C$4,INDEX(MASTER_AREAS!$B:$B,569)))),568,""),""),IF('WSF DASHBOARD'!$B$4="Zone",IF(568&lt;=$D$4,IF(OR('WSF DASHBOARD'!$C$4="",ISNUMBER(SEARCH('WSF DASHBOARD'!$C$4,INDEX(MASTER_ZONES!$B:$B,569)))),568,""),""),""))</f>
        <v/>
      </c>
      <c r="F569">
        <f>IF('TRANSPORT DASHBOARD'!$B$4="Area",IF(568&lt;=$I$3,IF(OR('TRANSPORT DASHBOARD'!$C$4="",ISNUMBER(SEARCH('TRANSPORT DASHBOARD'!$C$4,INDEX(MASTER_AREAS!$B:$B,569)))),568,""),""),IF('TRANSPORT DASHBOARD'!$B$4="Zone",IF(568&lt;=$I$4,IF(OR('TRANSPORT DASHBOARD'!$C$4="",ISNUMBER(SEARCH('TRANSPORT DASHBOARD'!$C$4,INDEX(MASTER_ZONES!$B:$B,569)))),568,""),""),""))</f>
        <v/>
      </c>
    </row>
    <row r="570">
      <c r="A570">
        <f>IF('WSF DASHBOARD'!$B$4="Area",IF(569&lt;=$D$3,IF(OR('WSF DASHBOARD'!$C$4="",ISNUMBER(SEARCH('WSF DASHBOARD'!$C$4,INDEX(MASTER_AREAS!$B:$B,570)))),569,""),""),IF('WSF DASHBOARD'!$B$4="Zone",IF(569&lt;=$D$4,IF(OR('WSF DASHBOARD'!$C$4="",ISNUMBER(SEARCH('WSF DASHBOARD'!$C$4,INDEX(MASTER_ZONES!$B:$B,570)))),569,""),""),""))</f>
        <v/>
      </c>
      <c r="F570">
        <f>IF('TRANSPORT DASHBOARD'!$B$4="Area",IF(569&lt;=$I$3,IF(OR('TRANSPORT DASHBOARD'!$C$4="",ISNUMBER(SEARCH('TRANSPORT DASHBOARD'!$C$4,INDEX(MASTER_AREAS!$B:$B,570)))),569,""),""),IF('TRANSPORT DASHBOARD'!$B$4="Zone",IF(569&lt;=$I$4,IF(OR('TRANSPORT DASHBOARD'!$C$4="",ISNUMBER(SEARCH('TRANSPORT DASHBOARD'!$C$4,INDEX(MASTER_ZONES!$B:$B,570)))),569,""),""),""))</f>
        <v/>
      </c>
    </row>
    <row r="571">
      <c r="A571">
        <f>IF('WSF DASHBOARD'!$B$4="Area",IF(570&lt;=$D$3,IF(OR('WSF DASHBOARD'!$C$4="",ISNUMBER(SEARCH('WSF DASHBOARD'!$C$4,INDEX(MASTER_AREAS!$B:$B,571)))),570,""),""),IF('WSF DASHBOARD'!$B$4="Zone",IF(570&lt;=$D$4,IF(OR('WSF DASHBOARD'!$C$4="",ISNUMBER(SEARCH('WSF DASHBOARD'!$C$4,INDEX(MASTER_ZONES!$B:$B,571)))),570,""),""),""))</f>
        <v/>
      </c>
      <c r="F571">
        <f>IF('TRANSPORT DASHBOARD'!$B$4="Area",IF(570&lt;=$I$3,IF(OR('TRANSPORT DASHBOARD'!$C$4="",ISNUMBER(SEARCH('TRANSPORT DASHBOARD'!$C$4,INDEX(MASTER_AREAS!$B:$B,571)))),570,""),""),IF('TRANSPORT DASHBOARD'!$B$4="Zone",IF(570&lt;=$I$4,IF(OR('TRANSPORT DASHBOARD'!$C$4="",ISNUMBER(SEARCH('TRANSPORT DASHBOARD'!$C$4,INDEX(MASTER_ZONES!$B:$B,571)))),570,""),""),""))</f>
        <v/>
      </c>
    </row>
    <row r="572">
      <c r="A572">
        <f>IF('WSF DASHBOARD'!$B$4="Area",IF(571&lt;=$D$3,IF(OR('WSF DASHBOARD'!$C$4="",ISNUMBER(SEARCH('WSF DASHBOARD'!$C$4,INDEX(MASTER_AREAS!$B:$B,572)))),571,""),""),IF('WSF DASHBOARD'!$B$4="Zone",IF(571&lt;=$D$4,IF(OR('WSF DASHBOARD'!$C$4="",ISNUMBER(SEARCH('WSF DASHBOARD'!$C$4,INDEX(MASTER_ZONES!$B:$B,572)))),571,""),""),""))</f>
        <v/>
      </c>
      <c r="F572">
        <f>IF('TRANSPORT DASHBOARD'!$B$4="Area",IF(571&lt;=$I$3,IF(OR('TRANSPORT DASHBOARD'!$C$4="",ISNUMBER(SEARCH('TRANSPORT DASHBOARD'!$C$4,INDEX(MASTER_AREAS!$B:$B,572)))),571,""),""),IF('TRANSPORT DASHBOARD'!$B$4="Zone",IF(571&lt;=$I$4,IF(OR('TRANSPORT DASHBOARD'!$C$4="",ISNUMBER(SEARCH('TRANSPORT DASHBOARD'!$C$4,INDEX(MASTER_ZONES!$B:$B,572)))),571,""),""),""))</f>
        <v/>
      </c>
    </row>
    <row r="573">
      <c r="A573">
        <f>IF('WSF DASHBOARD'!$B$4="Area",IF(572&lt;=$D$3,IF(OR('WSF DASHBOARD'!$C$4="",ISNUMBER(SEARCH('WSF DASHBOARD'!$C$4,INDEX(MASTER_AREAS!$B:$B,573)))),572,""),""),IF('WSF DASHBOARD'!$B$4="Zone",IF(572&lt;=$D$4,IF(OR('WSF DASHBOARD'!$C$4="",ISNUMBER(SEARCH('WSF DASHBOARD'!$C$4,INDEX(MASTER_ZONES!$B:$B,573)))),572,""),""),""))</f>
        <v/>
      </c>
      <c r="F573">
        <f>IF('TRANSPORT DASHBOARD'!$B$4="Area",IF(572&lt;=$I$3,IF(OR('TRANSPORT DASHBOARD'!$C$4="",ISNUMBER(SEARCH('TRANSPORT DASHBOARD'!$C$4,INDEX(MASTER_AREAS!$B:$B,573)))),572,""),""),IF('TRANSPORT DASHBOARD'!$B$4="Zone",IF(572&lt;=$I$4,IF(OR('TRANSPORT DASHBOARD'!$C$4="",ISNUMBER(SEARCH('TRANSPORT DASHBOARD'!$C$4,INDEX(MASTER_ZONES!$B:$B,573)))),572,""),""),""))</f>
        <v/>
      </c>
    </row>
    <row r="574">
      <c r="A574">
        <f>IF('WSF DASHBOARD'!$B$4="Area",IF(573&lt;=$D$3,IF(OR('WSF DASHBOARD'!$C$4="",ISNUMBER(SEARCH('WSF DASHBOARD'!$C$4,INDEX(MASTER_AREAS!$B:$B,574)))),573,""),""),IF('WSF DASHBOARD'!$B$4="Zone",IF(573&lt;=$D$4,IF(OR('WSF DASHBOARD'!$C$4="",ISNUMBER(SEARCH('WSF DASHBOARD'!$C$4,INDEX(MASTER_ZONES!$B:$B,574)))),573,""),""),""))</f>
        <v/>
      </c>
      <c r="F574">
        <f>IF('TRANSPORT DASHBOARD'!$B$4="Area",IF(573&lt;=$I$3,IF(OR('TRANSPORT DASHBOARD'!$C$4="",ISNUMBER(SEARCH('TRANSPORT DASHBOARD'!$C$4,INDEX(MASTER_AREAS!$B:$B,574)))),573,""),""),IF('TRANSPORT DASHBOARD'!$B$4="Zone",IF(573&lt;=$I$4,IF(OR('TRANSPORT DASHBOARD'!$C$4="",ISNUMBER(SEARCH('TRANSPORT DASHBOARD'!$C$4,INDEX(MASTER_ZONES!$B:$B,574)))),573,""),""),""))</f>
        <v/>
      </c>
    </row>
    <row r="575">
      <c r="A575">
        <f>IF('WSF DASHBOARD'!$B$4="Area",IF(574&lt;=$D$3,IF(OR('WSF DASHBOARD'!$C$4="",ISNUMBER(SEARCH('WSF DASHBOARD'!$C$4,INDEX(MASTER_AREAS!$B:$B,575)))),574,""),""),IF('WSF DASHBOARD'!$B$4="Zone",IF(574&lt;=$D$4,IF(OR('WSF DASHBOARD'!$C$4="",ISNUMBER(SEARCH('WSF DASHBOARD'!$C$4,INDEX(MASTER_ZONES!$B:$B,575)))),574,""),""),""))</f>
        <v/>
      </c>
      <c r="F575">
        <f>IF('TRANSPORT DASHBOARD'!$B$4="Area",IF(574&lt;=$I$3,IF(OR('TRANSPORT DASHBOARD'!$C$4="",ISNUMBER(SEARCH('TRANSPORT DASHBOARD'!$C$4,INDEX(MASTER_AREAS!$B:$B,575)))),574,""),""),IF('TRANSPORT DASHBOARD'!$B$4="Zone",IF(574&lt;=$I$4,IF(OR('TRANSPORT DASHBOARD'!$C$4="",ISNUMBER(SEARCH('TRANSPORT DASHBOARD'!$C$4,INDEX(MASTER_ZONES!$B:$B,575)))),574,""),""),""))</f>
        <v/>
      </c>
    </row>
    <row r="576">
      <c r="A576">
        <f>IF('WSF DASHBOARD'!$B$4="Area",IF(575&lt;=$D$3,IF(OR('WSF DASHBOARD'!$C$4="",ISNUMBER(SEARCH('WSF DASHBOARD'!$C$4,INDEX(MASTER_AREAS!$B:$B,576)))),575,""),""),IF('WSF DASHBOARD'!$B$4="Zone",IF(575&lt;=$D$4,IF(OR('WSF DASHBOARD'!$C$4="",ISNUMBER(SEARCH('WSF DASHBOARD'!$C$4,INDEX(MASTER_ZONES!$B:$B,576)))),575,""),""),""))</f>
        <v/>
      </c>
      <c r="F576">
        <f>IF('TRANSPORT DASHBOARD'!$B$4="Area",IF(575&lt;=$I$3,IF(OR('TRANSPORT DASHBOARD'!$C$4="",ISNUMBER(SEARCH('TRANSPORT DASHBOARD'!$C$4,INDEX(MASTER_AREAS!$B:$B,576)))),575,""),""),IF('TRANSPORT DASHBOARD'!$B$4="Zone",IF(575&lt;=$I$4,IF(OR('TRANSPORT DASHBOARD'!$C$4="",ISNUMBER(SEARCH('TRANSPORT DASHBOARD'!$C$4,INDEX(MASTER_ZONES!$B:$B,576)))),575,""),""),""))</f>
        <v/>
      </c>
    </row>
    <row r="577">
      <c r="A577">
        <f>IF('WSF DASHBOARD'!$B$4="Area",IF(576&lt;=$D$3,IF(OR('WSF DASHBOARD'!$C$4="",ISNUMBER(SEARCH('WSF DASHBOARD'!$C$4,INDEX(MASTER_AREAS!$B:$B,577)))),576,""),""),IF('WSF DASHBOARD'!$B$4="Zone",IF(576&lt;=$D$4,IF(OR('WSF DASHBOARD'!$C$4="",ISNUMBER(SEARCH('WSF DASHBOARD'!$C$4,INDEX(MASTER_ZONES!$B:$B,577)))),576,""),""),""))</f>
        <v/>
      </c>
      <c r="F577">
        <f>IF('TRANSPORT DASHBOARD'!$B$4="Area",IF(576&lt;=$I$3,IF(OR('TRANSPORT DASHBOARD'!$C$4="",ISNUMBER(SEARCH('TRANSPORT DASHBOARD'!$C$4,INDEX(MASTER_AREAS!$B:$B,577)))),576,""),""),IF('TRANSPORT DASHBOARD'!$B$4="Zone",IF(576&lt;=$I$4,IF(OR('TRANSPORT DASHBOARD'!$C$4="",ISNUMBER(SEARCH('TRANSPORT DASHBOARD'!$C$4,INDEX(MASTER_ZONES!$B:$B,577)))),576,""),""),""))</f>
        <v/>
      </c>
    </row>
    <row r="578">
      <c r="A578">
        <f>IF('WSF DASHBOARD'!$B$4="Area",IF(577&lt;=$D$3,IF(OR('WSF DASHBOARD'!$C$4="",ISNUMBER(SEARCH('WSF DASHBOARD'!$C$4,INDEX(MASTER_AREAS!$B:$B,578)))),577,""),""),IF('WSF DASHBOARD'!$B$4="Zone",IF(577&lt;=$D$4,IF(OR('WSF DASHBOARD'!$C$4="",ISNUMBER(SEARCH('WSF DASHBOARD'!$C$4,INDEX(MASTER_ZONES!$B:$B,578)))),577,""),""),""))</f>
        <v/>
      </c>
      <c r="F578">
        <f>IF('TRANSPORT DASHBOARD'!$B$4="Area",IF(577&lt;=$I$3,IF(OR('TRANSPORT DASHBOARD'!$C$4="",ISNUMBER(SEARCH('TRANSPORT DASHBOARD'!$C$4,INDEX(MASTER_AREAS!$B:$B,578)))),577,""),""),IF('TRANSPORT DASHBOARD'!$B$4="Zone",IF(577&lt;=$I$4,IF(OR('TRANSPORT DASHBOARD'!$C$4="",ISNUMBER(SEARCH('TRANSPORT DASHBOARD'!$C$4,INDEX(MASTER_ZONES!$B:$B,578)))),577,""),""),""))</f>
        <v/>
      </c>
    </row>
    <row r="579">
      <c r="A579">
        <f>IF('WSF DASHBOARD'!$B$4="Area",IF(578&lt;=$D$3,IF(OR('WSF DASHBOARD'!$C$4="",ISNUMBER(SEARCH('WSF DASHBOARD'!$C$4,INDEX(MASTER_AREAS!$B:$B,579)))),578,""),""),IF('WSF DASHBOARD'!$B$4="Zone",IF(578&lt;=$D$4,IF(OR('WSF DASHBOARD'!$C$4="",ISNUMBER(SEARCH('WSF DASHBOARD'!$C$4,INDEX(MASTER_ZONES!$B:$B,579)))),578,""),""),""))</f>
        <v/>
      </c>
      <c r="F579">
        <f>IF('TRANSPORT DASHBOARD'!$B$4="Area",IF(578&lt;=$I$3,IF(OR('TRANSPORT DASHBOARD'!$C$4="",ISNUMBER(SEARCH('TRANSPORT DASHBOARD'!$C$4,INDEX(MASTER_AREAS!$B:$B,579)))),578,""),""),IF('TRANSPORT DASHBOARD'!$B$4="Zone",IF(578&lt;=$I$4,IF(OR('TRANSPORT DASHBOARD'!$C$4="",ISNUMBER(SEARCH('TRANSPORT DASHBOARD'!$C$4,INDEX(MASTER_ZONES!$B:$B,579)))),578,""),""),""))</f>
        <v/>
      </c>
    </row>
    <row r="580">
      <c r="A580">
        <f>IF('WSF DASHBOARD'!$B$4="Area",IF(579&lt;=$D$3,IF(OR('WSF DASHBOARD'!$C$4="",ISNUMBER(SEARCH('WSF DASHBOARD'!$C$4,INDEX(MASTER_AREAS!$B:$B,580)))),579,""),""),IF('WSF DASHBOARD'!$B$4="Zone",IF(579&lt;=$D$4,IF(OR('WSF DASHBOARD'!$C$4="",ISNUMBER(SEARCH('WSF DASHBOARD'!$C$4,INDEX(MASTER_ZONES!$B:$B,580)))),579,""),""),""))</f>
        <v/>
      </c>
      <c r="F580">
        <f>IF('TRANSPORT DASHBOARD'!$B$4="Area",IF(579&lt;=$I$3,IF(OR('TRANSPORT DASHBOARD'!$C$4="",ISNUMBER(SEARCH('TRANSPORT DASHBOARD'!$C$4,INDEX(MASTER_AREAS!$B:$B,580)))),579,""),""),IF('TRANSPORT DASHBOARD'!$B$4="Zone",IF(579&lt;=$I$4,IF(OR('TRANSPORT DASHBOARD'!$C$4="",ISNUMBER(SEARCH('TRANSPORT DASHBOARD'!$C$4,INDEX(MASTER_ZONES!$B:$B,580)))),579,""),""),""))</f>
        <v/>
      </c>
    </row>
    <row r="581">
      <c r="A581">
        <f>IF('WSF DASHBOARD'!$B$4="Area",IF(580&lt;=$D$3,IF(OR('WSF DASHBOARD'!$C$4="",ISNUMBER(SEARCH('WSF DASHBOARD'!$C$4,INDEX(MASTER_AREAS!$B:$B,581)))),580,""),""),IF('WSF DASHBOARD'!$B$4="Zone",IF(580&lt;=$D$4,IF(OR('WSF DASHBOARD'!$C$4="",ISNUMBER(SEARCH('WSF DASHBOARD'!$C$4,INDEX(MASTER_ZONES!$B:$B,581)))),580,""),""),""))</f>
        <v/>
      </c>
      <c r="F581">
        <f>IF('TRANSPORT DASHBOARD'!$B$4="Area",IF(580&lt;=$I$3,IF(OR('TRANSPORT DASHBOARD'!$C$4="",ISNUMBER(SEARCH('TRANSPORT DASHBOARD'!$C$4,INDEX(MASTER_AREAS!$B:$B,581)))),580,""),""),IF('TRANSPORT DASHBOARD'!$B$4="Zone",IF(580&lt;=$I$4,IF(OR('TRANSPORT DASHBOARD'!$C$4="",ISNUMBER(SEARCH('TRANSPORT DASHBOARD'!$C$4,INDEX(MASTER_ZONES!$B:$B,581)))),580,""),""),""))</f>
        <v/>
      </c>
    </row>
    <row r="582">
      <c r="A582">
        <f>IF('WSF DASHBOARD'!$B$4="Area",IF(581&lt;=$D$3,IF(OR('WSF DASHBOARD'!$C$4="",ISNUMBER(SEARCH('WSF DASHBOARD'!$C$4,INDEX(MASTER_AREAS!$B:$B,582)))),581,""),""),IF('WSF DASHBOARD'!$B$4="Zone",IF(581&lt;=$D$4,IF(OR('WSF DASHBOARD'!$C$4="",ISNUMBER(SEARCH('WSF DASHBOARD'!$C$4,INDEX(MASTER_ZONES!$B:$B,582)))),581,""),""),""))</f>
        <v/>
      </c>
      <c r="F582">
        <f>IF('TRANSPORT DASHBOARD'!$B$4="Area",IF(581&lt;=$I$3,IF(OR('TRANSPORT DASHBOARD'!$C$4="",ISNUMBER(SEARCH('TRANSPORT DASHBOARD'!$C$4,INDEX(MASTER_AREAS!$B:$B,582)))),581,""),""),IF('TRANSPORT DASHBOARD'!$B$4="Zone",IF(581&lt;=$I$4,IF(OR('TRANSPORT DASHBOARD'!$C$4="",ISNUMBER(SEARCH('TRANSPORT DASHBOARD'!$C$4,INDEX(MASTER_ZONES!$B:$B,582)))),581,""),""),""))</f>
        <v/>
      </c>
    </row>
    <row r="583">
      <c r="A583">
        <f>IF('WSF DASHBOARD'!$B$4="Area",IF(582&lt;=$D$3,IF(OR('WSF DASHBOARD'!$C$4="",ISNUMBER(SEARCH('WSF DASHBOARD'!$C$4,INDEX(MASTER_AREAS!$B:$B,583)))),582,""),""),IF('WSF DASHBOARD'!$B$4="Zone",IF(582&lt;=$D$4,IF(OR('WSF DASHBOARD'!$C$4="",ISNUMBER(SEARCH('WSF DASHBOARD'!$C$4,INDEX(MASTER_ZONES!$B:$B,583)))),582,""),""),""))</f>
        <v/>
      </c>
      <c r="F583">
        <f>IF('TRANSPORT DASHBOARD'!$B$4="Area",IF(582&lt;=$I$3,IF(OR('TRANSPORT DASHBOARD'!$C$4="",ISNUMBER(SEARCH('TRANSPORT DASHBOARD'!$C$4,INDEX(MASTER_AREAS!$B:$B,583)))),582,""),""),IF('TRANSPORT DASHBOARD'!$B$4="Zone",IF(582&lt;=$I$4,IF(OR('TRANSPORT DASHBOARD'!$C$4="",ISNUMBER(SEARCH('TRANSPORT DASHBOARD'!$C$4,INDEX(MASTER_ZONES!$B:$B,583)))),582,""),""),""))</f>
        <v/>
      </c>
    </row>
    <row r="584">
      <c r="A584">
        <f>IF('WSF DASHBOARD'!$B$4="Area",IF(583&lt;=$D$3,IF(OR('WSF DASHBOARD'!$C$4="",ISNUMBER(SEARCH('WSF DASHBOARD'!$C$4,INDEX(MASTER_AREAS!$B:$B,584)))),583,""),""),IF('WSF DASHBOARD'!$B$4="Zone",IF(583&lt;=$D$4,IF(OR('WSF DASHBOARD'!$C$4="",ISNUMBER(SEARCH('WSF DASHBOARD'!$C$4,INDEX(MASTER_ZONES!$B:$B,584)))),583,""),""),""))</f>
        <v/>
      </c>
      <c r="F584">
        <f>IF('TRANSPORT DASHBOARD'!$B$4="Area",IF(583&lt;=$I$3,IF(OR('TRANSPORT DASHBOARD'!$C$4="",ISNUMBER(SEARCH('TRANSPORT DASHBOARD'!$C$4,INDEX(MASTER_AREAS!$B:$B,584)))),583,""),""),IF('TRANSPORT DASHBOARD'!$B$4="Zone",IF(583&lt;=$I$4,IF(OR('TRANSPORT DASHBOARD'!$C$4="",ISNUMBER(SEARCH('TRANSPORT DASHBOARD'!$C$4,INDEX(MASTER_ZONES!$B:$B,584)))),583,""),""),""))</f>
        <v/>
      </c>
    </row>
    <row r="585">
      <c r="A585">
        <f>IF('WSF DASHBOARD'!$B$4="Area",IF(584&lt;=$D$3,IF(OR('WSF DASHBOARD'!$C$4="",ISNUMBER(SEARCH('WSF DASHBOARD'!$C$4,INDEX(MASTER_AREAS!$B:$B,585)))),584,""),""),IF('WSF DASHBOARD'!$B$4="Zone",IF(584&lt;=$D$4,IF(OR('WSF DASHBOARD'!$C$4="",ISNUMBER(SEARCH('WSF DASHBOARD'!$C$4,INDEX(MASTER_ZONES!$B:$B,585)))),584,""),""),""))</f>
        <v/>
      </c>
      <c r="F585">
        <f>IF('TRANSPORT DASHBOARD'!$B$4="Area",IF(584&lt;=$I$3,IF(OR('TRANSPORT DASHBOARD'!$C$4="",ISNUMBER(SEARCH('TRANSPORT DASHBOARD'!$C$4,INDEX(MASTER_AREAS!$B:$B,585)))),584,""),""),IF('TRANSPORT DASHBOARD'!$B$4="Zone",IF(584&lt;=$I$4,IF(OR('TRANSPORT DASHBOARD'!$C$4="",ISNUMBER(SEARCH('TRANSPORT DASHBOARD'!$C$4,INDEX(MASTER_ZONES!$B:$B,585)))),584,""),""),""))</f>
        <v/>
      </c>
    </row>
    <row r="586">
      <c r="A586">
        <f>IF('WSF DASHBOARD'!$B$4="Area",IF(585&lt;=$D$3,IF(OR('WSF DASHBOARD'!$C$4="",ISNUMBER(SEARCH('WSF DASHBOARD'!$C$4,INDEX(MASTER_AREAS!$B:$B,586)))),585,""),""),IF('WSF DASHBOARD'!$B$4="Zone",IF(585&lt;=$D$4,IF(OR('WSF DASHBOARD'!$C$4="",ISNUMBER(SEARCH('WSF DASHBOARD'!$C$4,INDEX(MASTER_ZONES!$B:$B,586)))),585,""),""),""))</f>
        <v/>
      </c>
      <c r="F586">
        <f>IF('TRANSPORT DASHBOARD'!$B$4="Area",IF(585&lt;=$I$3,IF(OR('TRANSPORT DASHBOARD'!$C$4="",ISNUMBER(SEARCH('TRANSPORT DASHBOARD'!$C$4,INDEX(MASTER_AREAS!$B:$B,586)))),585,""),""),IF('TRANSPORT DASHBOARD'!$B$4="Zone",IF(585&lt;=$I$4,IF(OR('TRANSPORT DASHBOARD'!$C$4="",ISNUMBER(SEARCH('TRANSPORT DASHBOARD'!$C$4,INDEX(MASTER_ZONES!$B:$B,586)))),585,""),""),""))</f>
        <v/>
      </c>
    </row>
    <row r="587">
      <c r="A587">
        <f>IF('WSF DASHBOARD'!$B$4="Area",IF(586&lt;=$D$3,IF(OR('WSF DASHBOARD'!$C$4="",ISNUMBER(SEARCH('WSF DASHBOARD'!$C$4,INDEX(MASTER_AREAS!$B:$B,587)))),586,""),""),IF('WSF DASHBOARD'!$B$4="Zone",IF(586&lt;=$D$4,IF(OR('WSF DASHBOARD'!$C$4="",ISNUMBER(SEARCH('WSF DASHBOARD'!$C$4,INDEX(MASTER_ZONES!$B:$B,587)))),586,""),""),""))</f>
        <v/>
      </c>
      <c r="F587">
        <f>IF('TRANSPORT DASHBOARD'!$B$4="Area",IF(586&lt;=$I$3,IF(OR('TRANSPORT DASHBOARD'!$C$4="",ISNUMBER(SEARCH('TRANSPORT DASHBOARD'!$C$4,INDEX(MASTER_AREAS!$B:$B,587)))),586,""),""),IF('TRANSPORT DASHBOARD'!$B$4="Zone",IF(586&lt;=$I$4,IF(OR('TRANSPORT DASHBOARD'!$C$4="",ISNUMBER(SEARCH('TRANSPORT DASHBOARD'!$C$4,INDEX(MASTER_ZONES!$B:$B,587)))),586,""),""),""))</f>
        <v/>
      </c>
    </row>
    <row r="588">
      <c r="A588">
        <f>IF('WSF DASHBOARD'!$B$4="Area",IF(587&lt;=$D$3,IF(OR('WSF DASHBOARD'!$C$4="",ISNUMBER(SEARCH('WSF DASHBOARD'!$C$4,INDEX(MASTER_AREAS!$B:$B,588)))),587,""),""),IF('WSF DASHBOARD'!$B$4="Zone",IF(587&lt;=$D$4,IF(OR('WSF DASHBOARD'!$C$4="",ISNUMBER(SEARCH('WSF DASHBOARD'!$C$4,INDEX(MASTER_ZONES!$B:$B,588)))),587,""),""),""))</f>
        <v/>
      </c>
      <c r="F588">
        <f>IF('TRANSPORT DASHBOARD'!$B$4="Area",IF(587&lt;=$I$3,IF(OR('TRANSPORT DASHBOARD'!$C$4="",ISNUMBER(SEARCH('TRANSPORT DASHBOARD'!$C$4,INDEX(MASTER_AREAS!$B:$B,588)))),587,""),""),IF('TRANSPORT DASHBOARD'!$B$4="Zone",IF(587&lt;=$I$4,IF(OR('TRANSPORT DASHBOARD'!$C$4="",ISNUMBER(SEARCH('TRANSPORT DASHBOARD'!$C$4,INDEX(MASTER_ZONES!$B:$B,588)))),587,""),""),""))</f>
        <v/>
      </c>
    </row>
    <row r="589">
      <c r="A589">
        <f>IF('WSF DASHBOARD'!$B$4="Area",IF(588&lt;=$D$3,IF(OR('WSF DASHBOARD'!$C$4="",ISNUMBER(SEARCH('WSF DASHBOARD'!$C$4,INDEX(MASTER_AREAS!$B:$B,589)))),588,""),""),IF('WSF DASHBOARD'!$B$4="Zone",IF(588&lt;=$D$4,IF(OR('WSF DASHBOARD'!$C$4="",ISNUMBER(SEARCH('WSF DASHBOARD'!$C$4,INDEX(MASTER_ZONES!$B:$B,589)))),588,""),""),""))</f>
        <v/>
      </c>
      <c r="F589">
        <f>IF('TRANSPORT DASHBOARD'!$B$4="Area",IF(588&lt;=$I$3,IF(OR('TRANSPORT DASHBOARD'!$C$4="",ISNUMBER(SEARCH('TRANSPORT DASHBOARD'!$C$4,INDEX(MASTER_AREAS!$B:$B,589)))),588,""),""),IF('TRANSPORT DASHBOARD'!$B$4="Zone",IF(588&lt;=$I$4,IF(OR('TRANSPORT DASHBOARD'!$C$4="",ISNUMBER(SEARCH('TRANSPORT DASHBOARD'!$C$4,INDEX(MASTER_ZONES!$B:$B,589)))),588,""),""),""))</f>
        <v/>
      </c>
    </row>
    <row r="590">
      <c r="A590">
        <f>IF('WSF DASHBOARD'!$B$4="Area",IF(589&lt;=$D$3,IF(OR('WSF DASHBOARD'!$C$4="",ISNUMBER(SEARCH('WSF DASHBOARD'!$C$4,INDEX(MASTER_AREAS!$B:$B,590)))),589,""),""),IF('WSF DASHBOARD'!$B$4="Zone",IF(589&lt;=$D$4,IF(OR('WSF DASHBOARD'!$C$4="",ISNUMBER(SEARCH('WSF DASHBOARD'!$C$4,INDEX(MASTER_ZONES!$B:$B,590)))),589,""),""),""))</f>
        <v/>
      </c>
      <c r="F590">
        <f>IF('TRANSPORT DASHBOARD'!$B$4="Area",IF(589&lt;=$I$3,IF(OR('TRANSPORT DASHBOARD'!$C$4="",ISNUMBER(SEARCH('TRANSPORT DASHBOARD'!$C$4,INDEX(MASTER_AREAS!$B:$B,590)))),589,""),""),IF('TRANSPORT DASHBOARD'!$B$4="Zone",IF(589&lt;=$I$4,IF(OR('TRANSPORT DASHBOARD'!$C$4="",ISNUMBER(SEARCH('TRANSPORT DASHBOARD'!$C$4,INDEX(MASTER_ZONES!$B:$B,590)))),589,""),""),""))</f>
        <v/>
      </c>
    </row>
    <row r="591">
      <c r="A591">
        <f>IF('WSF DASHBOARD'!$B$4="Area",IF(590&lt;=$D$3,IF(OR('WSF DASHBOARD'!$C$4="",ISNUMBER(SEARCH('WSF DASHBOARD'!$C$4,INDEX(MASTER_AREAS!$B:$B,591)))),590,""),""),IF('WSF DASHBOARD'!$B$4="Zone",IF(590&lt;=$D$4,IF(OR('WSF DASHBOARD'!$C$4="",ISNUMBER(SEARCH('WSF DASHBOARD'!$C$4,INDEX(MASTER_ZONES!$B:$B,591)))),590,""),""),""))</f>
        <v/>
      </c>
      <c r="F591">
        <f>IF('TRANSPORT DASHBOARD'!$B$4="Area",IF(590&lt;=$I$3,IF(OR('TRANSPORT DASHBOARD'!$C$4="",ISNUMBER(SEARCH('TRANSPORT DASHBOARD'!$C$4,INDEX(MASTER_AREAS!$B:$B,591)))),590,""),""),IF('TRANSPORT DASHBOARD'!$B$4="Zone",IF(590&lt;=$I$4,IF(OR('TRANSPORT DASHBOARD'!$C$4="",ISNUMBER(SEARCH('TRANSPORT DASHBOARD'!$C$4,INDEX(MASTER_ZONES!$B:$B,591)))),590,""),""),""))</f>
        <v/>
      </c>
    </row>
    <row r="592">
      <c r="A592">
        <f>IF('WSF DASHBOARD'!$B$4="Area",IF(591&lt;=$D$3,IF(OR('WSF DASHBOARD'!$C$4="",ISNUMBER(SEARCH('WSF DASHBOARD'!$C$4,INDEX(MASTER_AREAS!$B:$B,592)))),591,""),""),IF('WSF DASHBOARD'!$B$4="Zone",IF(591&lt;=$D$4,IF(OR('WSF DASHBOARD'!$C$4="",ISNUMBER(SEARCH('WSF DASHBOARD'!$C$4,INDEX(MASTER_ZONES!$B:$B,592)))),591,""),""),""))</f>
        <v/>
      </c>
      <c r="F592">
        <f>IF('TRANSPORT DASHBOARD'!$B$4="Area",IF(591&lt;=$I$3,IF(OR('TRANSPORT DASHBOARD'!$C$4="",ISNUMBER(SEARCH('TRANSPORT DASHBOARD'!$C$4,INDEX(MASTER_AREAS!$B:$B,592)))),591,""),""),IF('TRANSPORT DASHBOARD'!$B$4="Zone",IF(591&lt;=$I$4,IF(OR('TRANSPORT DASHBOARD'!$C$4="",ISNUMBER(SEARCH('TRANSPORT DASHBOARD'!$C$4,INDEX(MASTER_ZONES!$B:$B,592)))),591,""),""),""))</f>
        <v/>
      </c>
    </row>
    <row r="593">
      <c r="A593">
        <f>IF('WSF DASHBOARD'!$B$4="Area",IF(592&lt;=$D$3,IF(OR('WSF DASHBOARD'!$C$4="",ISNUMBER(SEARCH('WSF DASHBOARD'!$C$4,INDEX(MASTER_AREAS!$B:$B,593)))),592,""),""),IF('WSF DASHBOARD'!$B$4="Zone",IF(592&lt;=$D$4,IF(OR('WSF DASHBOARD'!$C$4="",ISNUMBER(SEARCH('WSF DASHBOARD'!$C$4,INDEX(MASTER_ZONES!$B:$B,593)))),592,""),""),""))</f>
        <v/>
      </c>
      <c r="F593">
        <f>IF('TRANSPORT DASHBOARD'!$B$4="Area",IF(592&lt;=$I$3,IF(OR('TRANSPORT DASHBOARD'!$C$4="",ISNUMBER(SEARCH('TRANSPORT DASHBOARD'!$C$4,INDEX(MASTER_AREAS!$B:$B,593)))),592,""),""),IF('TRANSPORT DASHBOARD'!$B$4="Zone",IF(592&lt;=$I$4,IF(OR('TRANSPORT DASHBOARD'!$C$4="",ISNUMBER(SEARCH('TRANSPORT DASHBOARD'!$C$4,INDEX(MASTER_ZONES!$B:$B,593)))),592,""),""),""))</f>
        <v/>
      </c>
    </row>
    <row r="594">
      <c r="A594">
        <f>IF('WSF DASHBOARD'!$B$4="Area",IF(593&lt;=$D$3,IF(OR('WSF DASHBOARD'!$C$4="",ISNUMBER(SEARCH('WSF DASHBOARD'!$C$4,INDEX(MASTER_AREAS!$B:$B,594)))),593,""),""),IF('WSF DASHBOARD'!$B$4="Zone",IF(593&lt;=$D$4,IF(OR('WSF DASHBOARD'!$C$4="",ISNUMBER(SEARCH('WSF DASHBOARD'!$C$4,INDEX(MASTER_ZONES!$B:$B,594)))),593,""),""),""))</f>
        <v/>
      </c>
      <c r="F594">
        <f>IF('TRANSPORT DASHBOARD'!$B$4="Area",IF(593&lt;=$I$3,IF(OR('TRANSPORT DASHBOARD'!$C$4="",ISNUMBER(SEARCH('TRANSPORT DASHBOARD'!$C$4,INDEX(MASTER_AREAS!$B:$B,594)))),593,""),""),IF('TRANSPORT DASHBOARD'!$B$4="Zone",IF(593&lt;=$I$4,IF(OR('TRANSPORT DASHBOARD'!$C$4="",ISNUMBER(SEARCH('TRANSPORT DASHBOARD'!$C$4,INDEX(MASTER_ZONES!$B:$B,594)))),593,""),""),""))</f>
        <v/>
      </c>
    </row>
    <row r="595">
      <c r="A595">
        <f>IF('WSF DASHBOARD'!$B$4="Area",IF(594&lt;=$D$3,IF(OR('WSF DASHBOARD'!$C$4="",ISNUMBER(SEARCH('WSF DASHBOARD'!$C$4,INDEX(MASTER_AREAS!$B:$B,595)))),594,""),""),IF('WSF DASHBOARD'!$B$4="Zone",IF(594&lt;=$D$4,IF(OR('WSF DASHBOARD'!$C$4="",ISNUMBER(SEARCH('WSF DASHBOARD'!$C$4,INDEX(MASTER_ZONES!$B:$B,595)))),594,""),""),""))</f>
        <v/>
      </c>
      <c r="F595">
        <f>IF('TRANSPORT DASHBOARD'!$B$4="Area",IF(594&lt;=$I$3,IF(OR('TRANSPORT DASHBOARD'!$C$4="",ISNUMBER(SEARCH('TRANSPORT DASHBOARD'!$C$4,INDEX(MASTER_AREAS!$B:$B,595)))),594,""),""),IF('TRANSPORT DASHBOARD'!$B$4="Zone",IF(594&lt;=$I$4,IF(OR('TRANSPORT DASHBOARD'!$C$4="",ISNUMBER(SEARCH('TRANSPORT DASHBOARD'!$C$4,INDEX(MASTER_ZONES!$B:$B,595)))),594,""),""),""))</f>
        <v/>
      </c>
    </row>
    <row r="596">
      <c r="A596">
        <f>IF('WSF DASHBOARD'!$B$4="Area",IF(595&lt;=$D$3,IF(OR('WSF DASHBOARD'!$C$4="",ISNUMBER(SEARCH('WSF DASHBOARD'!$C$4,INDEX(MASTER_AREAS!$B:$B,596)))),595,""),""),IF('WSF DASHBOARD'!$B$4="Zone",IF(595&lt;=$D$4,IF(OR('WSF DASHBOARD'!$C$4="",ISNUMBER(SEARCH('WSF DASHBOARD'!$C$4,INDEX(MASTER_ZONES!$B:$B,596)))),595,""),""),""))</f>
        <v/>
      </c>
      <c r="F596">
        <f>IF('TRANSPORT DASHBOARD'!$B$4="Area",IF(595&lt;=$I$3,IF(OR('TRANSPORT DASHBOARD'!$C$4="",ISNUMBER(SEARCH('TRANSPORT DASHBOARD'!$C$4,INDEX(MASTER_AREAS!$B:$B,596)))),595,""),""),IF('TRANSPORT DASHBOARD'!$B$4="Zone",IF(595&lt;=$I$4,IF(OR('TRANSPORT DASHBOARD'!$C$4="",ISNUMBER(SEARCH('TRANSPORT DASHBOARD'!$C$4,INDEX(MASTER_ZONES!$B:$B,596)))),595,""),""),""))</f>
        <v/>
      </c>
    </row>
    <row r="597">
      <c r="A597">
        <f>IF('WSF DASHBOARD'!$B$4="Area",IF(596&lt;=$D$3,IF(OR('WSF DASHBOARD'!$C$4="",ISNUMBER(SEARCH('WSF DASHBOARD'!$C$4,INDEX(MASTER_AREAS!$B:$B,597)))),596,""),""),IF('WSF DASHBOARD'!$B$4="Zone",IF(596&lt;=$D$4,IF(OR('WSF DASHBOARD'!$C$4="",ISNUMBER(SEARCH('WSF DASHBOARD'!$C$4,INDEX(MASTER_ZONES!$B:$B,597)))),596,""),""),""))</f>
        <v/>
      </c>
      <c r="F597">
        <f>IF('TRANSPORT DASHBOARD'!$B$4="Area",IF(596&lt;=$I$3,IF(OR('TRANSPORT DASHBOARD'!$C$4="",ISNUMBER(SEARCH('TRANSPORT DASHBOARD'!$C$4,INDEX(MASTER_AREAS!$B:$B,597)))),596,""),""),IF('TRANSPORT DASHBOARD'!$B$4="Zone",IF(596&lt;=$I$4,IF(OR('TRANSPORT DASHBOARD'!$C$4="",ISNUMBER(SEARCH('TRANSPORT DASHBOARD'!$C$4,INDEX(MASTER_ZONES!$B:$B,597)))),596,""),""),""))</f>
        <v/>
      </c>
    </row>
    <row r="598">
      <c r="A598">
        <f>IF('WSF DASHBOARD'!$B$4="Area",IF(597&lt;=$D$3,IF(OR('WSF DASHBOARD'!$C$4="",ISNUMBER(SEARCH('WSF DASHBOARD'!$C$4,INDEX(MASTER_AREAS!$B:$B,598)))),597,""),""),IF('WSF DASHBOARD'!$B$4="Zone",IF(597&lt;=$D$4,IF(OR('WSF DASHBOARD'!$C$4="",ISNUMBER(SEARCH('WSF DASHBOARD'!$C$4,INDEX(MASTER_ZONES!$B:$B,598)))),597,""),""),""))</f>
        <v/>
      </c>
      <c r="F598">
        <f>IF('TRANSPORT DASHBOARD'!$B$4="Area",IF(597&lt;=$I$3,IF(OR('TRANSPORT DASHBOARD'!$C$4="",ISNUMBER(SEARCH('TRANSPORT DASHBOARD'!$C$4,INDEX(MASTER_AREAS!$B:$B,598)))),597,""),""),IF('TRANSPORT DASHBOARD'!$B$4="Zone",IF(597&lt;=$I$4,IF(OR('TRANSPORT DASHBOARD'!$C$4="",ISNUMBER(SEARCH('TRANSPORT DASHBOARD'!$C$4,INDEX(MASTER_ZONES!$B:$B,598)))),597,""),""),""))</f>
        <v/>
      </c>
    </row>
    <row r="599">
      <c r="A599">
        <f>IF('WSF DASHBOARD'!$B$4="Area",IF(598&lt;=$D$3,IF(OR('WSF DASHBOARD'!$C$4="",ISNUMBER(SEARCH('WSF DASHBOARD'!$C$4,INDEX(MASTER_AREAS!$B:$B,599)))),598,""),""),IF('WSF DASHBOARD'!$B$4="Zone",IF(598&lt;=$D$4,IF(OR('WSF DASHBOARD'!$C$4="",ISNUMBER(SEARCH('WSF DASHBOARD'!$C$4,INDEX(MASTER_ZONES!$B:$B,599)))),598,""),""),""))</f>
        <v/>
      </c>
      <c r="F599">
        <f>IF('TRANSPORT DASHBOARD'!$B$4="Area",IF(598&lt;=$I$3,IF(OR('TRANSPORT DASHBOARD'!$C$4="",ISNUMBER(SEARCH('TRANSPORT DASHBOARD'!$C$4,INDEX(MASTER_AREAS!$B:$B,599)))),598,""),""),IF('TRANSPORT DASHBOARD'!$B$4="Zone",IF(598&lt;=$I$4,IF(OR('TRANSPORT DASHBOARD'!$C$4="",ISNUMBER(SEARCH('TRANSPORT DASHBOARD'!$C$4,INDEX(MASTER_ZONES!$B:$B,599)))),598,""),""),""))</f>
        <v/>
      </c>
    </row>
    <row r="600">
      <c r="A600">
        <f>IF('WSF DASHBOARD'!$B$4="Area",IF(599&lt;=$D$3,IF(OR('WSF DASHBOARD'!$C$4="",ISNUMBER(SEARCH('WSF DASHBOARD'!$C$4,INDEX(MASTER_AREAS!$B:$B,600)))),599,""),""),IF('WSF DASHBOARD'!$B$4="Zone",IF(599&lt;=$D$4,IF(OR('WSF DASHBOARD'!$C$4="",ISNUMBER(SEARCH('WSF DASHBOARD'!$C$4,INDEX(MASTER_ZONES!$B:$B,600)))),599,""),""),""))</f>
        <v/>
      </c>
      <c r="F600">
        <f>IF('TRANSPORT DASHBOARD'!$B$4="Area",IF(599&lt;=$I$3,IF(OR('TRANSPORT DASHBOARD'!$C$4="",ISNUMBER(SEARCH('TRANSPORT DASHBOARD'!$C$4,INDEX(MASTER_AREAS!$B:$B,600)))),599,""),""),IF('TRANSPORT DASHBOARD'!$B$4="Zone",IF(599&lt;=$I$4,IF(OR('TRANSPORT DASHBOARD'!$C$4="",ISNUMBER(SEARCH('TRANSPORT DASHBOARD'!$C$4,INDEX(MASTER_ZONES!$B:$B,600)))),599,""),""),""))</f>
        <v/>
      </c>
    </row>
    <row r="601">
      <c r="A601">
        <f>IF('WSF DASHBOARD'!$B$4="Area",IF(600&lt;=$D$3,IF(OR('WSF DASHBOARD'!$C$4="",ISNUMBER(SEARCH('WSF DASHBOARD'!$C$4,INDEX(MASTER_AREAS!$B:$B,601)))),600,""),""),IF('WSF DASHBOARD'!$B$4="Zone",IF(600&lt;=$D$4,IF(OR('WSF DASHBOARD'!$C$4="",ISNUMBER(SEARCH('WSF DASHBOARD'!$C$4,INDEX(MASTER_ZONES!$B:$B,601)))),600,""),""),""))</f>
        <v/>
      </c>
      <c r="F601">
        <f>IF('TRANSPORT DASHBOARD'!$B$4="Area",IF(600&lt;=$I$3,IF(OR('TRANSPORT DASHBOARD'!$C$4="",ISNUMBER(SEARCH('TRANSPORT DASHBOARD'!$C$4,INDEX(MASTER_AREAS!$B:$B,601)))),600,""),""),IF('TRANSPORT DASHBOARD'!$B$4="Zone",IF(600&lt;=$I$4,IF(OR('TRANSPORT DASHBOARD'!$C$4="",ISNUMBER(SEARCH('TRANSPORT DASHBOARD'!$C$4,INDEX(MASTER_ZONES!$B:$B,601)))),600,""),""),""))</f>
        <v/>
      </c>
    </row>
    <row r="602">
      <c r="A602">
        <f>IF('WSF DASHBOARD'!$B$4="Area",IF(601&lt;=$D$3,IF(OR('WSF DASHBOARD'!$C$4="",ISNUMBER(SEARCH('WSF DASHBOARD'!$C$4,INDEX(MASTER_AREAS!$B:$B,602)))),601,""),""),IF('WSF DASHBOARD'!$B$4="Zone",IF(601&lt;=$D$4,IF(OR('WSF DASHBOARD'!$C$4="",ISNUMBER(SEARCH('WSF DASHBOARD'!$C$4,INDEX(MASTER_ZONES!$B:$B,602)))),601,""),""),""))</f>
        <v/>
      </c>
      <c r="F602">
        <f>IF('TRANSPORT DASHBOARD'!$B$4="Area",IF(601&lt;=$I$3,IF(OR('TRANSPORT DASHBOARD'!$C$4="",ISNUMBER(SEARCH('TRANSPORT DASHBOARD'!$C$4,INDEX(MASTER_AREAS!$B:$B,602)))),601,""),""),IF('TRANSPORT DASHBOARD'!$B$4="Zone",IF(601&lt;=$I$4,IF(OR('TRANSPORT DASHBOARD'!$C$4="",ISNUMBER(SEARCH('TRANSPORT DASHBOARD'!$C$4,INDEX(MASTER_ZONES!$B:$B,602)))),601,""),""),""))</f>
        <v/>
      </c>
    </row>
    <row r="603">
      <c r="A603">
        <f>IF('WSF DASHBOARD'!$B$4="Area",IF(602&lt;=$D$3,IF(OR('WSF DASHBOARD'!$C$4="",ISNUMBER(SEARCH('WSF DASHBOARD'!$C$4,INDEX(MASTER_AREAS!$B:$B,603)))),602,""),""),IF('WSF DASHBOARD'!$B$4="Zone",IF(602&lt;=$D$4,IF(OR('WSF DASHBOARD'!$C$4="",ISNUMBER(SEARCH('WSF DASHBOARD'!$C$4,INDEX(MASTER_ZONES!$B:$B,603)))),602,""),""),""))</f>
        <v/>
      </c>
      <c r="F603">
        <f>IF('TRANSPORT DASHBOARD'!$B$4="Area",IF(602&lt;=$I$3,IF(OR('TRANSPORT DASHBOARD'!$C$4="",ISNUMBER(SEARCH('TRANSPORT DASHBOARD'!$C$4,INDEX(MASTER_AREAS!$B:$B,603)))),602,""),""),IF('TRANSPORT DASHBOARD'!$B$4="Zone",IF(602&lt;=$I$4,IF(OR('TRANSPORT DASHBOARD'!$C$4="",ISNUMBER(SEARCH('TRANSPORT DASHBOARD'!$C$4,INDEX(MASTER_ZONES!$B:$B,603)))),602,""),""),""))</f>
        <v/>
      </c>
    </row>
    <row r="604">
      <c r="A604">
        <f>IF('WSF DASHBOARD'!$B$4="Area",IF(603&lt;=$D$3,IF(OR('WSF DASHBOARD'!$C$4="",ISNUMBER(SEARCH('WSF DASHBOARD'!$C$4,INDEX(MASTER_AREAS!$B:$B,604)))),603,""),""),IF('WSF DASHBOARD'!$B$4="Zone",IF(603&lt;=$D$4,IF(OR('WSF DASHBOARD'!$C$4="",ISNUMBER(SEARCH('WSF DASHBOARD'!$C$4,INDEX(MASTER_ZONES!$B:$B,604)))),603,""),""),""))</f>
        <v/>
      </c>
      <c r="F604">
        <f>IF('TRANSPORT DASHBOARD'!$B$4="Area",IF(603&lt;=$I$3,IF(OR('TRANSPORT DASHBOARD'!$C$4="",ISNUMBER(SEARCH('TRANSPORT DASHBOARD'!$C$4,INDEX(MASTER_AREAS!$B:$B,604)))),603,""),""),IF('TRANSPORT DASHBOARD'!$B$4="Zone",IF(603&lt;=$I$4,IF(OR('TRANSPORT DASHBOARD'!$C$4="",ISNUMBER(SEARCH('TRANSPORT DASHBOARD'!$C$4,INDEX(MASTER_ZONES!$B:$B,604)))),603,""),""),""))</f>
        <v/>
      </c>
    </row>
    <row r="605">
      <c r="A605">
        <f>IF('WSF DASHBOARD'!$B$4="Area",IF(604&lt;=$D$3,IF(OR('WSF DASHBOARD'!$C$4="",ISNUMBER(SEARCH('WSF DASHBOARD'!$C$4,INDEX(MASTER_AREAS!$B:$B,605)))),604,""),""),IF('WSF DASHBOARD'!$B$4="Zone",IF(604&lt;=$D$4,IF(OR('WSF DASHBOARD'!$C$4="",ISNUMBER(SEARCH('WSF DASHBOARD'!$C$4,INDEX(MASTER_ZONES!$B:$B,605)))),604,""),""),""))</f>
        <v/>
      </c>
      <c r="F605">
        <f>IF('TRANSPORT DASHBOARD'!$B$4="Area",IF(604&lt;=$I$3,IF(OR('TRANSPORT DASHBOARD'!$C$4="",ISNUMBER(SEARCH('TRANSPORT DASHBOARD'!$C$4,INDEX(MASTER_AREAS!$B:$B,605)))),604,""),""),IF('TRANSPORT DASHBOARD'!$B$4="Zone",IF(604&lt;=$I$4,IF(OR('TRANSPORT DASHBOARD'!$C$4="",ISNUMBER(SEARCH('TRANSPORT DASHBOARD'!$C$4,INDEX(MASTER_ZONES!$B:$B,605)))),604,""),""),""))</f>
        <v/>
      </c>
    </row>
    <row r="606">
      <c r="A606">
        <f>IF('WSF DASHBOARD'!$B$4="Area",IF(605&lt;=$D$3,IF(OR('WSF DASHBOARD'!$C$4="",ISNUMBER(SEARCH('WSF DASHBOARD'!$C$4,INDEX(MASTER_AREAS!$B:$B,606)))),605,""),""),IF('WSF DASHBOARD'!$B$4="Zone",IF(605&lt;=$D$4,IF(OR('WSF DASHBOARD'!$C$4="",ISNUMBER(SEARCH('WSF DASHBOARD'!$C$4,INDEX(MASTER_ZONES!$B:$B,606)))),605,""),""),""))</f>
        <v/>
      </c>
      <c r="F606">
        <f>IF('TRANSPORT DASHBOARD'!$B$4="Area",IF(605&lt;=$I$3,IF(OR('TRANSPORT DASHBOARD'!$C$4="",ISNUMBER(SEARCH('TRANSPORT DASHBOARD'!$C$4,INDEX(MASTER_AREAS!$B:$B,606)))),605,""),""),IF('TRANSPORT DASHBOARD'!$B$4="Zone",IF(605&lt;=$I$4,IF(OR('TRANSPORT DASHBOARD'!$C$4="",ISNUMBER(SEARCH('TRANSPORT DASHBOARD'!$C$4,INDEX(MASTER_ZONES!$B:$B,606)))),605,""),""),""))</f>
        <v/>
      </c>
    </row>
    <row r="607">
      <c r="A607">
        <f>IF('WSF DASHBOARD'!$B$4="Area",IF(606&lt;=$D$3,IF(OR('WSF DASHBOARD'!$C$4="",ISNUMBER(SEARCH('WSF DASHBOARD'!$C$4,INDEX(MASTER_AREAS!$B:$B,607)))),606,""),""),IF('WSF DASHBOARD'!$B$4="Zone",IF(606&lt;=$D$4,IF(OR('WSF DASHBOARD'!$C$4="",ISNUMBER(SEARCH('WSF DASHBOARD'!$C$4,INDEX(MASTER_ZONES!$B:$B,607)))),606,""),""),""))</f>
        <v/>
      </c>
      <c r="F607">
        <f>IF('TRANSPORT DASHBOARD'!$B$4="Area",IF(606&lt;=$I$3,IF(OR('TRANSPORT DASHBOARD'!$C$4="",ISNUMBER(SEARCH('TRANSPORT DASHBOARD'!$C$4,INDEX(MASTER_AREAS!$B:$B,607)))),606,""),""),IF('TRANSPORT DASHBOARD'!$B$4="Zone",IF(606&lt;=$I$4,IF(OR('TRANSPORT DASHBOARD'!$C$4="",ISNUMBER(SEARCH('TRANSPORT DASHBOARD'!$C$4,INDEX(MASTER_ZONES!$B:$B,607)))),606,""),""),""))</f>
        <v/>
      </c>
    </row>
    <row r="608">
      <c r="A608">
        <f>IF('WSF DASHBOARD'!$B$4="Area",IF(607&lt;=$D$3,IF(OR('WSF DASHBOARD'!$C$4="",ISNUMBER(SEARCH('WSF DASHBOARD'!$C$4,INDEX(MASTER_AREAS!$B:$B,608)))),607,""),""),IF('WSF DASHBOARD'!$B$4="Zone",IF(607&lt;=$D$4,IF(OR('WSF DASHBOARD'!$C$4="",ISNUMBER(SEARCH('WSF DASHBOARD'!$C$4,INDEX(MASTER_ZONES!$B:$B,608)))),607,""),""),""))</f>
        <v/>
      </c>
      <c r="F608">
        <f>IF('TRANSPORT DASHBOARD'!$B$4="Area",IF(607&lt;=$I$3,IF(OR('TRANSPORT DASHBOARD'!$C$4="",ISNUMBER(SEARCH('TRANSPORT DASHBOARD'!$C$4,INDEX(MASTER_AREAS!$B:$B,608)))),607,""),""),IF('TRANSPORT DASHBOARD'!$B$4="Zone",IF(607&lt;=$I$4,IF(OR('TRANSPORT DASHBOARD'!$C$4="",ISNUMBER(SEARCH('TRANSPORT DASHBOARD'!$C$4,INDEX(MASTER_ZONES!$B:$B,608)))),607,""),""),""))</f>
        <v/>
      </c>
    </row>
    <row r="609">
      <c r="A609">
        <f>IF('WSF DASHBOARD'!$B$4="Area",IF(608&lt;=$D$3,IF(OR('WSF DASHBOARD'!$C$4="",ISNUMBER(SEARCH('WSF DASHBOARD'!$C$4,INDEX(MASTER_AREAS!$B:$B,609)))),608,""),""),IF('WSF DASHBOARD'!$B$4="Zone",IF(608&lt;=$D$4,IF(OR('WSF DASHBOARD'!$C$4="",ISNUMBER(SEARCH('WSF DASHBOARD'!$C$4,INDEX(MASTER_ZONES!$B:$B,609)))),608,""),""),""))</f>
        <v/>
      </c>
      <c r="F609">
        <f>IF('TRANSPORT DASHBOARD'!$B$4="Area",IF(608&lt;=$I$3,IF(OR('TRANSPORT DASHBOARD'!$C$4="",ISNUMBER(SEARCH('TRANSPORT DASHBOARD'!$C$4,INDEX(MASTER_AREAS!$B:$B,609)))),608,""),""),IF('TRANSPORT DASHBOARD'!$B$4="Zone",IF(608&lt;=$I$4,IF(OR('TRANSPORT DASHBOARD'!$C$4="",ISNUMBER(SEARCH('TRANSPORT DASHBOARD'!$C$4,INDEX(MASTER_ZONES!$B:$B,609)))),608,""),""),""))</f>
        <v/>
      </c>
    </row>
    <row r="610">
      <c r="A610">
        <f>IF('WSF DASHBOARD'!$B$4="Area",IF(609&lt;=$D$3,IF(OR('WSF DASHBOARD'!$C$4="",ISNUMBER(SEARCH('WSF DASHBOARD'!$C$4,INDEX(MASTER_AREAS!$B:$B,610)))),609,""),""),IF('WSF DASHBOARD'!$B$4="Zone",IF(609&lt;=$D$4,IF(OR('WSF DASHBOARD'!$C$4="",ISNUMBER(SEARCH('WSF DASHBOARD'!$C$4,INDEX(MASTER_ZONES!$B:$B,610)))),609,""),""),""))</f>
        <v/>
      </c>
      <c r="F610">
        <f>IF('TRANSPORT DASHBOARD'!$B$4="Area",IF(609&lt;=$I$3,IF(OR('TRANSPORT DASHBOARD'!$C$4="",ISNUMBER(SEARCH('TRANSPORT DASHBOARD'!$C$4,INDEX(MASTER_AREAS!$B:$B,610)))),609,""),""),IF('TRANSPORT DASHBOARD'!$B$4="Zone",IF(609&lt;=$I$4,IF(OR('TRANSPORT DASHBOARD'!$C$4="",ISNUMBER(SEARCH('TRANSPORT DASHBOARD'!$C$4,INDEX(MASTER_ZONES!$B:$B,610)))),609,""),""),""))</f>
        <v/>
      </c>
    </row>
    <row r="611">
      <c r="A611">
        <f>IF('WSF DASHBOARD'!$B$4="Area",IF(610&lt;=$D$3,IF(OR('WSF DASHBOARD'!$C$4="",ISNUMBER(SEARCH('WSF DASHBOARD'!$C$4,INDEX(MASTER_AREAS!$B:$B,611)))),610,""),""),IF('WSF DASHBOARD'!$B$4="Zone",IF(610&lt;=$D$4,IF(OR('WSF DASHBOARD'!$C$4="",ISNUMBER(SEARCH('WSF DASHBOARD'!$C$4,INDEX(MASTER_ZONES!$B:$B,611)))),610,""),""),""))</f>
        <v/>
      </c>
      <c r="F611">
        <f>IF('TRANSPORT DASHBOARD'!$B$4="Area",IF(610&lt;=$I$3,IF(OR('TRANSPORT DASHBOARD'!$C$4="",ISNUMBER(SEARCH('TRANSPORT DASHBOARD'!$C$4,INDEX(MASTER_AREAS!$B:$B,611)))),610,""),""),IF('TRANSPORT DASHBOARD'!$B$4="Zone",IF(610&lt;=$I$4,IF(OR('TRANSPORT DASHBOARD'!$C$4="",ISNUMBER(SEARCH('TRANSPORT DASHBOARD'!$C$4,INDEX(MASTER_ZONES!$B:$B,611)))),610,""),""),""))</f>
        <v/>
      </c>
    </row>
    <row r="612">
      <c r="A612">
        <f>IF('WSF DASHBOARD'!$B$4="Area",IF(611&lt;=$D$3,IF(OR('WSF DASHBOARD'!$C$4="",ISNUMBER(SEARCH('WSF DASHBOARD'!$C$4,INDEX(MASTER_AREAS!$B:$B,612)))),611,""),""),IF('WSF DASHBOARD'!$B$4="Zone",IF(611&lt;=$D$4,IF(OR('WSF DASHBOARD'!$C$4="",ISNUMBER(SEARCH('WSF DASHBOARD'!$C$4,INDEX(MASTER_ZONES!$B:$B,612)))),611,""),""),""))</f>
        <v/>
      </c>
      <c r="F612">
        <f>IF('TRANSPORT DASHBOARD'!$B$4="Area",IF(611&lt;=$I$3,IF(OR('TRANSPORT DASHBOARD'!$C$4="",ISNUMBER(SEARCH('TRANSPORT DASHBOARD'!$C$4,INDEX(MASTER_AREAS!$B:$B,612)))),611,""),""),IF('TRANSPORT DASHBOARD'!$B$4="Zone",IF(611&lt;=$I$4,IF(OR('TRANSPORT DASHBOARD'!$C$4="",ISNUMBER(SEARCH('TRANSPORT DASHBOARD'!$C$4,INDEX(MASTER_ZONES!$B:$B,612)))),611,""),""),""))</f>
        <v/>
      </c>
    </row>
    <row r="613">
      <c r="A613">
        <f>IF('WSF DASHBOARD'!$B$4="Area",IF(612&lt;=$D$3,IF(OR('WSF DASHBOARD'!$C$4="",ISNUMBER(SEARCH('WSF DASHBOARD'!$C$4,INDEX(MASTER_AREAS!$B:$B,613)))),612,""),""),IF('WSF DASHBOARD'!$B$4="Zone",IF(612&lt;=$D$4,IF(OR('WSF DASHBOARD'!$C$4="",ISNUMBER(SEARCH('WSF DASHBOARD'!$C$4,INDEX(MASTER_ZONES!$B:$B,613)))),612,""),""),""))</f>
        <v/>
      </c>
      <c r="F613">
        <f>IF('TRANSPORT DASHBOARD'!$B$4="Area",IF(612&lt;=$I$3,IF(OR('TRANSPORT DASHBOARD'!$C$4="",ISNUMBER(SEARCH('TRANSPORT DASHBOARD'!$C$4,INDEX(MASTER_AREAS!$B:$B,613)))),612,""),""),IF('TRANSPORT DASHBOARD'!$B$4="Zone",IF(612&lt;=$I$4,IF(OR('TRANSPORT DASHBOARD'!$C$4="",ISNUMBER(SEARCH('TRANSPORT DASHBOARD'!$C$4,INDEX(MASTER_ZONES!$B:$B,613)))),612,""),""),""))</f>
        <v/>
      </c>
    </row>
    <row r="614">
      <c r="A614">
        <f>IF('WSF DASHBOARD'!$B$4="Area",IF(613&lt;=$D$3,IF(OR('WSF DASHBOARD'!$C$4="",ISNUMBER(SEARCH('WSF DASHBOARD'!$C$4,INDEX(MASTER_AREAS!$B:$B,614)))),613,""),""),IF('WSF DASHBOARD'!$B$4="Zone",IF(613&lt;=$D$4,IF(OR('WSF DASHBOARD'!$C$4="",ISNUMBER(SEARCH('WSF DASHBOARD'!$C$4,INDEX(MASTER_ZONES!$B:$B,614)))),613,""),""),""))</f>
        <v/>
      </c>
      <c r="F614">
        <f>IF('TRANSPORT DASHBOARD'!$B$4="Area",IF(613&lt;=$I$3,IF(OR('TRANSPORT DASHBOARD'!$C$4="",ISNUMBER(SEARCH('TRANSPORT DASHBOARD'!$C$4,INDEX(MASTER_AREAS!$B:$B,614)))),613,""),""),IF('TRANSPORT DASHBOARD'!$B$4="Zone",IF(613&lt;=$I$4,IF(OR('TRANSPORT DASHBOARD'!$C$4="",ISNUMBER(SEARCH('TRANSPORT DASHBOARD'!$C$4,INDEX(MASTER_ZONES!$B:$B,614)))),613,""),""),""))</f>
        <v/>
      </c>
    </row>
    <row r="615">
      <c r="A615">
        <f>IF('WSF DASHBOARD'!$B$4="Area",IF(614&lt;=$D$3,IF(OR('WSF DASHBOARD'!$C$4="",ISNUMBER(SEARCH('WSF DASHBOARD'!$C$4,INDEX(MASTER_AREAS!$B:$B,615)))),614,""),""),IF('WSF DASHBOARD'!$B$4="Zone",IF(614&lt;=$D$4,IF(OR('WSF DASHBOARD'!$C$4="",ISNUMBER(SEARCH('WSF DASHBOARD'!$C$4,INDEX(MASTER_ZONES!$B:$B,615)))),614,""),""),""))</f>
        <v/>
      </c>
      <c r="F615">
        <f>IF('TRANSPORT DASHBOARD'!$B$4="Area",IF(614&lt;=$I$3,IF(OR('TRANSPORT DASHBOARD'!$C$4="",ISNUMBER(SEARCH('TRANSPORT DASHBOARD'!$C$4,INDEX(MASTER_AREAS!$B:$B,615)))),614,""),""),IF('TRANSPORT DASHBOARD'!$B$4="Zone",IF(614&lt;=$I$4,IF(OR('TRANSPORT DASHBOARD'!$C$4="",ISNUMBER(SEARCH('TRANSPORT DASHBOARD'!$C$4,INDEX(MASTER_ZONES!$B:$B,615)))),614,""),""),""))</f>
        <v/>
      </c>
    </row>
    <row r="616">
      <c r="A616">
        <f>IF('WSF DASHBOARD'!$B$4="Area",IF(615&lt;=$D$3,IF(OR('WSF DASHBOARD'!$C$4="",ISNUMBER(SEARCH('WSF DASHBOARD'!$C$4,INDEX(MASTER_AREAS!$B:$B,616)))),615,""),""),IF('WSF DASHBOARD'!$B$4="Zone",IF(615&lt;=$D$4,IF(OR('WSF DASHBOARD'!$C$4="",ISNUMBER(SEARCH('WSF DASHBOARD'!$C$4,INDEX(MASTER_ZONES!$B:$B,616)))),615,""),""),""))</f>
        <v/>
      </c>
      <c r="F616">
        <f>IF('TRANSPORT DASHBOARD'!$B$4="Area",IF(615&lt;=$I$3,IF(OR('TRANSPORT DASHBOARD'!$C$4="",ISNUMBER(SEARCH('TRANSPORT DASHBOARD'!$C$4,INDEX(MASTER_AREAS!$B:$B,616)))),615,""),""),IF('TRANSPORT DASHBOARD'!$B$4="Zone",IF(615&lt;=$I$4,IF(OR('TRANSPORT DASHBOARD'!$C$4="",ISNUMBER(SEARCH('TRANSPORT DASHBOARD'!$C$4,INDEX(MASTER_ZONES!$B:$B,616)))),615,""),""),""))</f>
        <v/>
      </c>
    </row>
    <row r="617">
      <c r="A617">
        <f>IF('WSF DASHBOARD'!$B$4="Area",IF(616&lt;=$D$3,IF(OR('WSF DASHBOARD'!$C$4="",ISNUMBER(SEARCH('WSF DASHBOARD'!$C$4,INDEX(MASTER_AREAS!$B:$B,617)))),616,""),""),IF('WSF DASHBOARD'!$B$4="Zone",IF(616&lt;=$D$4,IF(OR('WSF DASHBOARD'!$C$4="",ISNUMBER(SEARCH('WSF DASHBOARD'!$C$4,INDEX(MASTER_ZONES!$B:$B,617)))),616,""),""),""))</f>
        <v/>
      </c>
      <c r="F617">
        <f>IF('TRANSPORT DASHBOARD'!$B$4="Area",IF(616&lt;=$I$3,IF(OR('TRANSPORT DASHBOARD'!$C$4="",ISNUMBER(SEARCH('TRANSPORT DASHBOARD'!$C$4,INDEX(MASTER_AREAS!$B:$B,617)))),616,""),""),IF('TRANSPORT DASHBOARD'!$B$4="Zone",IF(616&lt;=$I$4,IF(OR('TRANSPORT DASHBOARD'!$C$4="",ISNUMBER(SEARCH('TRANSPORT DASHBOARD'!$C$4,INDEX(MASTER_ZONES!$B:$B,617)))),616,""),""),""))</f>
        <v/>
      </c>
    </row>
    <row r="618">
      <c r="A618">
        <f>IF('WSF DASHBOARD'!$B$4="Area",IF(617&lt;=$D$3,IF(OR('WSF DASHBOARD'!$C$4="",ISNUMBER(SEARCH('WSF DASHBOARD'!$C$4,INDEX(MASTER_AREAS!$B:$B,618)))),617,""),""),IF('WSF DASHBOARD'!$B$4="Zone",IF(617&lt;=$D$4,IF(OR('WSF DASHBOARD'!$C$4="",ISNUMBER(SEARCH('WSF DASHBOARD'!$C$4,INDEX(MASTER_ZONES!$B:$B,618)))),617,""),""),""))</f>
        <v/>
      </c>
      <c r="F618">
        <f>IF('TRANSPORT DASHBOARD'!$B$4="Area",IF(617&lt;=$I$3,IF(OR('TRANSPORT DASHBOARD'!$C$4="",ISNUMBER(SEARCH('TRANSPORT DASHBOARD'!$C$4,INDEX(MASTER_AREAS!$B:$B,618)))),617,""),""),IF('TRANSPORT DASHBOARD'!$B$4="Zone",IF(617&lt;=$I$4,IF(OR('TRANSPORT DASHBOARD'!$C$4="",ISNUMBER(SEARCH('TRANSPORT DASHBOARD'!$C$4,INDEX(MASTER_ZONES!$B:$B,618)))),617,""),""),""))</f>
        <v/>
      </c>
    </row>
    <row r="619">
      <c r="A619">
        <f>IF('WSF DASHBOARD'!$B$4="Area",IF(618&lt;=$D$3,IF(OR('WSF DASHBOARD'!$C$4="",ISNUMBER(SEARCH('WSF DASHBOARD'!$C$4,INDEX(MASTER_AREAS!$B:$B,619)))),618,""),""),IF('WSF DASHBOARD'!$B$4="Zone",IF(618&lt;=$D$4,IF(OR('WSF DASHBOARD'!$C$4="",ISNUMBER(SEARCH('WSF DASHBOARD'!$C$4,INDEX(MASTER_ZONES!$B:$B,619)))),618,""),""),""))</f>
        <v/>
      </c>
      <c r="F619">
        <f>IF('TRANSPORT DASHBOARD'!$B$4="Area",IF(618&lt;=$I$3,IF(OR('TRANSPORT DASHBOARD'!$C$4="",ISNUMBER(SEARCH('TRANSPORT DASHBOARD'!$C$4,INDEX(MASTER_AREAS!$B:$B,619)))),618,""),""),IF('TRANSPORT DASHBOARD'!$B$4="Zone",IF(618&lt;=$I$4,IF(OR('TRANSPORT DASHBOARD'!$C$4="",ISNUMBER(SEARCH('TRANSPORT DASHBOARD'!$C$4,INDEX(MASTER_ZONES!$B:$B,619)))),618,""),""),""))</f>
        <v/>
      </c>
    </row>
    <row r="620">
      <c r="A620">
        <f>IF('WSF DASHBOARD'!$B$4="Area",IF(619&lt;=$D$3,IF(OR('WSF DASHBOARD'!$C$4="",ISNUMBER(SEARCH('WSF DASHBOARD'!$C$4,INDEX(MASTER_AREAS!$B:$B,620)))),619,""),""),IF('WSF DASHBOARD'!$B$4="Zone",IF(619&lt;=$D$4,IF(OR('WSF DASHBOARD'!$C$4="",ISNUMBER(SEARCH('WSF DASHBOARD'!$C$4,INDEX(MASTER_ZONES!$B:$B,620)))),619,""),""),""))</f>
        <v/>
      </c>
      <c r="F620">
        <f>IF('TRANSPORT DASHBOARD'!$B$4="Area",IF(619&lt;=$I$3,IF(OR('TRANSPORT DASHBOARD'!$C$4="",ISNUMBER(SEARCH('TRANSPORT DASHBOARD'!$C$4,INDEX(MASTER_AREAS!$B:$B,620)))),619,""),""),IF('TRANSPORT DASHBOARD'!$B$4="Zone",IF(619&lt;=$I$4,IF(OR('TRANSPORT DASHBOARD'!$C$4="",ISNUMBER(SEARCH('TRANSPORT DASHBOARD'!$C$4,INDEX(MASTER_ZONES!$B:$B,620)))),619,""),""),""))</f>
        <v/>
      </c>
    </row>
    <row r="621">
      <c r="A621">
        <f>IF('WSF DASHBOARD'!$B$4="Area",IF(620&lt;=$D$3,IF(OR('WSF DASHBOARD'!$C$4="",ISNUMBER(SEARCH('WSF DASHBOARD'!$C$4,INDEX(MASTER_AREAS!$B:$B,621)))),620,""),""),IF('WSF DASHBOARD'!$B$4="Zone",IF(620&lt;=$D$4,IF(OR('WSF DASHBOARD'!$C$4="",ISNUMBER(SEARCH('WSF DASHBOARD'!$C$4,INDEX(MASTER_ZONES!$B:$B,621)))),620,""),""),""))</f>
        <v/>
      </c>
      <c r="F621">
        <f>IF('TRANSPORT DASHBOARD'!$B$4="Area",IF(620&lt;=$I$3,IF(OR('TRANSPORT DASHBOARD'!$C$4="",ISNUMBER(SEARCH('TRANSPORT DASHBOARD'!$C$4,INDEX(MASTER_AREAS!$B:$B,621)))),620,""),""),IF('TRANSPORT DASHBOARD'!$B$4="Zone",IF(620&lt;=$I$4,IF(OR('TRANSPORT DASHBOARD'!$C$4="",ISNUMBER(SEARCH('TRANSPORT DASHBOARD'!$C$4,INDEX(MASTER_ZONES!$B:$B,621)))),620,""),""),""))</f>
        <v/>
      </c>
    </row>
    <row r="622">
      <c r="A622">
        <f>IF('WSF DASHBOARD'!$B$4="Area",IF(621&lt;=$D$3,IF(OR('WSF DASHBOARD'!$C$4="",ISNUMBER(SEARCH('WSF DASHBOARD'!$C$4,INDEX(MASTER_AREAS!$B:$B,622)))),621,""),""),IF('WSF DASHBOARD'!$B$4="Zone",IF(621&lt;=$D$4,IF(OR('WSF DASHBOARD'!$C$4="",ISNUMBER(SEARCH('WSF DASHBOARD'!$C$4,INDEX(MASTER_ZONES!$B:$B,622)))),621,""),""),""))</f>
        <v/>
      </c>
      <c r="F622">
        <f>IF('TRANSPORT DASHBOARD'!$B$4="Area",IF(621&lt;=$I$3,IF(OR('TRANSPORT DASHBOARD'!$C$4="",ISNUMBER(SEARCH('TRANSPORT DASHBOARD'!$C$4,INDEX(MASTER_AREAS!$B:$B,622)))),621,""),""),IF('TRANSPORT DASHBOARD'!$B$4="Zone",IF(621&lt;=$I$4,IF(OR('TRANSPORT DASHBOARD'!$C$4="",ISNUMBER(SEARCH('TRANSPORT DASHBOARD'!$C$4,INDEX(MASTER_ZONES!$B:$B,622)))),621,""),""),""))</f>
        <v/>
      </c>
    </row>
    <row r="623">
      <c r="A623">
        <f>IF('WSF DASHBOARD'!$B$4="Area",IF(622&lt;=$D$3,IF(OR('WSF DASHBOARD'!$C$4="",ISNUMBER(SEARCH('WSF DASHBOARD'!$C$4,INDEX(MASTER_AREAS!$B:$B,623)))),622,""),""),IF('WSF DASHBOARD'!$B$4="Zone",IF(622&lt;=$D$4,IF(OR('WSF DASHBOARD'!$C$4="",ISNUMBER(SEARCH('WSF DASHBOARD'!$C$4,INDEX(MASTER_ZONES!$B:$B,623)))),622,""),""),""))</f>
        <v/>
      </c>
      <c r="F623">
        <f>IF('TRANSPORT DASHBOARD'!$B$4="Area",IF(622&lt;=$I$3,IF(OR('TRANSPORT DASHBOARD'!$C$4="",ISNUMBER(SEARCH('TRANSPORT DASHBOARD'!$C$4,INDEX(MASTER_AREAS!$B:$B,623)))),622,""),""),IF('TRANSPORT DASHBOARD'!$B$4="Zone",IF(622&lt;=$I$4,IF(OR('TRANSPORT DASHBOARD'!$C$4="",ISNUMBER(SEARCH('TRANSPORT DASHBOARD'!$C$4,INDEX(MASTER_ZONES!$B:$B,623)))),622,""),""),""))</f>
        <v/>
      </c>
    </row>
    <row r="624">
      <c r="A624">
        <f>IF('WSF DASHBOARD'!$B$4="Area",IF(623&lt;=$D$3,IF(OR('WSF DASHBOARD'!$C$4="",ISNUMBER(SEARCH('WSF DASHBOARD'!$C$4,INDEX(MASTER_AREAS!$B:$B,624)))),623,""),""),IF('WSF DASHBOARD'!$B$4="Zone",IF(623&lt;=$D$4,IF(OR('WSF DASHBOARD'!$C$4="",ISNUMBER(SEARCH('WSF DASHBOARD'!$C$4,INDEX(MASTER_ZONES!$B:$B,624)))),623,""),""),""))</f>
        <v/>
      </c>
      <c r="F624">
        <f>IF('TRANSPORT DASHBOARD'!$B$4="Area",IF(623&lt;=$I$3,IF(OR('TRANSPORT DASHBOARD'!$C$4="",ISNUMBER(SEARCH('TRANSPORT DASHBOARD'!$C$4,INDEX(MASTER_AREAS!$B:$B,624)))),623,""),""),IF('TRANSPORT DASHBOARD'!$B$4="Zone",IF(623&lt;=$I$4,IF(OR('TRANSPORT DASHBOARD'!$C$4="",ISNUMBER(SEARCH('TRANSPORT DASHBOARD'!$C$4,INDEX(MASTER_ZONES!$B:$B,624)))),623,""),""),""))</f>
        <v/>
      </c>
    </row>
    <row r="625">
      <c r="A625">
        <f>IF('WSF DASHBOARD'!$B$4="Area",IF(624&lt;=$D$3,IF(OR('WSF DASHBOARD'!$C$4="",ISNUMBER(SEARCH('WSF DASHBOARD'!$C$4,INDEX(MASTER_AREAS!$B:$B,625)))),624,""),""),IF('WSF DASHBOARD'!$B$4="Zone",IF(624&lt;=$D$4,IF(OR('WSF DASHBOARD'!$C$4="",ISNUMBER(SEARCH('WSF DASHBOARD'!$C$4,INDEX(MASTER_ZONES!$B:$B,625)))),624,""),""),""))</f>
        <v/>
      </c>
      <c r="F625">
        <f>IF('TRANSPORT DASHBOARD'!$B$4="Area",IF(624&lt;=$I$3,IF(OR('TRANSPORT DASHBOARD'!$C$4="",ISNUMBER(SEARCH('TRANSPORT DASHBOARD'!$C$4,INDEX(MASTER_AREAS!$B:$B,625)))),624,""),""),IF('TRANSPORT DASHBOARD'!$B$4="Zone",IF(624&lt;=$I$4,IF(OR('TRANSPORT DASHBOARD'!$C$4="",ISNUMBER(SEARCH('TRANSPORT DASHBOARD'!$C$4,INDEX(MASTER_ZONES!$B:$B,625)))),624,""),""),""))</f>
        <v/>
      </c>
    </row>
    <row r="626">
      <c r="A626">
        <f>IF('WSF DASHBOARD'!$B$4="Area",IF(625&lt;=$D$3,IF(OR('WSF DASHBOARD'!$C$4="",ISNUMBER(SEARCH('WSF DASHBOARD'!$C$4,INDEX(MASTER_AREAS!$B:$B,626)))),625,""),""),IF('WSF DASHBOARD'!$B$4="Zone",IF(625&lt;=$D$4,IF(OR('WSF DASHBOARD'!$C$4="",ISNUMBER(SEARCH('WSF DASHBOARD'!$C$4,INDEX(MASTER_ZONES!$B:$B,626)))),625,""),""),""))</f>
        <v/>
      </c>
      <c r="F626">
        <f>IF('TRANSPORT DASHBOARD'!$B$4="Area",IF(625&lt;=$I$3,IF(OR('TRANSPORT DASHBOARD'!$C$4="",ISNUMBER(SEARCH('TRANSPORT DASHBOARD'!$C$4,INDEX(MASTER_AREAS!$B:$B,626)))),625,""),""),IF('TRANSPORT DASHBOARD'!$B$4="Zone",IF(625&lt;=$I$4,IF(OR('TRANSPORT DASHBOARD'!$C$4="",ISNUMBER(SEARCH('TRANSPORT DASHBOARD'!$C$4,INDEX(MASTER_ZONES!$B:$B,626)))),625,""),""),""))</f>
        <v/>
      </c>
    </row>
    <row r="627">
      <c r="A627">
        <f>IF('WSF DASHBOARD'!$B$4="Area",IF(626&lt;=$D$3,IF(OR('WSF DASHBOARD'!$C$4="",ISNUMBER(SEARCH('WSF DASHBOARD'!$C$4,INDEX(MASTER_AREAS!$B:$B,627)))),626,""),""),IF('WSF DASHBOARD'!$B$4="Zone",IF(626&lt;=$D$4,IF(OR('WSF DASHBOARD'!$C$4="",ISNUMBER(SEARCH('WSF DASHBOARD'!$C$4,INDEX(MASTER_ZONES!$B:$B,627)))),626,""),""),""))</f>
        <v/>
      </c>
      <c r="F627">
        <f>IF('TRANSPORT DASHBOARD'!$B$4="Area",IF(626&lt;=$I$3,IF(OR('TRANSPORT DASHBOARD'!$C$4="",ISNUMBER(SEARCH('TRANSPORT DASHBOARD'!$C$4,INDEX(MASTER_AREAS!$B:$B,627)))),626,""),""),IF('TRANSPORT DASHBOARD'!$B$4="Zone",IF(626&lt;=$I$4,IF(OR('TRANSPORT DASHBOARD'!$C$4="",ISNUMBER(SEARCH('TRANSPORT DASHBOARD'!$C$4,INDEX(MASTER_ZONES!$B:$B,627)))),626,""),""),""))</f>
        <v/>
      </c>
    </row>
    <row r="628">
      <c r="A628">
        <f>IF('WSF DASHBOARD'!$B$4="Area",IF(627&lt;=$D$3,IF(OR('WSF DASHBOARD'!$C$4="",ISNUMBER(SEARCH('WSF DASHBOARD'!$C$4,INDEX(MASTER_AREAS!$B:$B,628)))),627,""),""),IF('WSF DASHBOARD'!$B$4="Zone",IF(627&lt;=$D$4,IF(OR('WSF DASHBOARD'!$C$4="",ISNUMBER(SEARCH('WSF DASHBOARD'!$C$4,INDEX(MASTER_ZONES!$B:$B,628)))),627,""),""),""))</f>
        <v/>
      </c>
      <c r="F628">
        <f>IF('TRANSPORT DASHBOARD'!$B$4="Area",IF(627&lt;=$I$3,IF(OR('TRANSPORT DASHBOARD'!$C$4="",ISNUMBER(SEARCH('TRANSPORT DASHBOARD'!$C$4,INDEX(MASTER_AREAS!$B:$B,628)))),627,""),""),IF('TRANSPORT DASHBOARD'!$B$4="Zone",IF(627&lt;=$I$4,IF(OR('TRANSPORT DASHBOARD'!$C$4="",ISNUMBER(SEARCH('TRANSPORT DASHBOARD'!$C$4,INDEX(MASTER_ZONES!$B:$B,628)))),627,""),""),""))</f>
        <v/>
      </c>
    </row>
    <row r="629">
      <c r="A629">
        <f>IF('WSF DASHBOARD'!$B$4="Area",IF(628&lt;=$D$3,IF(OR('WSF DASHBOARD'!$C$4="",ISNUMBER(SEARCH('WSF DASHBOARD'!$C$4,INDEX(MASTER_AREAS!$B:$B,629)))),628,""),""),IF('WSF DASHBOARD'!$B$4="Zone",IF(628&lt;=$D$4,IF(OR('WSF DASHBOARD'!$C$4="",ISNUMBER(SEARCH('WSF DASHBOARD'!$C$4,INDEX(MASTER_ZONES!$B:$B,629)))),628,""),""),""))</f>
        <v/>
      </c>
      <c r="F629">
        <f>IF('TRANSPORT DASHBOARD'!$B$4="Area",IF(628&lt;=$I$3,IF(OR('TRANSPORT DASHBOARD'!$C$4="",ISNUMBER(SEARCH('TRANSPORT DASHBOARD'!$C$4,INDEX(MASTER_AREAS!$B:$B,629)))),628,""),""),IF('TRANSPORT DASHBOARD'!$B$4="Zone",IF(628&lt;=$I$4,IF(OR('TRANSPORT DASHBOARD'!$C$4="",ISNUMBER(SEARCH('TRANSPORT DASHBOARD'!$C$4,INDEX(MASTER_ZONES!$B:$B,629)))),628,""),""),""))</f>
        <v/>
      </c>
    </row>
    <row r="630">
      <c r="A630">
        <f>IF('WSF DASHBOARD'!$B$4="Area",IF(629&lt;=$D$3,IF(OR('WSF DASHBOARD'!$C$4="",ISNUMBER(SEARCH('WSF DASHBOARD'!$C$4,INDEX(MASTER_AREAS!$B:$B,630)))),629,""),""),IF('WSF DASHBOARD'!$B$4="Zone",IF(629&lt;=$D$4,IF(OR('WSF DASHBOARD'!$C$4="",ISNUMBER(SEARCH('WSF DASHBOARD'!$C$4,INDEX(MASTER_ZONES!$B:$B,630)))),629,""),""),""))</f>
        <v/>
      </c>
      <c r="F630">
        <f>IF('TRANSPORT DASHBOARD'!$B$4="Area",IF(629&lt;=$I$3,IF(OR('TRANSPORT DASHBOARD'!$C$4="",ISNUMBER(SEARCH('TRANSPORT DASHBOARD'!$C$4,INDEX(MASTER_AREAS!$B:$B,630)))),629,""),""),IF('TRANSPORT DASHBOARD'!$B$4="Zone",IF(629&lt;=$I$4,IF(OR('TRANSPORT DASHBOARD'!$C$4="",ISNUMBER(SEARCH('TRANSPORT DASHBOARD'!$C$4,INDEX(MASTER_ZONES!$B:$B,630)))),629,""),""),""))</f>
        <v/>
      </c>
    </row>
    <row r="631">
      <c r="A631">
        <f>IF('WSF DASHBOARD'!$B$4="Area",IF(630&lt;=$D$3,IF(OR('WSF DASHBOARD'!$C$4="",ISNUMBER(SEARCH('WSF DASHBOARD'!$C$4,INDEX(MASTER_AREAS!$B:$B,631)))),630,""),""),IF('WSF DASHBOARD'!$B$4="Zone",IF(630&lt;=$D$4,IF(OR('WSF DASHBOARD'!$C$4="",ISNUMBER(SEARCH('WSF DASHBOARD'!$C$4,INDEX(MASTER_ZONES!$B:$B,631)))),630,""),""),""))</f>
        <v/>
      </c>
      <c r="F631">
        <f>IF('TRANSPORT DASHBOARD'!$B$4="Area",IF(630&lt;=$I$3,IF(OR('TRANSPORT DASHBOARD'!$C$4="",ISNUMBER(SEARCH('TRANSPORT DASHBOARD'!$C$4,INDEX(MASTER_AREAS!$B:$B,631)))),630,""),""),IF('TRANSPORT DASHBOARD'!$B$4="Zone",IF(630&lt;=$I$4,IF(OR('TRANSPORT DASHBOARD'!$C$4="",ISNUMBER(SEARCH('TRANSPORT DASHBOARD'!$C$4,INDEX(MASTER_ZONES!$B:$B,631)))),630,""),""),""))</f>
        <v/>
      </c>
    </row>
    <row r="632">
      <c r="A632">
        <f>IF('WSF DASHBOARD'!$B$4="Area",IF(631&lt;=$D$3,IF(OR('WSF DASHBOARD'!$C$4="",ISNUMBER(SEARCH('WSF DASHBOARD'!$C$4,INDEX(MASTER_AREAS!$B:$B,632)))),631,""),""),IF('WSF DASHBOARD'!$B$4="Zone",IF(631&lt;=$D$4,IF(OR('WSF DASHBOARD'!$C$4="",ISNUMBER(SEARCH('WSF DASHBOARD'!$C$4,INDEX(MASTER_ZONES!$B:$B,632)))),631,""),""),""))</f>
        <v/>
      </c>
      <c r="F632">
        <f>IF('TRANSPORT DASHBOARD'!$B$4="Area",IF(631&lt;=$I$3,IF(OR('TRANSPORT DASHBOARD'!$C$4="",ISNUMBER(SEARCH('TRANSPORT DASHBOARD'!$C$4,INDEX(MASTER_AREAS!$B:$B,632)))),631,""),""),IF('TRANSPORT DASHBOARD'!$B$4="Zone",IF(631&lt;=$I$4,IF(OR('TRANSPORT DASHBOARD'!$C$4="",ISNUMBER(SEARCH('TRANSPORT DASHBOARD'!$C$4,INDEX(MASTER_ZONES!$B:$B,632)))),631,""),""),""))</f>
        <v/>
      </c>
    </row>
    <row r="633">
      <c r="A633">
        <f>IF('WSF DASHBOARD'!$B$4="Area",IF(632&lt;=$D$3,IF(OR('WSF DASHBOARD'!$C$4="",ISNUMBER(SEARCH('WSF DASHBOARD'!$C$4,INDEX(MASTER_AREAS!$B:$B,633)))),632,""),""),IF('WSF DASHBOARD'!$B$4="Zone",IF(632&lt;=$D$4,IF(OR('WSF DASHBOARD'!$C$4="",ISNUMBER(SEARCH('WSF DASHBOARD'!$C$4,INDEX(MASTER_ZONES!$B:$B,633)))),632,""),""),""))</f>
        <v/>
      </c>
      <c r="F633">
        <f>IF('TRANSPORT DASHBOARD'!$B$4="Area",IF(632&lt;=$I$3,IF(OR('TRANSPORT DASHBOARD'!$C$4="",ISNUMBER(SEARCH('TRANSPORT DASHBOARD'!$C$4,INDEX(MASTER_AREAS!$B:$B,633)))),632,""),""),IF('TRANSPORT DASHBOARD'!$B$4="Zone",IF(632&lt;=$I$4,IF(OR('TRANSPORT DASHBOARD'!$C$4="",ISNUMBER(SEARCH('TRANSPORT DASHBOARD'!$C$4,INDEX(MASTER_ZONES!$B:$B,633)))),632,""),""),""))</f>
        <v/>
      </c>
    </row>
    <row r="634">
      <c r="A634">
        <f>IF('WSF DASHBOARD'!$B$4="Area",IF(633&lt;=$D$3,IF(OR('WSF DASHBOARD'!$C$4="",ISNUMBER(SEARCH('WSF DASHBOARD'!$C$4,INDEX(MASTER_AREAS!$B:$B,634)))),633,""),""),IF('WSF DASHBOARD'!$B$4="Zone",IF(633&lt;=$D$4,IF(OR('WSF DASHBOARD'!$C$4="",ISNUMBER(SEARCH('WSF DASHBOARD'!$C$4,INDEX(MASTER_ZONES!$B:$B,634)))),633,""),""),""))</f>
        <v/>
      </c>
      <c r="F634">
        <f>IF('TRANSPORT DASHBOARD'!$B$4="Area",IF(633&lt;=$I$3,IF(OR('TRANSPORT DASHBOARD'!$C$4="",ISNUMBER(SEARCH('TRANSPORT DASHBOARD'!$C$4,INDEX(MASTER_AREAS!$B:$B,634)))),633,""),""),IF('TRANSPORT DASHBOARD'!$B$4="Zone",IF(633&lt;=$I$4,IF(OR('TRANSPORT DASHBOARD'!$C$4="",ISNUMBER(SEARCH('TRANSPORT DASHBOARD'!$C$4,INDEX(MASTER_ZONES!$B:$B,634)))),633,""),""),""))</f>
        <v/>
      </c>
    </row>
    <row r="635">
      <c r="A635">
        <f>IF('WSF DASHBOARD'!$B$4="Area",IF(634&lt;=$D$3,IF(OR('WSF DASHBOARD'!$C$4="",ISNUMBER(SEARCH('WSF DASHBOARD'!$C$4,INDEX(MASTER_AREAS!$B:$B,635)))),634,""),""),IF('WSF DASHBOARD'!$B$4="Zone",IF(634&lt;=$D$4,IF(OR('WSF DASHBOARD'!$C$4="",ISNUMBER(SEARCH('WSF DASHBOARD'!$C$4,INDEX(MASTER_ZONES!$B:$B,635)))),634,""),""),""))</f>
        <v/>
      </c>
      <c r="F635">
        <f>IF('TRANSPORT DASHBOARD'!$B$4="Area",IF(634&lt;=$I$3,IF(OR('TRANSPORT DASHBOARD'!$C$4="",ISNUMBER(SEARCH('TRANSPORT DASHBOARD'!$C$4,INDEX(MASTER_AREAS!$B:$B,635)))),634,""),""),IF('TRANSPORT DASHBOARD'!$B$4="Zone",IF(634&lt;=$I$4,IF(OR('TRANSPORT DASHBOARD'!$C$4="",ISNUMBER(SEARCH('TRANSPORT DASHBOARD'!$C$4,INDEX(MASTER_ZONES!$B:$B,635)))),634,""),""),""))</f>
        <v/>
      </c>
    </row>
    <row r="636">
      <c r="A636">
        <f>IF('WSF DASHBOARD'!$B$4="Area",IF(635&lt;=$D$3,IF(OR('WSF DASHBOARD'!$C$4="",ISNUMBER(SEARCH('WSF DASHBOARD'!$C$4,INDEX(MASTER_AREAS!$B:$B,636)))),635,""),""),IF('WSF DASHBOARD'!$B$4="Zone",IF(635&lt;=$D$4,IF(OR('WSF DASHBOARD'!$C$4="",ISNUMBER(SEARCH('WSF DASHBOARD'!$C$4,INDEX(MASTER_ZONES!$B:$B,636)))),635,""),""),""))</f>
        <v/>
      </c>
      <c r="F636">
        <f>IF('TRANSPORT DASHBOARD'!$B$4="Area",IF(635&lt;=$I$3,IF(OR('TRANSPORT DASHBOARD'!$C$4="",ISNUMBER(SEARCH('TRANSPORT DASHBOARD'!$C$4,INDEX(MASTER_AREAS!$B:$B,636)))),635,""),""),IF('TRANSPORT DASHBOARD'!$B$4="Zone",IF(635&lt;=$I$4,IF(OR('TRANSPORT DASHBOARD'!$C$4="",ISNUMBER(SEARCH('TRANSPORT DASHBOARD'!$C$4,INDEX(MASTER_ZONES!$B:$B,636)))),635,""),""),""))</f>
        <v/>
      </c>
    </row>
    <row r="637">
      <c r="A637">
        <f>IF('WSF DASHBOARD'!$B$4="Area",IF(636&lt;=$D$3,IF(OR('WSF DASHBOARD'!$C$4="",ISNUMBER(SEARCH('WSF DASHBOARD'!$C$4,INDEX(MASTER_AREAS!$B:$B,637)))),636,""),""),IF('WSF DASHBOARD'!$B$4="Zone",IF(636&lt;=$D$4,IF(OR('WSF DASHBOARD'!$C$4="",ISNUMBER(SEARCH('WSF DASHBOARD'!$C$4,INDEX(MASTER_ZONES!$B:$B,637)))),636,""),""),""))</f>
        <v/>
      </c>
      <c r="F637">
        <f>IF('TRANSPORT DASHBOARD'!$B$4="Area",IF(636&lt;=$I$3,IF(OR('TRANSPORT DASHBOARD'!$C$4="",ISNUMBER(SEARCH('TRANSPORT DASHBOARD'!$C$4,INDEX(MASTER_AREAS!$B:$B,637)))),636,""),""),IF('TRANSPORT DASHBOARD'!$B$4="Zone",IF(636&lt;=$I$4,IF(OR('TRANSPORT DASHBOARD'!$C$4="",ISNUMBER(SEARCH('TRANSPORT DASHBOARD'!$C$4,INDEX(MASTER_ZONES!$B:$B,637)))),636,""),""),""))</f>
        <v/>
      </c>
    </row>
    <row r="638">
      <c r="A638">
        <f>IF('WSF DASHBOARD'!$B$4="Area",IF(637&lt;=$D$3,IF(OR('WSF DASHBOARD'!$C$4="",ISNUMBER(SEARCH('WSF DASHBOARD'!$C$4,INDEX(MASTER_AREAS!$B:$B,638)))),637,""),""),IF('WSF DASHBOARD'!$B$4="Zone",IF(637&lt;=$D$4,IF(OR('WSF DASHBOARD'!$C$4="",ISNUMBER(SEARCH('WSF DASHBOARD'!$C$4,INDEX(MASTER_ZONES!$B:$B,638)))),637,""),""),""))</f>
        <v/>
      </c>
      <c r="F638">
        <f>IF('TRANSPORT DASHBOARD'!$B$4="Area",IF(637&lt;=$I$3,IF(OR('TRANSPORT DASHBOARD'!$C$4="",ISNUMBER(SEARCH('TRANSPORT DASHBOARD'!$C$4,INDEX(MASTER_AREAS!$B:$B,638)))),637,""),""),IF('TRANSPORT DASHBOARD'!$B$4="Zone",IF(637&lt;=$I$4,IF(OR('TRANSPORT DASHBOARD'!$C$4="",ISNUMBER(SEARCH('TRANSPORT DASHBOARD'!$C$4,INDEX(MASTER_ZONES!$B:$B,638)))),637,""),""),""))</f>
        <v/>
      </c>
    </row>
    <row r="639">
      <c r="A639">
        <f>IF('WSF DASHBOARD'!$B$4="Area",IF(638&lt;=$D$3,IF(OR('WSF DASHBOARD'!$C$4="",ISNUMBER(SEARCH('WSF DASHBOARD'!$C$4,INDEX(MASTER_AREAS!$B:$B,639)))),638,""),""),IF('WSF DASHBOARD'!$B$4="Zone",IF(638&lt;=$D$4,IF(OR('WSF DASHBOARD'!$C$4="",ISNUMBER(SEARCH('WSF DASHBOARD'!$C$4,INDEX(MASTER_ZONES!$B:$B,639)))),638,""),""),""))</f>
        <v/>
      </c>
      <c r="F639">
        <f>IF('TRANSPORT DASHBOARD'!$B$4="Area",IF(638&lt;=$I$3,IF(OR('TRANSPORT DASHBOARD'!$C$4="",ISNUMBER(SEARCH('TRANSPORT DASHBOARD'!$C$4,INDEX(MASTER_AREAS!$B:$B,639)))),638,""),""),IF('TRANSPORT DASHBOARD'!$B$4="Zone",IF(638&lt;=$I$4,IF(OR('TRANSPORT DASHBOARD'!$C$4="",ISNUMBER(SEARCH('TRANSPORT DASHBOARD'!$C$4,INDEX(MASTER_ZONES!$B:$B,639)))),638,""),""),""))</f>
        <v/>
      </c>
    </row>
    <row r="640">
      <c r="A640">
        <f>IF('WSF DASHBOARD'!$B$4="Area",IF(639&lt;=$D$3,IF(OR('WSF DASHBOARD'!$C$4="",ISNUMBER(SEARCH('WSF DASHBOARD'!$C$4,INDEX(MASTER_AREAS!$B:$B,640)))),639,""),""),IF('WSF DASHBOARD'!$B$4="Zone",IF(639&lt;=$D$4,IF(OR('WSF DASHBOARD'!$C$4="",ISNUMBER(SEARCH('WSF DASHBOARD'!$C$4,INDEX(MASTER_ZONES!$B:$B,640)))),639,""),""),""))</f>
        <v/>
      </c>
      <c r="F640">
        <f>IF('TRANSPORT DASHBOARD'!$B$4="Area",IF(639&lt;=$I$3,IF(OR('TRANSPORT DASHBOARD'!$C$4="",ISNUMBER(SEARCH('TRANSPORT DASHBOARD'!$C$4,INDEX(MASTER_AREAS!$B:$B,640)))),639,""),""),IF('TRANSPORT DASHBOARD'!$B$4="Zone",IF(639&lt;=$I$4,IF(OR('TRANSPORT DASHBOARD'!$C$4="",ISNUMBER(SEARCH('TRANSPORT DASHBOARD'!$C$4,INDEX(MASTER_ZONES!$B:$B,640)))),639,""),""),""))</f>
        <v/>
      </c>
    </row>
    <row r="641">
      <c r="A641">
        <f>IF('WSF DASHBOARD'!$B$4="Area",IF(640&lt;=$D$3,IF(OR('WSF DASHBOARD'!$C$4="",ISNUMBER(SEARCH('WSF DASHBOARD'!$C$4,INDEX(MASTER_AREAS!$B:$B,641)))),640,""),""),IF('WSF DASHBOARD'!$B$4="Zone",IF(640&lt;=$D$4,IF(OR('WSF DASHBOARD'!$C$4="",ISNUMBER(SEARCH('WSF DASHBOARD'!$C$4,INDEX(MASTER_ZONES!$B:$B,641)))),640,""),""),""))</f>
        <v/>
      </c>
      <c r="F641">
        <f>IF('TRANSPORT DASHBOARD'!$B$4="Area",IF(640&lt;=$I$3,IF(OR('TRANSPORT DASHBOARD'!$C$4="",ISNUMBER(SEARCH('TRANSPORT DASHBOARD'!$C$4,INDEX(MASTER_AREAS!$B:$B,641)))),640,""),""),IF('TRANSPORT DASHBOARD'!$B$4="Zone",IF(640&lt;=$I$4,IF(OR('TRANSPORT DASHBOARD'!$C$4="",ISNUMBER(SEARCH('TRANSPORT DASHBOARD'!$C$4,INDEX(MASTER_ZONES!$B:$B,641)))),640,""),""),""))</f>
        <v/>
      </c>
    </row>
    <row r="642">
      <c r="A642">
        <f>IF('WSF DASHBOARD'!$B$4="Area",IF(641&lt;=$D$3,IF(OR('WSF DASHBOARD'!$C$4="",ISNUMBER(SEARCH('WSF DASHBOARD'!$C$4,INDEX(MASTER_AREAS!$B:$B,642)))),641,""),""),IF('WSF DASHBOARD'!$B$4="Zone",IF(641&lt;=$D$4,IF(OR('WSF DASHBOARD'!$C$4="",ISNUMBER(SEARCH('WSF DASHBOARD'!$C$4,INDEX(MASTER_ZONES!$B:$B,642)))),641,""),""),""))</f>
        <v/>
      </c>
      <c r="F642">
        <f>IF('TRANSPORT DASHBOARD'!$B$4="Area",IF(641&lt;=$I$3,IF(OR('TRANSPORT DASHBOARD'!$C$4="",ISNUMBER(SEARCH('TRANSPORT DASHBOARD'!$C$4,INDEX(MASTER_AREAS!$B:$B,642)))),641,""),""),IF('TRANSPORT DASHBOARD'!$B$4="Zone",IF(641&lt;=$I$4,IF(OR('TRANSPORT DASHBOARD'!$C$4="",ISNUMBER(SEARCH('TRANSPORT DASHBOARD'!$C$4,INDEX(MASTER_ZONES!$B:$B,642)))),641,""),""),""))</f>
        <v/>
      </c>
    </row>
    <row r="643">
      <c r="A643">
        <f>IF('WSF DASHBOARD'!$B$4="Area",IF(642&lt;=$D$3,IF(OR('WSF DASHBOARD'!$C$4="",ISNUMBER(SEARCH('WSF DASHBOARD'!$C$4,INDEX(MASTER_AREAS!$B:$B,643)))),642,""),""),IF('WSF DASHBOARD'!$B$4="Zone",IF(642&lt;=$D$4,IF(OR('WSF DASHBOARD'!$C$4="",ISNUMBER(SEARCH('WSF DASHBOARD'!$C$4,INDEX(MASTER_ZONES!$B:$B,643)))),642,""),""),""))</f>
        <v/>
      </c>
      <c r="F643">
        <f>IF('TRANSPORT DASHBOARD'!$B$4="Area",IF(642&lt;=$I$3,IF(OR('TRANSPORT DASHBOARD'!$C$4="",ISNUMBER(SEARCH('TRANSPORT DASHBOARD'!$C$4,INDEX(MASTER_AREAS!$B:$B,643)))),642,""),""),IF('TRANSPORT DASHBOARD'!$B$4="Zone",IF(642&lt;=$I$4,IF(OR('TRANSPORT DASHBOARD'!$C$4="",ISNUMBER(SEARCH('TRANSPORT DASHBOARD'!$C$4,INDEX(MASTER_ZONES!$B:$B,643)))),642,""),""),""))</f>
        <v/>
      </c>
    </row>
    <row r="644">
      <c r="A644">
        <f>IF('WSF DASHBOARD'!$B$4="Area",IF(643&lt;=$D$3,IF(OR('WSF DASHBOARD'!$C$4="",ISNUMBER(SEARCH('WSF DASHBOARD'!$C$4,INDEX(MASTER_AREAS!$B:$B,644)))),643,""),""),IF('WSF DASHBOARD'!$B$4="Zone",IF(643&lt;=$D$4,IF(OR('WSF DASHBOARD'!$C$4="",ISNUMBER(SEARCH('WSF DASHBOARD'!$C$4,INDEX(MASTER_ZONES!$B:$B,644)))),643,""),""),""))</f>
        <v/>
      </c>
      <c r="F644">
        <f>IF('TRANSPORT DASHBOARD'!$B$4="Area",IF(643&lt;=$I$3,IF(OR('TRANSPORT DASHBOARD'!$C$4="",ISNUMBER(SEARCH('TRANSPORT DASHBOARD'!$C$4,INDEX(MASTER_AREAS!$B:$B,644)))),643,""),""),IF('TRANSPORT DASHBOARD'!$B$4="Zone",IF(643&lt;=$I$4,IF(OR('TRANSPORT DASHBOARD'!$C$4="",ISNUMBER(SEARCH('TRANSPORT DASHBOARD'!$C$4,INDEX(MASTER_ZONES!$B:$B,644)))),643,""),""),""))</f>
        <v/>
      </c>
    </row>
    <row r="645">
      <c r="A645">
        <f>IF('WSF DASHBOARD'!$B$4="Area",IF(644&lt;=$D$3,IF(OR('WSF DASHBOARD'!$C$4="",ISNUMBER(SEARCH('WSF DASHBOARD'!$C$4,INDEX(MASTER_AREAS!$B:$B,645)))),644,""),""),IF('WSF DASHBOARD'!$B$4="Zone",IF(644&lt;=$D$4,IF(OR('WSF DASHBOARD'!$C$4="",ISNUMBER(SEARCH('WSF DASHBOARD'!$C$4,INDEX(MASTER_ZONES!$B:$B,645)))),644,""),""),""))</f>
        <v/>
      </c>
      <c r="F645">
        <f>IF('TRANSPORT DASHBOARD'!$B$4="Area",IF(644&lt;=$I$3,IF(OR('TRANSPORT DASHBOARD'!$C$4="",ISNUMBER(SEARCH('TRANSPORT DASHBOARD'!$C$4,INDEX(MASTER_AREAS!$B:$B,645)))),644,""),""),IF('TRANSPORT DASHBOARD'!$B$4="Zone",IF(644&lt;=$I$4,IF(OR('TRANSPORT DASHBOARD'!$C$4="",ISNUMBER(SEARCH('TRANSPORT DASHBOARD'!$C$4,INDEX(MASTER_ZONES!$B:$B,645)))),644,""),""),""))</f>
        <v/>
      </c>
    </row>
    <row r="646">
      <c r="A646">
        <f>IF('WSF DASHBOARD'!$B$4="Area",IF(645&lt;=$D$3,IF(OR('WSF DASHBOARD'!$C$4="",ISNUMBER(SEARCH('WSF DASHBOARD'!$C$4,INDEX(MASTER_AREAS!$B:$B,646)))),645,""),""),IF('WSF DASHBOARD'!$B$4="Zone",IF(645&lt;=$D$4,IF(OR('WSF DASHBOARD'!$C$4="",ISNUMBER(SEARCH('WSF DASHBOARD'!$C$4,INDEX(MASTER_ZONES!$B:$B,646)))),645,""),""),""))</f>
        <v/>
      </c>
      <c r="F646">
        <f>IF('TRANSPORT DASHBOARD'!$B$4="Area",IF(645&lt;=$I$3,IF(OR('TRANSPORT DASHBOARD'!$C$4="",ISNUMBER(SEARCH('TRANSPORT DASHBOARD'!$C$4,INDEX(MASTER_AREAS!$B:$B,646)))),645,""),""),IF('TRANSPORT DASHBOARD'!$B$4="Zone",IF(645&lt;=$I$4,IF(OR('TRANSPORT DASHBOARD'!$C$4="",ISNUMBER(SEARCH('TRANSPORT DASHBOARD'!$C$4,INDEX(MASTER_ZONES!$B:$B,646)))),645,""),""),""))</f>
        <v/>
      </c>
    </row>
    <row r="647">
      <c r="A647">
        <f>IF('WSF DASHBOARD'!$B$4="Area",IF(646&lt;=$D$3,IF(OR('WSF DASHBOARD'!$C$4="",ISNUMBER(SEARCH('WSF DASHBOARD'!$C$4,INDEX(MASTER_AREAS!$B:$B,647)))),646,""),""),IF('WSF DASHBOARD'!$B$4="Zone",IF(646&lt;=$D$4,IF(OR('WSF DASHBOARD'!$C$4="",ISNUMBER(SEARCH('WSF DASHBOARD'!$C$4,INDEX(MASTER_ZONES!$B:$B,647)))),646,""),""),""))</f>
        <v/>
      </c>
      <c r="F647">
        <f>IF('TRANSPORT DASHBOARD'!$B$4="Area",IF(646&lt;=$I$3,IF(OR('TRANSPORT DASHBOARD'!$C$4="",ISNUMBER(SEARCH('TRANSPORT DASHBOARD'!$C$4,INDEX(MASTER_AREAS!$B:$B,647)))),646,""),""),IF('TRANSPORT DASHBOARD'!$B$4="Zone",IF(646&lt;=$I$4,IF(OR('TRANSPORT DASHBOARD'!$C$4="",ISNUMBER(SEARCH('TRANSPORT DASHBOARD'!$C$4,INDEX(MASTER_ZONES!$B:$B,647)))),646,""),""),""))</f>
        <v/>
      </c>
    </row>
    <row r="648">
      <c r="A648">
        <f>IF('WSF DASHBOARD'!$B$4="Area",IF(647&lt;=$D$3,IF(OR('WSF DASHBOARD'!$C$4="",ISNUMBER(SEARCH('WSF DASHBOARD'!$C$4,INDEX(MASTER_AREAS!$B:$B,648)))),647,""),""),IF('WSF DASHBOARD'!$B$4="Zone",IF(647&lt;=$D$4,IF(OR('WSF DASHBOARD'!$C$4="",ISNUMBER(SEARCH('WSF DASHBOARD'!$C$4,INDEX(MASTER_ZONES!$B:$B,648)))),647,""),""),""))</f>
        <v/>
      </c>
      <c r="F648">
        <f>IF('TRANSPORT DASHBOARD'!$B$4="Area",IF(647&lt;=$I$3,IF(OR('TRANSPORT DASHBOARD'!$C$4="",ISNUMBER(SEARCH('TRANSPORT DASHBOARD'!$C$4,INDEX(MASTER_AREAS!$B:$B,648)))),647,""),""),IF('TRANSPORT DASHBOARD'!$B$4="Zone",IF(647&lt;=$I$4,IF(OR('TRANSPORT DASHBOARD'!$C$4="",ISNUMBER(SEARCH('TRANSPORT DASHBOARD'!$C$4,INDEX(MASTER_ZONES!$B:$B,648)))),647,""),""),""))</f>
        <v/>
      </c>
    </row>
    <row r="649">
      <c r="A649">
        <f>IF('WSF DASHBOARD'!$B$4="Area",IF(648&lt;=$D$3,IF(OR('WSF DASHBOARD'!$C$4="",ISNUMBER(SEARCH('WSF DASHBOARD'!$C$4,INDEX(MASTER_AREAS!$B:$B,649)))),648,""),""),IF('WSF DASHBOARD'!$B$4="Zone",IF(648&lt;=$D$4,IF(OR('WSF DASHBOARD'!$C$4="",ISNUMBER(SEARCH('WSF DASHBOARD'!$C$4,INDEX(MASTER_ZONES!$B:$B,649)))),648,""),""),""))</f>
        <v/>
      </c>
      <c r="F649">
        <f>IF('TRANSPORT DASHBOARD'!$B$4="Area",IF(648&lt;=$I$3,IF(OR('TRANSPORT DASHBOARD'!$C$4="",ISNUMBER(SEARCH('TRANSPORT DASHBOARD'!$C$4,INDEX(MASTER_AREAS!$B:$B,649)))),648,""),""),IF('TRANSPORT DASHBOARD'!$B$4="Zone",IF(648&lt;=$I$4,IF(OR('TRANSPORT DASHBOARD'!$C$4="",ISNUMBER(SEARCH('TRANSPORT DASHBOARD'!$C$4,INDEX(MASTER_ZONES!$B:$B,649)))),648,""),""),""))</f>
        <v/>
      </c>
    </row>
    <row r="650">
      <c r="A650">
        <f>IF('WSF DASHBOARD'!$B$4="Area",IF(649&lt;=$D$3,IF(OR('WSF DASHBOARD'!$C$4="",ISNUMBER(SEARCH('WSF DASHBOARD'!$C$4,INDEX(MASTER_AREAS!$B:$B,650)))),649,""),""),IF('WSF DASHBOARD'!$B$4="Zone",IF(649&lt;=$D$4,IF(OR('WSF DASHBOARD'!$C$4="",ISNUMBER(SEARCH('WSF DASHBOARD'!$C$4,INDEX(MASTER_ZONES!$B:$B,650)))),649,""),""),""))</f>
        <v/>
      </c>
      <c r="F650">
        <f>IF('TRANSPORT DASHBOARD'!$B$4="Area",IF(649&lt;=$I$3,IF(OR('TRANSPORT DASHBOARD'!$C$4="",ISNUMBER(SEARCH('TRANSPORT DASHBOARD'!$C$4,INDEX(MASTER_AREAS!$B:$B,650)))),649,""),""),IF('TRANSPORT DASHBOARD'!$B$4="Zone",IF(649&lt;=$I$4,IF(OR('TRANSPORT DASHBOARD'!$C$4="",ISNUMBER(SEARCH('TRANSPORT DASHBOARD'!$C$4,INDEX(MASTER_ZONES!$B:$B,650)))),649,""),""),""))</f>
        <v/>
      </c>
    </row>
    <row r="651">
      <c r="A651">
        <f>IF('WSF DASHBOARD'!$B$4="Area",IF(650&lt;=$D$3,IF(OR('WSF DASHBOARD'!$C$4="",ISNUMBER(SEARCH('WSF DASHBOARD'!$C$4,INDEX(MASTER_AREAS!$B:$B,651)))),650,""),""),IF('WSF DASHBOARD'!$B$4="Zone",IF(650&lt;=$D$4,IF(OR('WSF DASHBOARD'!$C$4="",ISNUMBER(SEARCH('WSF DASHBOARD'!$C$4,INDEX(MASTER_ZONES!$B:$B,651)))),650,""),""),""))</f>
        <v/>
      </c>
      <c r="F651">
        <f>IF('TRANSPORT DASHBOARD'!$B$4="Area",IF(650&lt;=$I$3,IF(OR('TRANSPORT DASHBOARD'!$C$4="",ISNUMBER(SEARCH('TRANSPORT DASHBOARD'!$C$4,INDEX(MASTER_AREAS!$B:$B,651)))),650,""),""),IF('TRANSPORT DASHBOARD'!$B$4="Zone",IF(650&lt;=$I$4,IF(OR('TRANSPORT DASHBOARD'!$C$4="",ISNUMBER(SEARCH('TRANSPORT DASHBOARD'!$C$4,INDEX(MASTER_ZONES!$B:$B,651)))),650,""),""),""))</f>
        <v/>
      </c>
    </row>
    <row r="652">
      <c r="A652">
        <f>IF('WSF DASHBOARD'!$B$4="Area",IF(651&lt;=$D$3,IF(OR('WSF DASHBOARD'!$C$4="",ISNUMBER(SEARCH('WSF DASHBOARD'!$C$4,INDEX(MASTER_AREAS!$B:$B,652)))),651,""),""),IF('WSF DASHBOARD'!$B$4="Zone",IF(651&lt;=$D$4,IF(OR('WSF DASHBOARD'!$C$4="",ISNUMBER(SEARCH('WSF DASHBOARD'!$C$4,INDEX(MASTER_ZONES!$B:$B,652)))),651,""),""),""))</f>
        <v/>
      </c>
      <c r="F652">
        <f>IF('TRANSPORT DASHBOARD'!$B$4="Area",IF(651&lt;=$I$3,IF(OR('TRANSPORT DASHBOARD'!$C$4="",ISNUMBER(SEARCH('TRANSPORT DASHBOARD'!$C$4,INDEX(MASTER_AREAS!$B:$B,652)))),651,""),""),IF('TRANSPORT DASHBOARD'!$B$4="Zone",IF(651&lt;=$I$4,IF(OR('TRANSPORT DASHBOARD'!$C$4="",ISNUMBER(SEARCH('TRANSPORT DASHBOARD'!$C$4,INDEX(MASTER_ZONES!$B:$B,652)))),651,""),""),""))</f>
        <v/>
      </c>
    </row>
    <row r="653">
      <c r="A653">
        <f>IF('WSF DASHBOARD'!$B$4="Area",IF(652&lt;=$D$3,IF(OR('WSF DASHBOARD'!$C$4="",ISNUMBER(SEARCH('WSF DASHBOARD'!$C$4,INDEX(MASTER_AREAS!$B:$B,653)))),652,""),""),IF('WSF DASHBOARD'!$B$4="Zone",IF(652&lt;=$D$4,IF(OR('WSF DASHBOARD'!$C$4="",ISNUMBER(SEARCH('WSF DASHBOARD'!$C$4,INDEX(MASTER_ZONES!$B:$B,653)))),652,""),""),""))</f>
        <v/>
      </c>
      <c r="F653">
        <f>IF('TRANSPORT DASHBOARD'!$B$4="Area",IF(652&lt;=$I$3,IF(OR('TRANSPORT DASHBOARD'!$C$4="",ISNUMBER(SEARCH('TRANSPORT DASHBOARD'!$C$4,INDEX(MASTER_AREAS!$B:$B,653)))),652,""),""),IF('TRANSPORT DASHBOARD'!$B$4="Zone",IF(652&lt;=$I$4,IF(OR('TRANSPORT DASHBOARD'!$C$4="",ISNUMBER(SEARCH('TRANSPORT DASHBOARD'!$C$4,INDEX(MASTER_ZONES!$B:$B,653)))),652,""),""),""))</f>
        <v/>
      </c>
    </row>
    <row r="654">
      <c r="A654">
        <f>IF('WSF DASHBOARD'!$B$4="Area",IF(653&lt;=$D$3,IF(OR('WSF DASHBOARD'!$C$4="",ISNUMBER(SEARCH('WSF DASHBOARD'!$C$4,INDEX(MASTER_AREAS!$B:$B,654)))),653,""),""),IF('WSF DASHBOARD'!$B$4="Zone",IF(653&lt;=$D$4,IF(OR('WSF DASHBOARD'!$C$4="",ISNUMBER(SEARCH('WSF DASHBOARD'!$C$4,INDEX(MASTER_ZONES!$B:$B,654)))),653,""),""),""))</f>
        <v/>
      </c>
      <c r="F654">
        <f>IF('TRANSPORT DASHBOARD'!$B$4="Area",IF(653&lt;=$I$3,IF(OR('TRANSPORT DASHBOARD'!$C$4="",ISNUMBER(SEARCH('TRANSPORT DASHBOARD'!$C$4,INDEX(MASTER_AREAS!$B:$B,654)))),653,""),""),IF('TRANSPORT DASHBOARD'!$B$4="Zone",IF(653&lt;=$I$4,IF(OR('TRANSPORT DASHBOARD'!$C$4="",ISNUMBER(SEARCH('TRANSPORT DASHBOARD'!$C$4,INDEX(MASTER_ZONES!$B:$B,654)))),653,""),""),""))</f>
        <v/>
      </c>
    </row>
    <row r="655">
      <c r="A655">
        <f>IF('WSF DASHBOARD'!$B$4="Area",IF(654&lt;=$D$3,IF(OR('WSF DASHBOARD'!$C$4="",ISNUMBER(SEARCH('WSF DASHBOARD'!$C$4,INDEX(MASTER_AREAS!$B:$B,655)))),654,""),""),IF('WSF DASHBOARD'!$B$4="Zone",IF(654&lt;=$D$4,IF(OR('WSF DASHBOARD'!$C$4="",ISNUMBER(SEARCH('WSF DASHBOARD'!$C$4,INDEX(MASTER_ZONES!$B:$B,655)))),654,""),""),""))</f>
        <v/>
      </c>
      <c r="F655">
        <f>IF('TRANSPORT DASHBOARD'!$B$4="Area",IF(654&lt;=$I$3,IF(OR('TRANSPORT DASHBOARD'!$C$4="",ISNUMBER(SEARCH('TRANSPORT DASHBOARD'!$C$4,INDEX(MASTER_AREAS!$B:$B,655)))),654,""),""),IF('TRANSPORT DASHBOARD'!$B$4="Zone",IF(654&lt;=$I$4,IF(OR('TRANSPORT DASHBOARD'!$C$4="",ISNUMBER(SEARCH('TRANSPORT DASHBOARD'!$C$4,INDEX(MASTER_ZONES!$B:$B,655)))),654,""),""),""))</f>
        <v/>
      </c>
    </row>
    <row r="656">
      <c r="A656">
        <f>IF('WSF DASHBOARD'!$B$4="Area",IF(655&lt;=$D$3,IF(OR('WSF DASHBOARD'!$C$4="",ISNUMBER(SEARCH('WSF DASHBOARD'!$C$4,INDEX(MASTER_AREAS!$B:$B,656)))),655,""),""),IF('WSF DASHBOARD'!$B$4="Zone",IF(655&lt;=$D$4,IF(OR('WSF DASHBOARD'!$C$4="",ISNUMBER(SEARCH('WSF DASHBOARD'!$C$4,INDEX(MASTER_ZONES!$B:$B,656)))),655,""),""),""))</f>
        <v/>
      </c>
      <c r="F656">
        <f>IF('TRANSPORT DASHBOARD'!$B$4="Area",IF(655&lt;=$I$3,IF(OR('TRANSPORT DASHBOARD'!$C$4="",ISNUMBER(SEARCH('TRANSPORT DASHBOARD'!$C$4,INDEX(MASTER_AREAS!$B:$B,656)))),655,""),""),IF('TRANSPORT DASHBOARD'!$B$4="Zone",IF(655&lt;=$I$4,IF(OR('TRANSPORT DASHBOARD'!$C$4="",ISNUMBER(SEARCH('TRANSPORT DASHBOARD'!$C$4,INDEX(MASTER_ZONES!$B:$B,656)))),655,""),""),""))</f>
        <v/>
      </c>
    </row>
    <row r="657">
      <c r="A657">
        <f>IF('WSF DASHBOARD'!$B$4="Area",IF(656&lt;=$D$3,IF(OR('WSF DASHBOARD'!$C$4="",ISNUMBER(SEARCH('WSF DASHBOARD'!$C$4,INDEX(MASTER_AREAS!$B:$B,657)))),656,""),""),IF('WSF DASHBOARD'!$B$4="Zone",IF(656&lt;=$D$4,IF(OR('WSF DASHBOARD'!$C$4="",ISNUMBER(SEARCH('WSF DASHBOARD'!$C$4,INDEX(MASTER_ZONES!$B:$B,657)))),656,""),""),""))</f>
        <v/>
      </c>
      <c r="F657">
        <f>IF('TRANSPORT DASHBOARD'!$B$4="Area",IF(656&lt;=$I$3,IF(OR('TRANSPORT DASHBOARD'!$C$4="",ISNUMBER(SEARCH('TRANSPORT DASHBOARD'!$C$4,INDEX(MASTER_AREAS!$B:$B,657)))),656,""),""),IF('TRANSPORT DASHBOARD'!$B$4="Zone",IF(656&lt;=$I$4,IF(OR('TRANSPORT DASHBOARD'!$C$4="",ISNUMBER(SEARCH('TRANSPORT DASHBOARD'!$C$4,INDEX(MASTER_ZONES!$B:$B,657)))),656,""),""),""))</f>
        <v/>
      </c>
    </row>
    <row r="658">
      <c r="A658">
        <f>IF('WSF DASHBOARD'!$B$4="Area",IF(657&lt;=$D$3,IF(OR('WSF DASHBOARD'!$C$4="",ISNUMBER(SEARCH('WSF DASHBOARD'!$C$4,INDEX(MASTER_AREAS!$B:$B,658)))),657,""),""),IF('WSF DASHBOARD'!$B$4="Zone",IF(657&lt;=$D$4,IF(OR('WSF DASHBOARD'!$C$4="",ISNUMBER(SEARCH('WSF DASHBOARD'!$C$4,INDEX(MASTER_ZONES!$B:$B,658)))),657,""),""),""))</f>
        <v/>
      </c>
      <c r="F658">
        <f>IF('TRANSPORT DASHBOARD'!$B$4="Area",IF(657&lt;=$I$3,IF(OR('TRANSPORT DASHBOARD'!$C$4="",ISNUMBER(SEARCH('TRANSPORT DASHBOARD'!$C$4,INDEX(MASTER_AREAS!$B:$B,658)))),657,""),""),IF('TRANSPORT DASHBOARD'!$B$4="Zone",IF(657&lt;=$I$4,IF(OR('TRANSPORT DASHBOARD'!$C$4="",ISNUMBER(SEARCH('TRANSPORT DASHBOARD'!$C$4,INDEX(MASTER_ZONES!$B:$B,658)))),657,""),""),""))</f>
        <v/>
      </c>
    </row>
    <row r="659">
      <c r="A659">
        <f>IF('WSF DASHBOARD'!$B$4="Area",IF(658&lt;=$D$3,IF(OR('WSF DASHBOARD'!$C$4="",ISNUMBER(SEARCH('WSF DASHBOARD'!$C$4,INDEX(MASTER_AREAS!$B:$B,659)))),658,""),""),IF('WSF DASHBOARD'!$B$4="Zone",IF(658&lt;=$D$4,IF(OR('WSF DASHBOARD'!$C$4="",ISNUMBER(SEARCH('WSF DASHBOARD'!$C$4,INDEX(MASTER_ZONES!$B:$B,659)))),658,""),""),""))</f>
        <v/>
      </c>
      <c r="F659">
        <f>IF('TRANSPORT DASHBOARD'!$B$4="Area",IF(658&lt;=$I$3,IF(OR('TRANSPORT DASHBOARD'!$C$4="",ISNUMBER(SEARCH('TRANSPORT DASHBOARD'!$C$4,INDEX(MASTER_AREAS!$B:$B,659)))),658,""),""),IF('TRANSPORT DASHBOARD'!$B$4="Zone",IF(658&lt;=$I$4,IF(OR('TRANSPORT DASHBOARD'!$C$4="",ISNUMBER(SEARCH('TRANSPORT DASHBOARD'!$C$4,INDEX(MASTER_ZONES!$B:$B,659)))),658,""),""),""))</f>
        <v/>
      </c>
    </row>
    <row r="660">
      <c r="A660">
        <f>IF('WSF DASHBOARD'!$B$4="Area",IF(659&lt;=$D$3,IF(OR('WSF DASHBOARD'!$C$4="",ISNUMBER(SEARCH('WSF DASHBOARD'!$C$4,INDEX(MASTER_AREAS!$B:$B,660)))),659,""),""),IF('WSF DASHBOARD'!$B$4="Zone",IF(659&lt;=$D$4,IF(OR('WSF DASHBOARD'!$C$4="",ISNUMBER(SEARCH('WSF DASHBOARD'!$C$4,INDEX(MASTER_ZONES!$B:$B,660)))),659,""),""),""))</f>
        <v/>
      </c>
      <c r="F660">
        <f>IF('TRANSPORT DASHBOARD'!$B$4="Area",IF(659&lt;=$I$3,IF(OR('TRANSPORT DASHBOARD'!$C$4="",ISNUMBER(SEARCH('TRANSPORT DASHBOARD'!$C$4,INDEX(MASTER_AREAS!$B:$B,660)))),659,""),""),IF('TRANSPORT DASHBOARD'!$B$4="Zone",IF(659&lt;=$I$4,IF(OR('TRANSPORT DASHBOARD'!$C$4="",ISNUMBER(SEARCH('TRANSPORT DASHBOARD'!$C$4,INDEX(MASTER_ZONES!$B:$B,660)))),659,""),""),""))</f>
        <v/>
      </c>
    </row>
    <row r="661">
      <c r="A661">
        <f>IF('WSF DASHBOARD'!$B$4="Area",IF(660&lt;=$D$3,IF(OR('WSF DASHBOARD'!$C$4="",ISNUMBER(SEARCH('WSF DASHBOARD'!$C$4,INDEX(MASTER_AREAS!$B:$B,661)))),660,""),""),IF('WSF DASHBOARD'!$B$4="Zone",IF(660&lt;=$D$4,IF(OR('WSF DASHBOARD'!$C$4="",ISNUMBER(SEARCH('WSF DASHBOARD'!$C$4,INDEX(MASTER_ZONES!$B:$B,661)))),660,""),""),""))</f>
        <v/>
      </c>
      <c r="F661">
        <f>IF('TRANSPORT DASHBOARD'!$B$4="Area",IF(660&lt;=$I$3,IF(OR('TRANSPORT DASHBOARD'!$C$4="",ISNUMBER(SEARCH('TRANSPORT DASHBOARD'!$C$4,INDEX(MASTER_AREAS!$B:$B,661)))),660,""),""),IF('TRANSPORT DASHBOARD'!$B$4="Zone",IF(660&lt;=$I$4,IF(OR('TRANSPORT DASHBOARD'!$C$4="",ISNUMBER(SEARCH('TRANSPORT DASHBOARD'!$C$4,INDEX(MASTER_ZONES!$B:$B,661)))),660,""),""),""))</f>
        <v/>
      </c>
    </row>
    <row r="662">
      <c r="A662">
        <f>IF('WSF DASHBOARD'!$B$4="Area",IF(661&lt;=$D$3,IF(OR('WSF DASHBOARD'!$C$4="",ISNUMBER(SEARCH('WSF DASHBOARD'!$C$4,INDEX(MASTER_AREAS!$B:$B,662)))),661,""),""),IF('WSF DASHBOARD'!$B$4="Zone",IF(661&lt;=$D$4,IF(OR('WSF DASHBOARD'!$C$4="",ISNUMBER(SEARCH('WSF DASHBOARD'!$C$4,INDEX(MASTER_ZONES!$B:$B,662)))),661,""),""),""))</f>
        <v/>
      </c>
      <c r="F662">
        <f>IF('TRANSPORT DASHBOARD'!$B$4="Area",IF(661&lt;=$I$3,IF(OR('TRANSPORT DASHBOARD'!$C$4="",ISNUMBER(SEARCH('TRANSPORT DASHBOARD'!$C$4,INDEX(MASTER_AREAS!$B:$B,662)))),661,""),""),IF('TRANSPORT DASHBOARD'!$B$4="Zone",IF(661&lt;=$I$4,IF(OR('TRANSPORT DASHBOARD'!$C$4="",ISNUMBER(SEARCH('TRANSPORT DASHBOARD'!$C$4,INDEX(MASTER_ZONES!$B:$B,662)))),661,""),""),""))</f>
        <v/>
      </c>
    </row>
    <row r="663">
      <c r="A663">
        <f>IF('WSF DASHBOARD'!$B$4="Area",IF(662&lt;=$D$3,IF(OR('WSF DASHBOARD'!$C$4="",ISNUMBER(SEARCH('WSF DASHBOARD'!$C$4,INDEX(MASTER_AREAS!$B:$B,663)))),662,""),""),IF('WSF DASHBOARD'!$B$4="Zone",IF(662&lt;=$D$4,IF(OR('WSF DASHBOARD'!$C$4="",ISNUMBER(SEARCH('WSF DASHBOARD'!$C$4,INDEX(MASTER_ZONES!$B:$B,663)))),662,""),""),""))</f>
        <v/>
      </c>
      <c r="F663">
        <f>IF('TRANSPORT DASHBOARD'!$B$4="Area",IF(662&lt;=$I$3,IF(OR('TRANSPORT DASHBOARD'!$C$4="",ISNUMBER(SEARCH('TRANSPORT DASHBOARD'!$C$4,INDEX(MASTER_AREAS!$B:$B,663)))),662,""),""),IF('TRANSPORT DASHBOARD'!$B$4="Zone",IF(662&lt;=$I$4,IF(OR('TRANSPORT DASHBOARD'!$C$4="",ISNUMBER(SEARCH('TRANSPORT DASHBOARD'!$C$4,INDEX(MASTER_ZONES!$B:$B,663)))),662,""),""),""))</f>
        <v/>
      </c>
    </row>
    <row r="664">
      <c r="A664">
        <f>IF('WSF DASHBOARD'!$B$4="Area",IF(663&lt;=$D$3,IF(OR('WSF DASHBOARD'!$C$4="",ISNUMBER(SEARCH('WSF DASHBOARD'!$C$4,INDEX(MASTER_AREAS!$B:$B,664)))),663,""),""),IF('WSF DASHBOARD'!$B$4="Zone",IF(663&lt;=$D$4,IF(OR('WSF DASHBOARD'!$C$4="",ISNUMBER(SEARCH('WSF DASHBOARD'!$C$4,INDEX(MASTER_ZONES!$B:$B,664)))),663,""),""),""))</f>
        <v/>
      </c>
      <c r="F664">
        <f>IF('TRANSPORT DASHBOARD'!$B$4="Area",IF(663&lt;=$I$3,IF(OR('TRANSPORT DASHBOARD'!$C$4="",ISNUMBER(SEARCH('TRANSPORT DASHBOARD'!$C$4,INDEX(MASTER_AREAS!$B:$B,664)))),663,""),""),IF('TRANSPORT DASHBOARD'!$B$4="Zone",IF(663&lt;=$I$4,IF(OR('TRANSPORT DASHBOARD'!$C$4="",ISNUMBER(SEARCH('TRANSPORT DASHBOARD'!$C$4,INDEX(MASTER_ZONES!$B:$B,664)))),663,""),""),""))</f>
        <v/>
      </c>
    </row>
    <row r="665">
      <c r="A665">
        <f>IF('WSF DASHBOARD'!$B$4="Area",IF(664&lt;=$D$3,IF(OR('WSF DASHBOARD'!$C$4="",ISNUMBER(SEARCH('WSF DASHBOARD'!$C$4,INDEX(MASTER_AREAS!$B:$B,665)))),664,""),""),IF('WSF DASHBOARD'!$B$4="Zone",IF(664&lt;=$D$4,IF(OR('WSF DASHBOARD'!$C$4="",ISNUMBER(SEARCH('WSF DASHBOARD'!$C$4,INDEX(MASTER_ZONES!$B:$B,665)))),664,""),""),""))</f>
        <v/>
      </c>
      <c r="F665">
        <f>IF('TRANSPORT DASHBOARD'!$B$4="Area",IF(664&lt;=$I$3,IF(OR('TRANSPORT DASHBOARD'!$C$4="",ISNUMBER(SEARCH('TRANSPORT DASHBOARD'!$C$4,INDEX(MASTER_AREAS!$B:$B,665)))),664,""),""),IF('TRANSPORT DASHBOARD'!$B$4="Zone",IF(664&lt;=$I$4,IF(OR('TRANSPORT DASHBOARD'!$C$4="",ISNUMBER(SEARCH('TRANSPORT DASHBOARD'!$C$4,INDEX(MASTER_ZONES!$B:$B,665)))),664,""),""),""))</f>
        <v/>
      </c>
    </row>
    <row r="666">
      <c r="A666">
        <f>IF('WSF DASHBOARD'!$B$4="Area",IF(665&lt;=$D$3,IF(OR('WSF DASHBOARD'!$C$4="",ISNUMBER(SEARCH('WSF DASHBOARD'!$C$4,INDEX(MASTER_AREAS!$B:$B,666)))),665,""),""),IF('WSF DASHBOARD'!$B$4="Zone",IF(665&lt;=$D$4,IF(OR('WSF DASHBOARD'!$C$4="",ISNUMBER(SEARCH('WSF DASHBOARD'!$C$4,INDEX(MASTER_ZONES!$B:$B,666)))),665,""),""),""))</f>
        <v/>
      </c>
      <c r="F666">
        <f>IF('TRANSPORT DASHBOARD'!$B$4="Area",IF(665&lt;=$I$3,IF(OR('TRANSPORT DASHBOARD'!$C$4="",ISNUMBER(SEARCH('TRANSPORT DASHBOARD'!$C$4,INDEX(MASTER_AREAS!$B:$B,666)))),665,""),""),IF('TRANSPORT DASHBOARD'!$B$4="Zone",IF(665&lt;=$I$4,IF(OR('TRANSPORT DASHBOARD'!$C$4="",ISNUMBER(SEARCH('TRANSPORT DASHBOARD'!$C$4,INDEX(MASTER_ZONES!$B:$B,666)))),665,""),""),""))</f>
        <v/>
      </c>
    </row>
    <row r="667">
      <c r="A667">
        <f>IF('WSF DASHBOARD'!$B$4="Area",IF(666&lt;=$D$3,IF(OR('WSF DASHBOARD'!$C$4="",ISNUMBER(SEARCH('WSF DASHBOARD'!$C$4,INDEX(MASTER_AREAS!$B:$B,667)))),666,""),""),IF('WSF DASHBOARD'!$B$4="Zone",IF(666&lt;=$D$4,IF(OR('WSF DASHBOARD'!$C$4="",ISNUMBER(SEARCH('WSF DASHBOARD'!$C$4,INDEX(MASTER_ZONES!$B:$B,667)))),666,""),""),""))</f>
        <v/>
      </c>
      <c r="F667">
        <f>IF('TRANSPORT DASHBOARD'!$B$4="Area",IF(666&lt;=$I$3,IF(OR('TRANSPORT DASHBOARD'!$C$4="",ISNUMBER(SEARCH('TRANSPORT DASHBOARD'!$C$4,INDEX(MASTER_AREAS!$B:$B,667)))),666,""),""),IF('TRANSPORT DASHBOARD'!$B$4="Zone",IF(666&lt;=$I$4,IF(OR('TRANSPORT DASHBOARD'!$C$4="",ISNUMBER(SEARCH('TRANSPORT DASHBOARD'!$C$4,INDEX(MASTER_ZONES!$B:$B,667)))),666,""),""),""))</f>
        <v/>
      </c>
    </row>
    <row r="668">
      <c r="A668">
        <f>IF('WSF DASHBOARD'!$B$4="Area",IF(667&lt;=$D$3,IF(OR('WSF DASHBOARD'!$C$4="",ISNUMBER(SEARCH('WSF DASHBOARD'!$C$4,INDEX(MASTER_AREAS!$B:$B,668)))),667,""),""),IF('WSF DASHBOARD'!$B$4="Zone",IF(667&lt;=$D$4,IF(OR('WSF DASHBOARD'!$C$4="",ISNUMBER(SEARCH('WSF DASHBOARD'!$C$4,INDEX(MASTER_ZONES!$B:$B,668)))),667,""),""),""))</f>
        <v/>
      </c>
      <c r="F668">
        <f>IF('TRANSPORT DASHBOARD'!$B$4="Area",IF(667&lt;=$I$3,IF(OR('TRANSPORT DASHBOARD'!$C$4="",ISNUMBER(SEARCH('TRANSPORT DASHBOARD'!$C$4,INDEX(MASTER_AREAS!$B:$B,668)))),667,""),""),IF('TRANSPORT DASHBOARD'!$B$4="Zone",IF(667&lt;=$I$4,IF(OR('TRANSPORT DASHBOARD'!$C$4="",ISNUMBER(SEARCH('TRANSPORT DASHBOARD'!$C$4,INDEX(MASTER_ZONES!$B:$B,668)))),667,""),""),""))</f>
        <v/>
      </c>
    </row>
    <row r="669">
      <c r="A669">
        <f>IF('WSF DASHBOARD'!$B$4="Area",IF(668&lt;=$D$3,IF(OR('WSF DASHBOARD'!$C$4="",ISNUMBER(SEARCH('WSF DASHBOARD'!$C$4,INDEX(MASTER_AREAS!$B:$B,669)))),668,""),""),IF('WSF DASHBOARD'!$B$4="Zone",IF(668&lt;=$D$4,IF(OR('WSF DASHBOARD'!$C$4="",ISNUMBER(SEARCH('WSF DASHBOARD'!$C$4,INDEX(MASTER_ZONES!$B:$B,669)))),668,""),""),""))</f>
        <v/>
      </c>
      <c r="F669">
        <f>IF('TRANSPORT DASHBOARD'!$B$4="Area",IF(668&lt;=$I$3,IF(OR('TRANSPORT DASHBOARD'!$C$4="",ISNUMBER(SEARCH('TRANSPORT DASHBOARD'!$C$4,INDEX(MASTER_AREAS!$B:$B,669)))),668,""),""),IF('TRANSPORT DASHBOARD'!$B$4="Zone",IF(668&lt;=$I$4,IF(OR('TRANSPORT DASHBOARD'!$C$4="",ISNUMBER(SEARCH('TRANSPORT DASHBOARD'!$C$4,INDEX(MASTER_ZONES!$B:$B,669)))),668,""),""),""))</f>
        <v/>
      </c>
    </row>
    <row r="670">
      <c r="A670">
        <f>IF('WSF DASHBOARD'!$B$4="Area",IF(669&lt;=$D$3,IF(OR('WSF DASHBOARD'!$C$4="",ISNUMBER(SEARCH('WSF DASHBOARD'!$C$4,INDEX(MASTER_AREAS!$B:$B,670)))),669,""),""),IF('WSF DASHBOARD'!$B$4="Zone",IF(669&lt;=$D$4,IF(OR('WSF DASHBOARD'!$C$4="",ISNUMBER(SEARCH('WSF DASHBOARD'!$C$4,INDEX(MASTER_ZONES!$B:$B,670)))),669,""),""),""))</f>
        <v/>
      </c>
      <c r="F670">
        <f>IF('TRANSPORT DASHBOARD'!$B$4="Area",IF(669&lt;=$I$3,IF(OR('TRANSPORT DASHBOARD'!$C$4="",ISNUMBER(SEARCH('TRANSPORT DASHBOARD'!$C$4,INDEX(MASTER_AREAS!$B:$B,670)))),669,""),""),IF('TRANSPORT DASHBOARD'!$B$4="Zone",IF(669&lt;=$I$4,IF(OR('TRANSPORT DASHBOARD'!$C$4="",ISNUMBER(SEARCH('TRANSPORT DASHBOARD'!$C$4,INDEX(MASTER_ZONES!$B:$B,670)))),669,""),""),""))</f>
        <v/>
      </c>
    </row>
    <row r="671">
      <c r="A671">
        <f>IF('WSF DASHBOARD'!$B$4="Area",IF(670&lt;=$D$3,IF(OR('WSF DASHBOARD'!$C$4="",ISNUMBER(SEARCH('WSF DASHBOARD'!$C$4,INDEX(MASTER_AREAS!$B:$B,671)))),670,""),""),IF('WSF DASHBOARD'!$B$4="Zone",IF(670&lt;=$D$4,IF(OR('WSF DASHBOARD'!$C$4="",ISNUMBER(SEARCH('WSF DASHBOARD'!$C$4,INDEX(MASTER_ZONES!$B:$B,671)))),670,""),""),""))</f>
        <v/>
      </c>
      <c r="F671">
        <f>IF('TRANSPORT DASHBOARD'!$B$4="Area",IF(670&lt;=$I$3,IF(OR('TRANSPORT DASHBOARD'!$C$4="",ISNUMBER(SEARCH('TRANSPORT DASHBOARD'!$C$4,INDEX(MASTER_AREAS!$B:$B,671)))),670,""),""),IF('TRANSPORT DASHBOARD'!$B$4="Zone",IF(670&lt;=$I$4,IF(OR('TRANSPORT DASHBOARD'!$C$4="",ISNUMBER(SEARCH('TRANSPORT DASHBOARD'!$C$4,INDEX(MASTER_ZONES!$B:$B,671)))),670,""),""),""))</f>
        <v/>
      </c>
    </row>
    <row r="672">
      <c r="A672">
        <f>IF('WSF DASHBOARD'!$B$4="Area",IF(671&lt;=$D$3,IF(OR('WSF DASHBOARD'!$C$4="",ISNUMBER(SEARCH('WSF DASHBOARD'!$C$4,INDEX(MASTER_AREAS!$B:$B,672)))),671,""),""),IF('WSF DASHBOARD'!$B$4="Zone",IF(671&lt;=$D$4,IF(OR('WSF DASHBOARD'!$C$4="",ISNUMBER(SEARCH('WSF DASHBOARD'!$C$4,INDEX(MASTER_ZONES!$B:$B,672)))),671,""),""),""))</f>
        <v/>
      </c>
      <c r="F672">
        <f>IF('TRANSPORT DASHBOARD'!$B$4="Area",IF(671&lt;=$I$3,IF(OR('TRANSPORT DASHBOARD'!$C$4="",ISNUMBER(SEARCH('TRANSPORT DASHBOARD'!$C$4,INDEX(MASTER_AREAS!$B:$B,672)))),671,""),""),IF('TRANSPORT DASHBOARD'!$B$4="Zone",IF(671&lt;=$I$4,IF(OR('TRANSPORT DASHBOARD'!$C$4="",ISNUMBER(SEARCH('TRANSPORT DASHBOARD'!$C$4,INDEX(MASTER_ZONES!$B:$B,672)))),671,""),""),""))</f>
        <v/>
      </c>
    </row>
    <row r="673">
      <c r="A673">
        <f>IF('WSF DASHBOARD'!$B$4="Area",IF(672&lt;=$D$3,IF(OR('WSF DASHBOARD'!$C$4="",ISNUMBER(SEARCH('WSF DASHBOARD'!$C$4,INDEX(MASTER_AREAS!$B:$B,673)))),672,""),""),IF('WSF DASHBOARD'!$B$4="Zone",IF(672&lt;=$D$4,IF(OR('WSF DASHBOARD'!$C$4="",ISNUMBER(SEARCH('WSF DASHBOARD'!$C$4,INDEX(MASTER_ZONES!$B:$B,673)))),672,""),""),""))</f>
        <v/>
      </c>
      <c r="F673">
        <f>IF('TRANSPORT DASHBOARD'!$B$4="Area",IF(672&lt;=$I$3,IF(OR('TRANSPORT DASHBOARD'!$C$4="",ISNUMBER(SEARCH('TRANSPORT DASHBOARD'!$C$4,INDEX(MASTER_AREAS!$B:$B,673)))),672,""),""),IF('TRANSPORT DASHBOARD'!$B$4="Zone",IF(672&lt;=$I$4,IF(OR('TRANSPORT DASHBOARD'!$C$4="",ISNUMBER(SEARCH('TRANSPORT DASHBOARD'!$C$4,INDEX(MASTER_ZONES!$B:$B,673)))),672,""),""),""))</f>
        <v/>
      </c>
    </row>
    <row r="674">
      <c r="A674">
        <f>IF('WSF DASHBOARD'!$B$4="Area",IF(673&lt;=$D$3,IF(OR('WSF DASHBOARD'!$C$4="",ISNUMBER(SEARCH('WSF DASHBOARD'!$C$4,INDEX(MASTER_AREAS!$B:$B,674)))),673,""),""),IF('WSF DASHBOARD'!$B$4="Zone",IF(673&lt;=$D$4,IF(OR('WSF DASHBOARD'!$C$4="",ISNUMBER(SEARCH('WSF DASHBOARD'!$C$4,INDEX(MASTER_ZONES!$B:$B,674)))),673,""),""),""))</f>
        <v/>
      </c>
      <c r="F674">
        <f>IF('TRANSPORT DASHBOARD'!$B$4="Area",IF(673&lt;=$I$3,IF(OR('TRANSPORT DASHBOARD'!$C$4="",ISNUMBER(SEARCH('TRANSPORT DASHBOARD'!$C$4,INDEX(MASTER_AREAS!$B:$B,674)))),673,""),""),IF('TRANSPORT DASHBOARD'!$B$4="Zone",IF(673&lt;=$I$4,IF(OR('TRANSPORT DASHBOARD'!$C$4="",ISNUMBER(SEARCH('TRANSPORT DASHBOARD'!$C$4,INDEX(MASTER_ZONES!$B:$B,674)))),673,""),""),""))</f>
        <v/>
      </c>
    </row>
    <row r="675">
      <c r="A675">
        <f>IF('WSF DASHBOARD'!$B$4="Area",IF(674&lt;=$D$3,IF(OR('WSF DASHBOARD'!$C$4="",ISNUMBER(SEARCH('WSF DASHBOARD'!$C$4,INDEX(MASTER_AREAS!$B:$B,675)))),674,""),""),IF('WSF DASHBOARD'!$B$4="Zone",IF(674&lt;=$D$4,IF(OR('WSF DASHBOARD'!$C$4="",ISNUMBER(SEARCH('WSF DASHBOARD'!$C$4,INDEX(MASTER_ZONES!$B:$B,675)))),674,""),""),""))</f>
        <v/>
      </c>
      <c r="F675">
        <f>IF('TRANSPORT DASHBOARD'!$B$4="Area",IF(674&lt;=$I$3,IF(OR('TRANSPORT DASHBOARD'!$C$4="",ISNUMBER(SEARCH('TRANSPORT DASHBOARD'!$C$4,INDEX(MASTER_AREAS!$B:$B,675)))),674,""),""),IF('TRANSPORT DASHBOARD'!$B$4="Zone",IF(674&lt;=$I$4,IF(OR('TRANSPORT DASHBOARD'!$C$4="",ISNUMBER(SEARCH('TRANSPORT DASHBOARD'!$C$4,INDEX(MASTER_ZONES!$B:$B,675)))),674,""),""),""))</f>
        <v/>
      </c>
    </row>
    <row r="676">
      <c r="A676">
        <f>IF('WSF DASHBOARD'!$B$4="Area",IF(675&lt;=$D$3,IF(OR('WSF DASHBOARD'!$C$4="",ISNUMBER(SEARCH('WSF DASHBOARD'!$C$4,INDEX(MASTER_AREAS!$B:$B,676)))),675,""),""),IF('WSF DASHBOARD'!$B$4="Zone",IF(675&lt;=$D$4,IF(OR('WSF DASHBOARD'!$C$4="",ISNUMBER(SEARCH('WSF DASHBOARD'!$C$4,INDEX(MASTER_ZONES!$B:$B,676)))),675,""),""),""))</f>
        <v/>
      </c>
      <c r="F676">
        <f>IF('TRANSPORT DASHBOARD'!$B$4="Area",IF(675&lt;=$I$3,IF(OR('TRANSPORT DASHBOARD'!$C$4="",ISNUMBER(SEARCH('TRANSPORT DASHBOARD'!$C$4,INDEX(MASTER_AREAS!$B:$B,676)))),675,""),""),IF('TRANSPORT DASHBOARD'!$B$4="Zone",IF(675&lt;=$I$4,IF(OR('TRANSPORT DASHBOARD'!$C$4="",ISNUMBER(SEARCH('TRANSPORT DASHBOARD'!$C$4,INDEX(MASTER_ZONES!$B:$B,676)))),675,""),""),""))</f>
        <v/>
      </c>
    </row>
    <row r="677">
      <c r="A677">
        <f>IF('WSF DASHBOARD'!$B$4="Area",IF(676&lt;=$D$3,IF(OR('WSF DASHBOARD'!$C$4="",ISNUMBER(SEARCH('WSF DASHBOARD'!$C$4,INDEX(MASTER_AREAS!$B:$B,677)))),676,""),""),IF('WSF DASHBOARD'!$B$4="Zone",IF(676&lt;=$D$4,IF(OR('WSF DASHBOARD'!$C$4="",ISNUMBER(SEARCH('WSF DASHBOARD'!$C$4,INDEX(MASTER_ZONES!$B:$B,677)))),676,""),""),""))</f>
        <v/>
      </c>
      <c r="F677">
        <f>IF('TRANSPORT DASHBOARD'!$B$4="Area",IF(676&lt;=$I$3,IF(OR('TRANSPORT DASHBOARD'!$C$4="",ISNUMBER(SEARCH('TRANSPORT DASHBOARD'!$C$4,INDEX(MASTER_AREAS!$B:$B,677)))),676,""),""),IF('TRANSPORT DASHBOARD'!$B$4="Zone",IF(676&lt;=$I$4,IF(OR('TRANSPORT DASHBOARD'!$C$4="",ISNUMBER(SEARCH('TRANSPORT DASHBOARD'!$C$4,INDEX(MASTER_ZONES!$B:$B,677)))),676,""),""),""))</f>
        <v/>
      </c>
    </row>
    <row r="678">
      <c r="A678">
        <f>IF('WSF DASHBOARD'!$B$4="Area",IF(677&lt;=$D$3,IF(OR('WSF DASHBOARD'!$C$4="",ISNUMBER(SEARCH('WSF DASHBOARD'!$C$4,INDEX(MASTER_AREAS!$B:$B,678)))),677,""),""),IF('WSF DASHBOARD'!$B$4="Zone",IF(677&lt;=$D$4,IF(OR('WSF DASHBOARD'!$C$4="",ISNUMBER(SEARCH('WSF DASHBOARD'!$C$4,INDEX(MASTER_ZONES!$B:$B,678)))),677,""),""),""))</f>
        <v/>
      </c>
      <c r="F678">
        <f>IF('TRANSPORT DASHBOARD'!$B$4="Area",IF(677&lt;=$I$3,IF(OR('TRANSPORT DASHBOARD'!$C$4="",ISNUMBER(SEARCH('TRANSPORT DASHBOARD'!$C$4,INDEX(MASTER_AREAS!$B:$B,678)))),677,""),""),IF('TRANSPORT DASHBOARD'!$B$4="Zone",IF(677&lt;=$I$4,IF(OR('TRANSPORT DASHBOARD'!$C$4="",ISNUMBER(SEARCH('TRANSPORT DASHBOARD'!$C$4,INDEX(MASTER_ZONES!$B:$B,678)))),677,""),""),""))</f>
        <v/>
      </c>
    </row>
    <row r="679">
      <c r="A679">
        <f>IF('WSF DASHBOARD'!$B$4="Area",IF(678&lt;=$D$3,IF(OR('WSF DASHBOARD'!$C$4="",ISNUMBER(SEARCH('WSF DASHBOARD'!$C$4,INDEX(MASTER_AREAS!$B:$B,679)))),678,""),""),IF('WSF DASHBOARD'!$B$4="Zone",IF(678&lt;=$D$4,IF(OR('WSF DASHBOARD'!$C$4="",ISNUMBER(SEARCH('WSF DASHBOARD'!$C$4,INDEX(MASTER_ZONES!$B:$B,679)))),678,""),""),""))</f>
        <v/>
      </c>
      <c r="F679">
        <f>IF('TRANSPORT DASHBOARD'!$B$4="Area",IF(678&lt;=$I$3,IF(OR('TRANSPORT DASHBOARD'!$C$4="",ISNUMBER(SEARCH('TRANSPORT DASHBOARD'!$C$4,INDEX(MASTER_AREAS!$B:$B,679)))),678,""),""),IF('TRANSPORT DASHBOARD'!$B$4="Zone",IF(678&lt;=$I$4,IF(OR('TRANSPORT DASHBOARD'!$C$4="",ISNUMBER(SEARCH('TRANSPORT DASHBOARD'!$C$4,INDEX(MASTER_ZONES!$B:$B,679)))),678,""),""),""))</f>
        <v/>
      </c>
    </row>
    <row r="680">
      <c r="A680">
        <f>IF('WSF DASHBOARD'!$B$4="Area",IF(679&lt;=$D$3,IF(OR('WSF DASHBOARD'!$C$4="",ISNUMBER(SEARCH('WSF DASHBOARD'!$C$4,INDEX(MASTER_AREAS!$B:$B,680)))),679,""),""),IF('WSF DASHBOARD'!$B$4="Zone",IF(679&lt;=$D$4,IF(OR('WSF DASHBOARD'!$C$4="",ISNUMBER(SEARCH('WSF DASHBOARD'!$C$4,INDEX(MASTER_ZONES!$B:$B,680)))),679,""),""),""))</f>
        <v/>
      </c>
      <c r="F680">
        <f>IF('TRANSPORT DASHBOARD'!$B$4="Area",IF(679&lt;=$I$3,IF(OR('TRANSPORT DASHBOARD'!$C$4="",ISNUMBER(SEARCH('TRANSPORT DASHBOARD'!$C$4,INDEX(MASTER_AREAS!$B:$B,680)))),679,""),""),IF('TRANSPORT DASHBOARD'!$B$4="Zone",IF(679&lt;=$I$4,IF(OR('TRANSPORT DASHBOARD'!$C$4="",ISNUMBER(SEARCH('TRANSPORT DASHBOARD'!$C$4,INDEX(MASTER_ZONES!$B:$B,680)))),679,""),""),""))</f>
        <v/>
      </c>
    </row>
    <row r="681">
      <c r="A681">
        <f>IF('WSF DASHBOARD'!$B$4="Area",IF(680&lt;=$D$3,IF(OR('WSF DASHBOARD'!$C$4="",ISNUMBER(SEARCH('WSF DASHBOARD'!$C$4,INDEX(MASTER_AREAS!$B:$B,681)))),680,""),""),IF('WSF DASHBOARD'!$B$4="Zone",IF(680&lt;=$D$4,IF(OR('WSF DASHBOARD'!$C$4="",ISNUMBER(SEARCH('WSF DASHBOARD'!$C$4,INDEX(MASTER_ZONES!$B:$B,681)))),680,""),""),""))</f>
        <v/>
      </c>
      <c r="F681">
        <f>IF('TRANSPORT DASHBOARD'!$B$4="Area",IF(680&lt;=$I$3,IF(OR('TRANSPORT DASHBOARD'!$C$4="",ISNUMBER(SEARCH('TRANSPORT DASHBOARD'!$C$4,INDEX(MASTER_AREAS!$B:$B,681)))),680,""),""),IF('TRANSPORT DASHBOARD'!$B$4="Zone",IF(680&lt;=$I$4,IF(OR('TRANSPORT DASHBOARD'!$C$4="",ISNUMBER(SEARCH('TRANSPORT DASHBOARD'!$C$4,INDEX(MASTER_ZONES!$B:$B,681)))),680,""),""),""))</f>
        <v/>
      </c>
    </row>
    <row r="682">
      <c r="A682">
        <f>IF('WSF DASHBOARD'!$B$4="Area",IF(681&lt;=$D$3,IF(OR('WSF DASHBOARD'!$C$4="",ISNUMBER(SEARCH('WSF DASHBOARD'!$C$4,INDEX(MASTER_AREAS!$B:$B,682)))),681,""),""),IF('WSF DASHBOARD'!$B$4="Zone",IF(681&lt;=$D$4,IF(OR('WSF DASHBOARD'!$C$4="",ISNUMBER(SEARCH('WSF DASHBOARD'!$C$4,INDEX(MASTER_ZONES!$B:$B,682)))),681,""),""),""))</f>
        <v/>
      </c>
      <c r="F682">
        <f>IF('TRANSPORT DASHBOARD'!$B$4="Area",IF(681&lt;=$I$3,IF(OR('TRANSPORT DASHBOARD'!$C$4="",ISNUMBER(SEARCH('TRANSPORT DASHBOARD'!$C$4,INDEX(MASTER_AREAS!$B:$B,682)))),681,""),""),IF('TRANSPORT DASHBOARD'!$B$4="Zone",IF(681&lt;=$I$4,IF(OR('TRANSPORT DASHBOARD'!$C$4="",ISNUMBER(SEARCH('TRANSPORT DASHBOARD'!$C$4,INDEX(MASTER_ZONES!$B:$B,682)))),681,""),""),""))</f>
        <v/>
      </c>
    </row>
    <row r="683">
      <c r="A683">
        <f>IF('WSF DASHBOARD'!$B$4="Area",IF(682&lt;=$D$3,IF(OR('WSF DASHBOARD'!$C$4="",ISNUMBER(SEARCH('WSF DASHBOARD'!$C$4,INDEX(MASTER_AREAS!$B:$B,683)))),682,""),""),IF('WSF DASHBOARD'!$B$4="Zone",IF(682&lt;=$D$4,IF(OR('WSF DASHBOARD'!$C$4="",ISNUMBER(SEARCH('WSF DASHBOARD'!$C$4,INDEX(MASTER_ZONES!$B:$B,683)))),682,""),""),""))</f>
        <v/>
      </c>
      <c r="F683">
        <f>IF('TRANSPORT DASHBOARD'!$B$4="Area",IF(682&lt;=$I$3,IF(OR('TRANSPORT DASHBOARD'!$C$4="",ISNUMBER(SEARCH('TRANSPORT DASHBOARD'!$C$4,INDEX(MASTER_AREAS!$B:$B,683)))),682,""),""),IF('TRANSPORT DASHBOARD'!$B$4="Zone",IF(682&lt;=$I$4,IF(OR('TRANSPORT DASHBOARD'!$C$4="",ISNUMBER(SEARCH('TRANSPORT DASHBOARD'!$C$4,INDEX(MASTER_ZONES!$B:$B,683)))),682,""),""),""))</f>
        <v/>
      </c>
    </row>
    <row r="684">
      <c r="A684">
        <f>IF('WSF DASHBOARD'!$B$4="Area",IF(683&lt;=$D$3,IF(OR('WSF DASHBOARD'!$C$4="",ISNUMBER(SEARCH('WSF DASHBOARD'!$C$4,INDEX(MASTER_AREAS!$B:$B,684)))),683,""),""),IF('WSF DASHBOARD'!$B$4="Zone",IF(683&lt;=$D$4,IF(OR('WSF DASHBOARD'!$C$4="",ISNUMBER(SEARCH('WSF DASHBOARD'!$C$4,INDEX(MASTER_ZONES!$B:$B,684)))),683,""),""),""))</f>
        <v/>
      </c>
      <c r="F684">
        <f>IF('TRANSPORT DASHBOARD'!$B$4="Area",IF(683&lt;=$I$3,IF(OR('TRANSPORT DASHBOARD'!$C$4="",ISNUMBER(SEARCH('TRANSPORT DASHBOARD'!$C$4,INDEX(MASTER_AREAS!$B:$B,684)))),683,""),""),IF('TRANSPORT DASHBOARD'!$B$4="Zone",IF(683&lt;=$I$4,IF(OR('TRANSPORT DASHBOARD'!$C$4="",ISNUMBER(SEARCH('TRANSPORT DASHBOARD'!$C$4,INDEX(MASTER_ZONES!$B:$B,684)))),683,""),""),""))</f>
        <v/>
      </c>
    </row>
    <row r="685">
      <c r="A685">
        <f>IF('WSF DASHBOARD'!$B$4="Area",IF(684&lt;=$D$3,IF(OR('WSF DASHBOARD'!$C$4="",ISNUMBER(SEARCH('WSF DASHBOARD'!$C$4,INDEX(MASTER_AREAS!$B:$B,685)))),684,""),""),IF('WSF DASHBOARD'!$B$4="Zone",IF(684&lt;=$D$4,IF(OR('WSF DASHBOARD'!$C$4="",ISNUMBER(SEARCH('WSF DASHBOARD'!$C$4,INDEX(MASTER_ZONES!$B:$B,685)))),684,""),""),""))</f>
        <v/>
      </c>
      <c r="F685">
        <f>IF('TRANSPORT DASHBOARD'!$B$4="Area",IF(684&lt;=$I$3,IF(OR('TRANSPORT DASHBOARD'!$C$4="",ISNUMBER(SEARCH('TRANSPORT DASHBOARD'!$C$4,INDEX(MASTER_AREAS!$B:$B,685)))),684,""),""),IF('TRANSPORT DASHBOARD'!$B$4="Zone",IF(684&lt;=$I$4,IF(OR('TRANSPORT DASHBOARD'!$C$4="",ISNUMBER(SEARCH('TRANSPORT DASHBOARD'!$C$4,INDEX(MASTER_ZONES!$B:$B,685)))),684,""),""),""))</f>
        <v/>
      </c>
    </row>
    <row r="686">
      <c r="A686">
        <f>IF('WSF DASHBOARD'!$B$4="Area",IF(685&lt;=$D$3,IF(OR('WSF DASHBOARD'!$C$4="",ISNUMBER(SEARCH('WSF DASHBOARD'!$C$4,INDEX(MASTER_AREAS!$B:$B,686)))),685,""),""),IF('WSF DASHBOARD'!$B$4="Zone",IF(685&lt;=$D$4,IF(OR('WSF DASHBOARD'!$C$4="",ISNUMBER(SEARCH('WSF DASHBOARD'!$C$4,INDEX(MASTER_ZONES!$B:$B,686)))),685,""),""),""))</f>
        <v/>
      </c>
      <c r="F686">
        <f>IF('TRANSPORT DASHBOARD'!$B$4="Area",IF(685&lt;=$I$3,IF(OR('TRANSPORT DASHBOARD'!$C$4="",ISNUMBER(SEARCH('TRANSPORT DASHBOARD'!$C$4,INDEX(MASTER_AREAS!$B:$B,686)))),685,""),""),IF('TRANSPORT DASHBOARD'!$B$4="Zone",IF(685&lt;=$I$4,IF(OR('TRANSPORT DASHBOARD'!$C$4="",ISNUMBER(SEARCH('TRANSPORT DASHBOARD'!$C$4,INDEX(MASTER_ZONES!$B:$B,686)))),685,""),""),""))</f>
        <v/>
      </c>
    </row>
    <row r="687">
      <c r="A687">
        <f>IF('WSF DASHBOARD'!$B$4="Area",IF(686&lt;=$D$3,IF(OR('WSF DASHBOARD'!$C$4="",ISNUMBER(SEARCH('WSF DASHBOARD'!$C$4,INDEX(MASTER_AREAS!$B:$B,687)))),686,""),""),IF('WSF DASHBOARD'!$B$4="Zone",IF(686&lt;=$D$4,IF(OR('WSF DASHBOARD'!$C$4="",ISNUMBER(SEARCH('WSF DASHBOARD'!$C$4,INDEX(MASTER_ZONES!$B:$B,687)))),686,""),""),""))</f>
        <v/>
      </c>
      <c r="F687">
        <f>IF('TRANSPORT DASHBOARD'!$B$4="Area",IF(686&lt;=$I$3,IF(OR('TRANSPORT DASHBOARD'!$C$4="",ISNUMBER(SEARCH('TRANSPORT DASHBOARD'!$C$4,INDEX(MASTER_AREAS!$B:$B,687)))),686,""),""),IF('TRANSPORT DASHBOARD'!$B$4="Zone",IF(686&lt;=$I$4,IF(OR('TRANSPORT DASHBOARD'!$C$4="",ISNUMBER(SEARCH('TRANSPORT DASHBOARD'!$C$4,INDEX(MASTER_ZONES!$B:$B,687)))),686,""),""),""))</f>
        <v/>
      </c>
    </row>
    <row r="688">
      <c r="A688">
        <f>IF('WSF DASHBOARD'!$B$4="Area",IF(687&lt;=$D$3,IF(OR('WSF DASHBOARD'!$C$4="",ISNUMBER(SEARCH('WSF DASHBOARD'!$C$4,INDEX(MASTER_AREAS!$B:$B,688)))),687,""),""),IF('WSF DASHBOARD'!$B$4="Zone",IF(687&lt;=$D$4,IF(OR('WSF DASHBOARD'!$C$4="",ISNUMBER(SEARCH('WSF DASHBOARD'!$C$4,INDEX(MASTER_ZONES!$B:$B,688)))),687,""),""),""))</f>
        <v/>
      </c>
      <c r="F688">
        <f>IF('TRANSPORT DASHBOARD'!$B$4="Area",IF(687&lt;=$I$3,IF(OR('TRANSPORT DASHBOARD'!$C$4="",ISNUMBER(SEARCH('TRANSPORT DASHBOARD'!$C$4,INDEX(MASTER_AREAS!$B:$B,688)))),687,""),""),IF('TRANSPORT DASHBOARD'!$B$4="Zone",IF(687&lt;=$I$4,IF(OR('TRANSPORT DASHBOARD'!$C$4="",ISNUMBER(SEARCH('TRANSPORT DASHBOARD'!$C$4,INDEX(MASTER_ZONES!$B:$B,688)))),687,""),""),""))</f>
        <v/>
      </c>
    </row>
    <row r="689">
      <c r="A689">
        <f>IF('WSF DASHBOARD'!$B$4="Area",IF(688&lt;=$D$3,IF(OR('WSF DASHBOARD'!$C$4="",ISNUMBER(SEARCH('WSF DASHBOARD'!$C$4,INDEX(MASTER_AREAS!$B:$B,689)))),688,""),""),IF('WSF DASHBOARD'!$B$4="Zone",IF(688&lt;=$D$4,IF(OR('WSF DASHBOARD'!$C$4="",ISNUMBER(SEARCH('WSF DASHBOARD'!$C$4,INDEX(MASTER_ZONES!$B:$B,689)))),688,""),""),""))</f>
        <v/>
      </c>
      <c r="F689">
        <f>IF('TRANSPORT DASHBOARD'!$B$4="Area",IF(688&lt;=$I$3,IF(OR('TRANSPORT DASHBOARD'!$C$4="",ISNUMBER(SEARCH('TRANSPORT DASHBOARD'!$C$4,INDEX(MASTER_AREAS!$B:$B,689)))),688,""),""),IF('TRANSPORT DASHBOARD'!$B$4="Zone",IF(688&lt;=$I$4,IF(OR('TRANSPORT DASHBOARD'!$C$4="",ISNUMBER(SEARCH('TRANSPORT DASHBOARD'!$C$4,INDEX(MASTER_ZONES!$B:$B,689)))),688,""),""),""))</f>
        <v/>
      </c>
    </row>
    <row r="690">
      <c r="A690">
        <f>IF('WSF DASHBOARD'!$B$4="Area",IF(689&lt;=$D$3,IF(OR('WSF DASHBOARD'!$C$4="",ISNUMBER(SEARCH('WSF DASHBOARD'!$C$4,INDEX(MASTER_AREAS!$B:$B,690)))),689,""),""),IF('WSF DASHBOARD'!$B$4="Zone",IF(689&lt;=$D$4,IF(OR('WSF DASHBOARD'!$C$4="",ISNUMBER(SEARCH('WSF DASHBOARD'!$C$4,INDEX(MASTER_ZONES!$B:$B,690)))),689,""),""),""))</f>
        <v/>
      </c>
      <c r="F690">
        <f>IF('TRANSPORT DASHBOARD'!$B$4="Area",IF(689&lt;=$I$3,IF(OR('TRANSPORT DASHBOARD'!$C$4="",ISNUMBER(SEARCH('TRANSPORT DASHBOARD'!$C$4,INDEX(MASTER_AREAS!$B:$B,690)))),689,""),""),IF('TRANSPORT DASHBOARD'!$B$4="Zone",IF(689&lt;=$I$4,IF(OR('TRANSPORT DASHBOARD'!$C$4="",ISNUMBER(SEARCH('TRANSPORT DASHBOARD'!$C$4,INDEX(MASTER_ZONES!$B:$B,690)))),689,""),""),""))</f>
        <v/>
      </c>
    </row>
    <row r="691">
      <c r="A691">
        <f>IF('WSF DASHBOARD'!$B$4="Area",IF(690&lt;=$D$3,IF(OR('WSF DASHBOARD'!$C$4="",ISNUMBER(SEARCH('WSF DASHBOARD'!$C$4,INDEX(MASTER_AREAS!$B:$B,691)))),690,""),""),IF('WSF DASHBOARD'!$B$4="Zone",IF(690&lt;=$D$4,IF(OR('WSF DASHBOARD'!$C$4="",ISNUMBER(SEARCH('WSF DASHBOARD'!$C$4,INDEX(MASTER_ZONES!$B:$B,691)))),690,""),""),""))</f>
        <v/>
      </c>
      <c r="F691">
        <f>IF('TRANSPORT DASHBOARD'!$B$4="Area",IF(690&lt;=$I$3,IF(OR('TRANSPORT DASHBOARD'!$C$4="",ISNUMBER(SEARCH('TRANSPORT DASHBOARD'!$C$4,INDEX(MASTER_AREAS!$B:$B,691)))),690,""),""),IF('TRANSPORT DASHBOARD'!$B$4="Zone",IF(690&lt;=$I$4,IF(OR('TRANSPORT DASHBOARD'!$C$4="",ISNUMBER(SEARCH('TRANSPORT DASHBOARD'!$C$4,INDEX(MASTER_ZONES!$B:$B,691)))),690,""),""),""))</f>
        <v/>
      </c>
    </row>
    <row r="692">
      <c r="A692">
        <f>IF('WSF DASHBOARD'!$B$4="Area",IF(691&lt;=$D$3,IF(OR('WSF DASHBOARD'!$C$4="",ISNUMBER(SEARCH('WSF DASHBOARD'!$C$4,INDEX(MASTER_AREAS!$B:$B,692)))),691,""),""),IF('WSF DASHBOARD'!$B$4="Zone",IF(691&lt;=$D$4,IF(OR('WSF DASHBOARD'!$C$4="",ISNUMBER(SEARCH('WSF DASHBOARD'!$C$4,INDEX(MASTER_ZONES!$B:$B,692)))),691,""),""),""))</f>
        <v/>
      </c>
      <c r="F692">
        <f>IF('TRANSPORT DASHBOARD'!$B$4="Area",IF(691&lt;=$I$3,IF(OR('TRANSPORT DASHBOARD'!$C$4="",ISNUMBER(SEARCH('TRANSPORT DASHBOARD'!$C$4,INDEX(MASTER_AREAS!$B:$B,692)))),691,""),""),IF('TRANSPORT DASHBOARD'!$B$4="Zone",IF(691&lt;=$I$4,IF(OR('TRANSPORT DASHBOARD'!$C$4="",ISNUMBER(SEARCH('TRANSPORT DASHBOARD'!$C$4,INDEX(MASTER_ZONES!$B:$B,692)))),691,""),""),""))</f>
        <v/>
      </c>
    </row>
    <row r="693">
      <c r="A693">
        <f>IF('WSF DASHBOARD'!$B$4="Area",IF(692&lt;=$D$3,IF(OR('WSF DASHBOARD'!$C$4="",ISNUMBER(SEARCH('WSF DASHBOARD'!$C$4,INDEX(MASTER_AREAS!$B:$B,693)))),692,""),""),IF('WSF DASHBOARD'!$B$4="Zone",IF(692&lt;=$D$4,IF(OR('WSF DASHBOARD'!$C$4="",ISNUMBER(SEARCH('WSF DASHBOARD'!$C$4,INDEX(MASTER_ZONES!$B:$B,693)))),692,""),""),""))</f>
        <v/>
      </c>
      <c r="F693">
        <f>IF('TRANSPORT DASHBOARD'!$B$4="Area",IF(692&lt;=$I$3,IF(OR('TRANSPORT DASHBOARD'!$C$4="",ISNUMBER(SEARCH('TRANSPORT DASHBOARD'!$C$4,INDEX(MASTER_AREAS!$B:$B,693)))),692,""),""),IF('TRANSPORT DASHBOARD'!$B$4="Zone",IF(692&lt;=$I$4,IF(OR('TRANSPORT DASHBOARD'!$C$4="",ISNUMBER(SEARCH('TRANSPORT DASHBOARD'!$C$4,INDEX(MASTER_ZONES!$B:$B,693)))),692,""),""),""))</f>
        <v/>
      </c>
    </row>
    <row r="694">
      <c r="A694">
        <f>IF('WSF DASHBOARD'!$B$4="Area",IF(693&lt;=$D$3,IF(OR('WSF DASHBOARD'!$C$4="",ISNUMBER(SEARCH('WSF DASHBOARD'!$C$4,INDEX(MASTER_AREAS!$B:$B,694)))),693,""),""),IF('WSF DASHBOARD'!$B$4="Zone",IF(693&lt;=$D$4,IF(OR('WSF DASHBOARD'!$C$4="",ISNUMBER(SEARCH('WSF DASHBOARD'!$C$4,INDEX(MASTER_ZONES!$B:$B,694)))),693,""),""),""))</f>
        <v/>
      </c>
      <c r="F694">
        <f>IF('TRANSPORT DASHBOARD'!$B$4="Area",IF(693&lt;=$I$3,IF(OR('TRANSPORT DASHBOARD'!$C$4="",ISNUMBER(SEARCH('TRANSPORT DASHBOARD'!$C$4,INDEX(MASTER_AREAS!$B:$B,694)))),693,""),""),IF('TRANSPORT DASHBOARD'!$B$4="Zone",IF(693&lt;=$I$4,IF(OR('TRANSPORT DASHBOARD'!$C$4="",ISNUMBER(SEARCH('TRANSPORT DASHBOARD'!$C$4,INDEX(MASTER_ZONES!$B:$B,694)))),693,""),""),""))</f>
        <v/>
      </c>
    </row>
    <row r="695">
      <c r="A695">
        <f>IF('WSF DASHBOARD'!$B$4="Area",IF(694&lt;=$D$3,IF(OR('WSF DASHBOARD'!$C$4="",ISNUMBER(SEARCH('WSF DASHBOARD'!$C$4,INDEX(MASTER_AREAS!$B:$B,695)))),694,""),""),IF('WSF DASHBOARD'!$B$4="Zone",IF(694&lt;=$D$4,IF(OR('WSF DASHBOARD'!$C$4="",ISNUMBER(SEARCH('WSF DASHBOARD'!$C$4,INDEX(MASTER_ZONES!$B:$B,695)))),694,""),""),""))</f>
        <v/>
      </c>
      <c r="F695">
        <f>IF('TRANSPORT DASHBOARD'!$B$4="Area",IF(694&lt;=$I$3,IF(OR('TRANSPORT DASHBOARD'!$C$4="",ISNUMBER(SEARCH('TRANSPORT DASHBOARD'!$C$4,INDEX(MASTER_AREAS!$B:$B,695)))),694,""),""),IF('TRANSPORT DASHBOARD'!$B$4="Zone",IF(694&lt;=$I$4,IF(OR('TRANSPORT DASHBOARD'!$C$4="",ISNUMBER(SEARCH('TRANSPORT DASHBOARD'!$C$4,INDEX(MASTER_ZONES!$B:$B,695)))),694,""),""),""))</f>
        <v/>
      </c>
    </row>
    <row r="696">
      <c r="A696">
        <f>IF('WSF DASHBOARD'!$B$4="Area",IF(695&lt;=$D$3,IF(OR('WSF DASHBOARD'!$C$4="",ISNUMBER(SEARCH('WSF DASHBOARD'!$C$4,INDEX(MASTER_AREAS!$B:$B,696)))),695,""),""),IF('WSF DASHBOARD'!$B$4="Zone",IF(695&lt;=$D$4,IF(OR('WSF DASHBOARD'!$C$4="",ISNUMBER(SEARCH('WSF DASHBOARD'!$C$4,INDEX(MASTER_ZONES!$B:$B,696)))),695,""),""),""))</f>
        <v/>
      </c>
      <c r="F696">
        <f>IF('TRANSPORT DASHBOARD'!$B$4="Area",IF(695&lt;=$I$3,IF(OR('TRANSPORT DASHBOARD'!$C$4="",ISNUMBER(SEARCH('TRANSPORT DASHBOARD'!$C$4,INDEX(MASTER_AREAS!$B:$B,696)))),695,""),""),IF('TRANSPORT DASHBOARD'!$B$4="Zone",IF(695&lt;=$I$4,IF(OR('TRANSPORT DASHBOARD'!$C$4="",ISNUMBER(SEARCH('TRANSPORT DASHBOARD'!$C$4,INDEX(MASTER_ZONES!$B:$B,696)))),695,""),""),""))</f>
        <v/>
      </c>
    </row>
    <row r="697">
      <c r="A697">
        <f>IF('WSF DASHBOARD'!$B$4="Area",IF(696&lt;=$D$3,IF(OR('WSF DASHBOARD'!$C$4="",ISNUMBER(SEARCH('WSF DASHBOARD'!$C$4,INDEX(MASTER_AREAS!$B:$B,697)))),696,""),""),IF('WSF DASHBOARD'!$B$4="Zone",IF(696&lt;=$D$4,IF(OR('WSF DASHBOARD'!$C$4="",ISNUMBER(SEARCH('WSF DASHBOARD'!$C$4,INDEX(MASTER_ZONES!$B:$B,697)))),696,""),""),""))</f>
        <v/>
      </c>
      <c r="F697">
        <f>IF('TRANSPORT DASHBOARD'!$B$4="Area",IF(696&lt;=$I$3,IF(OR('TRANSPORT DASHBOARD'!$C$4="",ISNUMBER(SEARCH('TRANSPORT DASHBOARD'!$C$4,INDEX(MASTER_AREAS!$B:$B,697)))),696,""),""),IF('TRANSPORT DASHBOARD'!$B$4="Zone",IF(696&lt;=$I$4,IF(OR('TRANSPORT DASHBOARD'!$C$4="",ISNUMBER(SEARCH('TRANSPORT DASHBOARD'!$C$4,INDEX(MASTER_ZONES!$B:$B,697)))),696,""),""),""))</f>
        <v/>
      </c>
    </row>
    <row r="698">
      <c r="A698">
        <f>IF('WSF DASHBOARD'!$B$4="Area",IF(697&lt;=$D$3,IF(OR('WSF DASHBOARD'!$C$4="",ISNUMBER(SEARCH('WSF DASHBOARD'!$C$4,INDEX(MASTER_AREAS!$B:$B,698)))),697,""),""),IF('WSF DASHBOARD'!$B$4="Zone",IF(697&lt;=$D$4,IF(OR('WSF DASHBOARD'!$C$4="",ISNUMBER(SEARCH('WSF DASHBOARD'!$C$4,INDEX(MASTER_ZONES!$B:$B,698)))),697,""),""),""))</f>
        <v/>
      </c>
      <c r="F698">
        <f>IF('TRANSPORT DASHBOARD'!$B$4="Area",IF(697&lt;=$I$3,IF(OR('TRANSPORT DASHBOARD'!$C$4="",ISNUMBER(SEARCH('TRANSPORT DASHBOARD'!$C$4,INDEX(MASTER_AREAS!$B:$B,698)))),697,""),""),IF('TRANSPORT DASHBOARD'!$B$4="Zone",IF(697&lt;=$I$4,IF(OR('TRANSPORT DASHBOARD'!$C$4="",ISNUMBER(SEARCH('TRANSPORT DASHBOARD'!$C$4,INDEX(MASTER_ZONES!$B:$B,698)))),697,""),""),""))</f>
        <v/>
      </c>
    </row>
    <row r="699">
      <c r="A699">
        <f>IF('WSF DASHBOARD'!$B$4="Area",IF(698&lt;=$D$3,IF(OR('WSF DASHBOARD'!$C$4="",ISNUMBER(SEARCH('WSF DASHBOARD'!$C$4,INDEX(MASTER_AREAS!$B:$B,699)))),698,""),""),IF('WSF DASHBOARD'!$B$4="Zone",IF(698&lt;=$D$4,IF(OR('WSF DASHBOARD'!$C$4="",ISNUMBER(SEARCH('WSF DASHBOARD'!$C$4,INDEX(MASTER_ZONES!$B:$B,699)))),698,""),""),""))</f>
        <v/>
      </c>
      <c r="F699">
        <f>IF('TRANSPORT DASHBOARD'!$B$4="Area",IF(698&lt;=$I$3,IF(OR('TRANSPORT DASHBOARD'!$C$4="",ISNUMBER(SEARCH('TRANSPORT DASHBOARD'!$C$4,INDEX(MASTER_AREAS!$B:$B,699)))),698,""),""),IF('TRANSPORT DASHBOARD'!$B$4="Zone",IF(698&lt;=$I$4,IF(OR('TRANSPORT DASHBOARD'!$C$4="",ISNUMBER(SEARCH('TRANSPORT DASHBOARD'!$C$4,INDEX(MASTER_ZONES!$B:$B,699)))),698,""),""),""))</f>
        <v/>
      </c>
    </row>
    <row r="700">
      <c r="A700">
        <f>IF('WSF DASHBOARD'!$B$4="Area",IF(699&lt;=$D$3,IF(OR('WSF DASHBOARD'!$C$4="",ISNUMBER(SEARCH('WSF DASHBOARD'!$C$4,INDEX(MASTER_AREAS!$B:$B,700)))),699,""),""),IF('WSF DASHBOARD'!$B$4="Zone",IF(699&lt;=$D$4,IF(OR('WSF DASHBOARD'!$C$4="",ISNUMBER(SEARCH('WSF DASHBOARD'!$C$4,INDEX(MASTER_ZONES!$B:$B,700)))),699,""),""),""))</f>
        <v/>
      </c>
      <c r="F700">
        <f>IF('TRANSPORT DASHBOARD'!$B$4="Area",IF(699&lt;=$I$3,IF(OR('TRANSPORT DASHBOARD'!$C$4="",ISNUMBER(SEARCH('TRANSPORT DASHBOARD'!$C$4,INDEX(MASTER_AREAS!$B:$B,700)))),699,""),""),IF('TRANSPORT DASHBOARD'!$B$4="Zone",IF(699&lt;=$I$4,IF(OR('TRANSPORT DASHBOARD'!$C$4="",ISNUMBER(SEARCH('TRANSPORT DASHBOARD'!$C$4,INDEX(MASTER_ZONES!$B:$B,700)))),699,""),""),""))</f>
        <v/>
      </c>
    </row>
    <row r="701">
      <c r="A701">
        <f>IF('WSF DASHBOARD'!$B$4="Area",IF(700&lt;=$D$3,IF(OR('WSF DASHBOARD'!$C$4="",ISNUMBER(SEARCH('WSF DASHBOARD'!$C$4,INDEX(MASTER_AREAS!$B:$B,701)))),700,""),""),IF('WSF DASHBOARD'!$B$4="Zone",IF(700&lt;=$D$4,IF(OR('WSF DASHBOARD'!$C$4="",ISNUMBER(SEARCH('WSF DASHBOARD'!$C$4,INDEX(MASTER_ZONES!$B:$B,701)))),700,""),""),""))</f>
        <v/>
      </c>
      <c r="F701">
        <f>IF('TRANSPORT DASHBOARD'!$B$4="Area",IF(700&lt;=$I$3,IF(OR('TRANSPORT DASHBOARD'!$C$4="",ISNUMBER(SEARCH('TRANSPORT DASHBOARD'!$C$4,INDEX(MASTER_AREAS!$B:$B,701)))),700,""),""),IF('TRANSPORT DASHBOARD'!$B$4="Zone",IF(700&lt;=$I$4,IF(OR('TRANSPORT DASHBOARD'!$C$4="",ISNUMBER(SEARCH('TRANSPORT DASHBOARD'!$C$4,INDEX(MASTER_ZONES!$B:$B,701)))),700,""),""),""))</f>
        <v/>
      </c>
    </row>
    <row r="702">
      <c r="A702">
        <f>IF('WSF DASHBOARD'!$B$4="Area",IF(701&lt;=$D$3,IF(OR('WSF DASHBOARD'!$C$4="",ISNUMBER(SEARCH('WSF DASHBOARD'!$C$4,INDEX(MASTER_AREAS!$B:$B,702)))),701,""),""),IF('WSF DASHBOARD'!$B$4="Zone",IF(701&lt;=$D$4,IF(OR('WSF DASHBOARD'!$C$4="",ISNUMBER(SEARCH('WSF DASHBOARD'!$C$4,INDEX(MASTER_ZONES!$B:$B,702)))),701,""),""),""))</f>
        <v/>
      </c>
      <c r="F702">
        <f>IF('TRANSPORT DASHBOARD'!$B$4="Area",IF(701&lt;=$I$3,IF(OR('TRANSPORT DASHBOARD'!$C$4="",ISNUMBER(SEARCH('TRANSPORT DASHBOARD'!$C$4,INDEX(MASTER_AREAS!$B:$B,702)))),701,""),""),IF('TRANSPORT DASHBOARD'!$B$4="Zone",IF(701&lt;=$I$4,IF(OR('TRANSPORT DASHBOARD'!$C$4="",ISNUMBER(SEARCH('TRANSPORT DASHBOARD'!$C$4,INDEX(MASTER_ZONES!$B:$B,702)))),701,""),""),""))</f>
        <v/>
      </c>
    </row>
    <row r="703">
      <c r="A703">
        <f>IF('WSF DASHBOARD'!$B$4="Area",IF(702&lt;=$D$3,IF(OR('WSF DASHBOARD'!$C$4="",ISNUMBER(SEARCH('WSF DASHBOARD'!$C$4,INDEX(MASTER_AREAS!$B:$B,703)))),702,""),""),IF('WSF DASHBOARD'!$B$4="Zone",IF(702&lt;=$D$4,IF(OR('WSF DASHBOARD'!$C$4="",ISNUMBER(SEARCH('WSF DASHBOARD'!$C$4,INDEX(MASTER_ZONES!$B:$B,703)))),702,""),""),""))</f>
        <v/>
      </c>
      <c r="F703">
        <f>IF('TRANSPORT DASHBOARD'!$B$4="Area",IF(702&lt;=$I$3,IF(OR('TRANSPORT DASHBOARD'!$C$4="",ISNUMBER(SEARCH('TRANSPORT DASHBOARD'!$C$4,INDEX(MASTER_AREAS!$B:$B,703)))),702,""),""),IF('TRANSPORT DASHBOARD'!$B$4="Zone",IF(702&lt;=$I$4,IF(OR('TRANSPORT DASHBOARD'!$C$4="",ISNUMBER(SEARCH('TRANSPORT DASHBOARD'!$C$4,INDEX(MASTER_ZONES!$B:$B,703)))),702,""),""),""))</f>
        <v/>
      </c>
    </row>
    <row r="704">
      <c r="A704">
        <f>IF('WSF DASHBOARD'!$B$4="Area",IF(703&lt;=$D$3,IF(OR('WSF DASHBOARD'!$C$4="",ISNUMBER(SEARCH('WSF DASHBOARD'!$C$4,INDEX(MASTER_AREAS!$B:$B,704)))),703,""),""),IF('WSF DASHBOARD'!$B$4="Zone",IF(703&lt;=$D$4,IF(OR('WSF DASHBOARD'!$C$4="",ISNUMBER(SEARCH('WSF DASHBOARD'!$C$4,INDEX(MASTER_ZONES!$B:$B,704)))),703,""),""),""))</f>
        <v/>
      </c>
      <c r="F704">
        <f>IF('TRANSPORT DASHBOARD'!$B$4="Area",IF(703&lt;=$I$3,IF(OR('TRANSPORT DASHBOARD'!$C$4="",ISNUMBER(SEARCH('TRANSPORT DASHBOARD'!$C$4,INDEX(MASTER_AREAS!$B:$B,704)))),703,""),""),IF('TRANSPORT DASHBOARD'!$B$4="Zone",IF(703&lt;=$I$4,IF(OR('TRANSPORT DASHBOARD'!$C$4="",ISNUMBER(SEARCH('TRANSPORT DASHBOARD'!$C$4,INDEX(MASTER_ZONES!$B:$B,704)))),703,""),""),""))</f>
        <v/>
      </c>
    </row>
    <row r="705">
      <c r="A705">
        <f>IF('WSF DASHBOARD'!$B$4="Area",IF(704&lt;=$D$3,IF(OR('WSF DASHBOARD'!$C$4="",ISNUMBER(SEARCH('WSF DASHBOARD'!$C$4,INDEX(MASTER_AREAS!$B:$B,705)))),704,""),""),IF('WSF DASHBOARD'!$B$4="Zone",IF(704&lt;=$D$4,IF(OR('WSF DASHBOARD'!$C$4="",ISNUMBER(SEARCH('WSF DASHBOARD'!$C$4,INDEX(MASTER_ZONES!$B:$B,705)))),704,""),""),""))</f>
        <v/>
      </c>
      <c r="F705">
        <f>IF('TRANSPORT DASHBOARD'!$B$4="Area",IF(704&lt;=$I$3,IF(OR('TRANSPORT DASHBOARD'!$C$4="",ISNUMBER(SEARCH('TRANSPORT DASHBOARD'!$C$4,INDEX(MASTER_AREAS!$B:$B,705)))),704,""),""),IF('TRANSPORT DASHBOARD'!$B$4="Zone",IF(704&lt;=$I$4,IF(OR('TRANSPORT DASHBOARD'!$C$4="",ISNUMBER(SEARCH('TRANSPORT DASHBOARD'!$C$4,INDEX(MASTER_ZONES!$B:$B,705)))),704,""),""),""))</f>
        <v/>
      </c>
    </row>
    <row r="706">
      <c r="A706">
        <f>IF('WSF DASHBOARD'!$B$4="Area",IF(705&lt;=$D$3,IF(OR('WSF DASHBOARD'!$C$4="",ISNUMBER(SEARCH('WSF DASHBOARD'!$C$4,INDEX(MASTER_AREAS!$B:$B,706)))),705,""),""),IF('WSF DASHBOARD'!$B$4="Zone",IF(705&lt;=$D$4,IF(OR('WSF DASHBOARD'!$C$4="",ISNUMBER(SEARCH('WSF DASHBOARD'!$C$4,INDEX(MASTER_ZONES!$B:$B,706)))),705,""),""),""))</f>
        <v/>
      </c>
      <c r="F706">
        <f>IF('TRANSPORT DASHBOARD'!$B$4="Area",IF(705&lt;=$I$3,IF(OR('TRANSPORT DASHBOARD'!$C$4="",ISNUMBER(SEARCH('TRANSPORT DASHBOARD'!$C$4,INDEX(MASTER_AREAS!$B:$B,706)))),705,""),""),IF('TRANSPORT DASHBOARD'!$B$4="Zone",IF(705&lt;=$I$4,IF(OR('TRANSPORT DASHBOARD'!$C$4="",ISNUMBER(SEARCH('TRANSPORT DASHBOARD'!$C$4,INDEX(MASTER_ZONES!$B:$B,706)))),705,""),""),""))</f>
        <v/>
      </c>
    </row>
    <row r="707">
      <c r="A707">
        <f>IF('WSF DASHBOARD'!$B$4="Area",IF(706&lt;=$D$3,IF(OR('WSF DASHBOARD'!$C$4="",ISNUMBER(SEARCH('WSF DASHBOARD'!$C$4,INDEX(MASTER_AREAS!$B:$B,707)))),706,""),""),IF('WSF DASHBOARD'!$B$4="Zone",IF(706&lt;=$D$4,IF(OR('WSF DASHBOARD'!$C$4="",ISNUMBER(SEARCH('WSF DASHBOARD'!$C$4,INDEX(MASTER_ZONES!$B:$B,707)))),706,""),""),""))</f>
        <v/>
      </c>
      <c r="F707">
        <f>IF('TRANSPORT DASHBOARD'!$B$4="Area",IF(706&lt;=$I$3,IF(OR('TRANSPORT DASHBOARD'!$C$4="",ISNUMBER(SEARCH('TRANSPORT DASHBOARD'!$C$4,INDEX(MASTER_AREAS!$B:$B,707)))),706,""),""),IF('TRANSPORT DASHBOARD'!$B$4="Zone",IF(706&lt;=$I$4,IF(OR('TRANSPORT DASHBOARD'!$C$4="",ISNUMBER(SEARCH('TRANSPORT DASHBOARD'!$C$4,INDEX(MASTER_ZONES!$B:$B,707)))),706,""),""),""))</f>
        <v/>
      </c>
    </row>
    <row r="708">
      <c r="A708">
        <f>IF('WSF DASHBOARD'!$B$4="Area",IF(707&lt;=$D$3,IF(OR('WSF DASHBOARD'!$C$4="",ISNUMBER(SEARCH('WSF DASHBOARD'!$C$4,INDEX(MASTER_AREAS!$B:$B,708)))),707,""),""),IF('WSF DASHBOARD'!$B$4="Zone",IF(707&lt;=$D$4,IF(OR('WSF DASHBOARD'!$C$4="",ISNUMBER(SEARCH('WSF DASHBOARD'!$C$4,INDEX(MASTER_ZONES!$B:$B,708)))),707,""),""),""))</f>
        <v/>
      </c>
      <c r="F708">
        <f>IF('TRANSPORT DASHBOARD'!$B$4="Area",IF(707&lt;=$I$3,IF(OR('TRANSPORT DASHBOARD'!$C$4="",ISNUMBER(SEARCH('TRANSPORT DASHBOARD'!$C$4,INDEX(MASTER_AREAS!$B:$B,708)))),707,""),""),IF('TRANSPORT DASHBOARD'!$B$4="Zone",IF(707&lt;=$I$4,IF(OR('TRANSPORT DASHBOARD'!$C$4="",ISNUMBER(SEARCH('TRANSPORT DASHBOARD'!$C$4,INDEX(MASTER_ZONES!$B:$B,708)))),707,""),""),""))</f>
        <v/>
      </c>
    </row>
    <row r="709">
      <c r="A709">
        <f>IF('WSF DASHBOARD'!$B$4="Area",IF(708&lt;=$D$3,IF(OR('WSF DASHBOARD'!$C$4="",ISNUMBER(SEARCH('WSF DASHBOARD'!$C$4,INDEX(MASTER_AREAS!$B:$B,709)))),708,""),""),IF('WSF DASHBOARD'!$B$4="Zone",IF(708&lt;=$D$4,IF(OR('WSF DASHBOARD'!$C$4="",ISNUMBER(SEARCH('WSF DASHBOARD'!$C$4,INDEX(MASTER_ZONES!$B:$B,709)))),708,""),""),""))</f>
        <v/>
      </c>
      <c r="F709">
        <f>IF('TRANSPORT DASHBOARD'!$B$4="Area",IF(708&lt;=$I$3,IF(OR('TRANSPORT DASHBOARD'!$C$4="",ISNUMBER(SEARCH('TRANSPORT DASHBOARD'!$C$4,INDEX(MASTER_AREAS!$B:$B,709)))),708,""),""),IF('TRANSPORT DASHBOARD'!$B$4="Zone",IF(708&lt;=$I$4,IF(OR('TRANSPORT DASHBOARD'!$C$4="",ISNUMBER(SEARCH('TRANSPORT DASHBOARD'!$C$4,INDEX(MASTER_ZONES!$B:$B,709)))),708,""),""),""))</f>
        <v/>
      </c>
    </row>
    <row r="710">
      <c r="A710">
        <f>IF('WSF DASHBOARD'!$B$4="Area",IF(709&lt;=$D$3,IF(OR('WSF DASHBOARD'!$C$4="",ISNUMBER(SEARCH('WSF DASHBOARD'!$C$4,INDEX(MASTER_AREAS!$B:$B,710)))),709,""),""),IF('WSF DASHBOARD'!$B$4="Zone",IF(709&lt;=$D$4,IF(OR('WSF DASHBOARD'!$C$4="",ISNUMBER(SEARCH('WSF DASHBOARD'!$C$4,INDEX(MASTER_ZONES!$B:$B,710)))),709,""),""),""))</f>
        <v/>
      </c>
      <c r="F710">
        <f>IF('TRANSPORT DASHBOARD'!$B$4="Area",IF(709&lt;=$I$3,IF(OR('TRANSPORT DASHBOARD'!$C$4="",ISNUMBER(SEARCH('TRANSPORT DASHBOARD'!$C$4,INDEX(MASTER_AREAS!$B:$B,710)))),709,""),""),IF('TRANSPORT DASHBOARD'!$B$4="Zone",IF(709&lt;=$I$4,IF(OR('TRANSPORT DASHBOARD'!$C$4="",ISNUMBER(SEARCH('TRANSPORT DASHBOARD'!$C$4,INDEX(MASTER_ZONES!$B:$B,710)))),709,""),""),""))</f>
        <v/>
      </c>
    </row>
    <row r="711">
      <c r="A711">
        <f>IF('WSF DASHBOARD'!$B$4="Area",IF(710&lt;=$D$3,IF(OR('WSF DASHBOARD'!$C$4="",ISNUMBER(SEARCH('WSF DASHBOARD'!$C$4,INDEX(MASTER_AREAS!$B:$B,711)))),710,""),""),IF('WSF DASHBOARD'!$B$4="Zone",IF(710&lt;=$D$4,IF(OR('WSF DASHBOARD'!$C$4="",ISNUMBER(SEARCH('WSF DASHBOARD'!$C$4,INDEX(MASTER_ZONES!$B:$B,711)))),710,""),""),""))</f>
        <v/>
      </c>
      <c r="F711">
        <f>IF('TRANSPORT DASHBOARD'!$B$4="Area",IF(710&lt;=$I$3,IF(OR('TRANSPORT DASHBOARD'!$C$4="",ISNUMBER(SEARCH('TRANSPORT DASHBOARD'!$C$4,INDEX(MASTER_AREAS!$B:$B,711)))),710,""),""),IF('TRANSPORT DASHBOARD'!$B$4="Zone",IF(710&lt;=$I$4,IF(OR('TRANSPORT DASHBOARD'!$C$4="",ISNUMBER(SEARCH('TRANSPORT DASHBOARD'!$C$4,INDEX(MASTER_ZONES!$B:$B,711)))),710,""),""),""))</f>
        <v/>
      </c>
    </row>
    <row r="712">
      <c r="A712">
        <f>IF('WSF DASHBOARD'!$B$4="Area",IF(711&lt;=$D$3,IF(OR('WSF DASHBOARD'!$C$4="",ISNUMBER(SEARCH('WSF DASHBOARD'!$C$4,INDEX(MASTER_AREAS!$B:$B,712)))),711,""),""),IF('WSF DASHBOARD'!$B$4="Zone",IF(711&lt;=$D$4,IF(OR('WSF DASHBOARD'!$C$4="",ISNUMBER(SEARCH('WSF DASHBOARD'!$C$4,INDEX(MASTER_ZONES!$B:$B,712)))),711,""),""),""))</f>
        <v/>
      </c>
      <c r="F712">
        <f>IF('TRANSPORT DASHBOARD'!$B$4="Area",IF(711&lt;=$I$3,IF(OR('TRANSPORT DASHBOARD'!$C$4="",ISNUMBER(SEARCH('TRANSPORT DASHBOARD'!$C$4,INDEX(MASTER_AREAS!$B:$B,712)))),711,""),""),IF('TRANSPORT DASHBOARD'!$B$4="Zone",IF(711&lt;=$I$4,IF(OR('TRANSPORT DASHBOARD'!$C$4="",ISNUMBER(SEARCH('TRANSPORT DASHBOARD'!$C$4,INDEX(MASTER_ZONES!$B:$B,712)))),711,""),""),""))</f>
        <v/>
      </c>
    </row>
    <row r="713">
      <c r="A713">
        <f>IF('WSF DASHBOARD'!$B$4="Area",IF(712&lt;=$D$3,IF(OR('WSF DASHBOARD'!$C$4="",ISNUMBER(SEARCH('WSF DASHBOARD'!$C$4,INDEX(MASTER_AREAS!$B:$B,713)))),712,""),""),IF('WSF DASHBOARD'!$B$4="Zone",IF(712&lt;=$D$4,IF(OR('WSF DASHBOARD'!$C$4="",ISNUMBER(SEARCH('WSF DASHBOARD'!$C$4,INDEX(MASTER_ZONES!$B:$B,713)))),712,""),""),""))</f>
        <v/>
      </c>
      <c r="F713">
        <f>IF('TRANSPORT DASHBOARD'!$B$4="Area",IF(712&lt;=$I$3,IF(OR('TRANSPORT DASHBOARD'!$C$4="",ISNUMBER(SEARCH('TRANSPORT DASHBOARD'!$C$4,INDEX(MASTER_AREAS!$B:$B,713)))),712,""),""),IF('TRANSPORT DASHBOARD'!$B$4="Zone",IF(712&lt;=$I$4,IF(OR('TRANSPORT DASHBOARD'!$C$4="",ISNUMBER(SEARCH('TRANSPORT DASHBOARD'!$C$4,INDEX(MASTER_ZONES!$B:$B,713)))),712,""),""),""))</f>
        <v/>
      </c>
    </row>
    <row r="714">
      <c r="A714">
        <f>IF('WSF DASHBOARD'!$B$4="Area",IF(713&lt;=$D$3,IF(OR('WSF DASHBOARD'!$C$4="",ISNUMBER(SEARCH('WSF DASHBOARD'!$C$4,INDEX(MASTER_AREAS!$B:$B,714)))),713,""),""),IF('WSF DASHBOARD'!$B$4="Zone",IF(713&lt;=$D$4,IF(OR('WSF DASHBOARD'!$C$4="",ISNUMBER(SEARCH('WSF DASHBOARD'!$C$4,INDEX(MASTER_ZONES!$B:$B,714)))),713,""),""),""))</f>
        <v/>
      </c>
      <c r="F714">
        <f>IF('TRANSPORT DASHBOARD'!$B$4="Area",IF(713&lt;=$I$3,IF(OR('TRANSPORT DASHBOARD'!$C$4="",ISNUMBER(SEARCH('TRANSPORT DASHBOARD'!$C$4,INDEX(MASTER_AREAS!$B:$B,714)))),713,""),""),IF('TRANSPORT DASHBOARD'!$B$4="Zone",IF(713&lt;=$I$4,IF(OR('TRANSPORT DASHBOARD'!$C$4="",ISNUMBER(SEARCH('TRANSPORT DASHBOARD'!$C$4,INDEX(MASTER_ZONES!$B:$B,714)))),713,""),""),""))</f>
        <v/>
      </c>
    </row>
    <row r="715">
      <c r="A715">
        <f>IF('WSF DASHBOARD'!$B$4="Area",IF(714&lt;=$D$3,IF(OR('WSF DASHBOARD'!$C$4="",ISNUMBER(SEARCH('WSF DASHBOARD'!$C$4,INDEX(MASTER_AREAS!$B:$B,715)))),714,""),""),IF('WSF DASHBOARD'!$B$4="Zone",IF(714&lt;=$D$4,IF(OR('WSF DASHBOARD'!$C$4="",ISNUMBER(SEARCH('WSF DASHBOARD'!$C$4,INDEX(MASTER_ZONES!$B:$B,715)))),714,""),""),""))</f>
        <v/>
      </c>
      <c r="F715">
        <f>IF('TRANSPORT DASHBOARD'!$B$4="Area",IF(714&lt;=$I$3,IF(OR('TRANSPORT DASHBOARD'!$C$4="",ISNUMBER(SEARCH('TRANSPORT DASHBOARD'!$C$4,INDEX(MASTER_AREAS!$B:$B,715)))),714,""),""),IF('TRANSPORT DASHBOARD'!$B$4="Zone",IF(714&lt;=$I$4,IF(OR('TRANSPORT DASHBOARD'!$C$4="",ISNUMBER(SEARCH('TRANSPORT DASHBOARD'!$C$4,INDEX(MASTER_ZONES!$B:$B,715)))),714,""),""),""))</f>
        <v/>
      </c>
    </row>
    <row r="716">
      <c r="A716">
        <f>IF('WSF DASHBOARD'!$B$4="Area",IF(715&lt;=$D$3,IF(OR('WSF DASHBOARD'!$C$4="",ISNUMBER(SEARCH('WSF DASHBOARD'!$C$4,INDEX(MASTER_AREAS!$B:$B,716)))),715,""),""),IF('WSF DASHBOARD'!$B$4="Zone",IF(715&lt;=$D$4,IF(OR('WSF DASHBOARD'!$C$4="",ISNUMBER(SEARCH('WSF DASHBOARD'!$C$4,INDEX(MASTER_ZONES!$B:$B,716)))),715,""),""),""))</f>
        <v/>
      </c>
      <c r="F716">
        <f>IF('TRANSPORT DASHBOARD'!$B$4="Area",IF(715&lt;=$I$3,IF(OR('TRANSPORT DASHBOARD'!$C$4="",ISNUMBER(SEARCH('TRANSPORT DASHBOARD'!$C$4,INDEX(MASTER_AREAS!$B:$B,716)))),715,""),""),IF('TRANSPORT DASHBOARD'!$B$4="Zone",IF(715&lt;=$I$4,IF(OR('TRANSPORT DASHBOARD'!$C$4="",ISNUMBER(SEARCH('TRANSPORT DASHBOARD'!$C$4,INDEX(MASTER_ZONES!$B:$B,716)))),715,""),""),""))</f>
        <v/>
      </c>
    </row>
    <row r="717">
      <c r="A717">
        <f>IF('WSF DASHBOARD'!$B$4="Area",IF(716&lt;=$D$3,IF(OR('WSF DASHBOARD'!$C$4="",ISNUMBER(SEARCH('WSF DASHBOARD'!$C$4,INDEX(MASTER_AREAS!$B:$B,717)))),716,""),""),IF('WSF DASHBOARD'!$B$4="Zone",IF(716&lt;=$D$4,IF(OR('WSF DASHBOARD'!$C$4="",ISNUMBER(SEARCH('WSF DASHBOARD'!$C$4,INDEX(MASTER_ZONES!$B:$B,717)))),716,""),""),""))</f>
        <v/>
      </c>
      <c r="F717">
        <f>IF('TRANSPORT DASHBOARD'!$B$4="Area",IF(716&lt;=$I$3,IF(OR('TRANSPORT DASHBOARD'!$C$4="",ISNUMBER(SEARCH('TRANSPORT DASHBOARD'!$C$4,INDEX(MASTER_AREAS!$B:$B,717)))),716,""),""),IF('TRANSPORT DASHBOARD'!$B$4="Zone",IF(716&lt;=$I$4,IF(OR('TRANSPORT DASHBOARD'!$C$4="",ISNUMBER(SEARCH('TRANSPORT DASHBOARD'!$C$4,INDEX(MASTER_ZONES!$B:$B,717)))),716,""),""),""))</f>
        <v/>
      </c>
    </row>
    <row r="718">
      <c r="A718">
        <f>IF('WSF DASHBOARD'!$B$4="Area",IF(717&lt;=$D$3,IF(OR('WSF DASHBOARD'!$C$4="",ISNUMBER(SEARCH('WSF DASHBOARD'!$C$4,INDEX(MASTER_AREAS!$B:$B,718)))),717,""),""),IF('WSF DASHBOARD'!$B$4="Zone",IF(717&lt;=$D$4,IF(OR('WSF DASHBOARD'!$C$4="",ISNUMBER(SEARCH('WSF DASHBOARD'!$C$4,INDEX(MASTER_ZONES!$B:$B,718)))),717,""),""),""))</f>
        <v/>
      </c>
      <c r="F718">
        <f>IF('TRANSPORT DASHBOARD'!$B$4="Area",IF(717&lt;=$I$3,IF(OR('TRANSPORT DASHBOARD'!$C$4="",ISNUMBER(SEARCH('TRANSPORT DASHBOARD'!$C$4,INDEX(MASTER_AREAS!$B:$B,718)))),717,""),""),IF('TRANSPORT DASHBOARD'!$B$4="Zone",IF(717&lt;=$I$4,IF(OR('TRANSPORT DASHBOARD'!$C$4="",ISNUMBER(SEARCH('TRANSPORT DASHBOARD'!$C$4,INDEX(MASTER_ZONES!$B:$B,718)))),717,""),""),""))</f>
        <v/>
      </c>
    </row>
    <row r="719">
      <c r="A719">
        <f>IF('WSF DASHBOARD'!$B$4="Area",IF(718&lt;=$D$3,IF(OR('WSF DASHBOARD'!$C$4="",ISNUMBER(SEARCH('WSF DASHBOARD'!$C$4,INDEX(MASTER_AREAS!$B:$B,719)))),718,""),""),IF('WSF DASHBOARD'!$B$4="Zone",IF(718&lt;=$D$4,IF(OR('WSF DASHBOARD'!$C$4="",ISNUMBER(SEARCH('WSF DASHBOARD'!$C$4,INDEX(MASTER_ZONES!$B:$B,719)))),718,""),""),""))</f>
        <v/>
      </c>
      <c r="F719">
        <f>IF('TRANSPORT DASHBOARD'!$B$4="Area",IF(718&lt;=$I$3,IF(OR('TRANSPORT DASHBOARD'!$C$4="",ISNUMBER(SEARCH('TRANSPORT DASHBOARD'!$C$4,INDEX(MASTER_AREAS!$B:$B,719)))),718,""),""),IF('TRANSPORT DASHBOARD'!$B$4="Zone",IF(718&lt;=$I$4,IF(OR('TRANSPORT DASHBOARD'!$C$4="",ISNUMBER(SEARCH('TRANSPORT DASHBOARD'!$C$4,INDEX(MASTER_ZONES!$B:$B,719)))),718,""),""),""))</f>
        <v/>
      </c>
    </row>
    <row r="720">
      <c r="A720">
        <f>IF('WSF DASHBOARD'!$B$4="Area",IF(719&lt;=$D$3,IF(OR('WSF DASHBOARD'!$C$4="",ISNUMBER(SEARCH('WSF DASHBOARD'!$C$4,INDEX(MASTER_AREAS!$B:$B,720)))),719,""),""),IF('WSF DASHBOARD'!$B$4="Zone",IF(719&lt;=$D$4,IF(OR('WSF DASHBOARD'!$C$4="",ISNUMBER(SEARCH('WSF DASHBOARD'!$C$4,INDEX(MASTER_ZONES!$B:$B,720)))),719,""),""),""))</f>
        <v/>
      </c>
      <c r="F720">
        <f>IF('TRANSPORT DASHBOARD'!$B$4="Area",IF(719&lt;=$I$3,IF(OR('TRANSPORT DASHBOARD'!$C$4="",ISNUMBER(SEARCH('TRANSPORT DASHBOARD'!$C$4,INDEX(MASTER_AREAS!$B:$B,720)))),719,""),""),IF('TRANSPORT DASHBOARD'!$B$4="Zone",IF(719&lt;=$I$4,IF(OR('TRANSPORT DASHBOARD'!$C$4="",ISNUMBER(SEARCH('TRANSPORT DASHBOARD'!$C$4,INDEX(MASTER_ZONES!$B:$B,720)))),719,""),""),""))</f>
        <v/>
      </c>
    </row>
    <row r="721">
      <c r="A721">
        <f>IF('WSF DASHBOARD'!$B$4="Area",IF(720&lt;=$D$3,IF(OR('WSF DASHBOARD'!$C$4="",ISNUMBER(SEARCH('WSF DASHBOARD'!$C$4,INDEX(MASTER_AREAS!$B:$B,721)))),720,""),""),IF('WSF DASHBOARD'!$B$4="Zone",IF(720&lt;=$D$4,IF(OR('WSF DASHBOARD'!$C$4="",ISNUMBER(SEARCH('WSF DASHBOARD'!$C$4,INDEX(MASTER_ZONES!$B:$B,721)))),720,""),""),""))</f>
        <v/>
      </c>
      <c r="F721">
        <f>IF('TRANSPORT DASHBOARD'!$B$4="Area",IF(720&lt;=$I$3,IF(OR('TRANSPORT DASHBOARD'!$C$4="",ISNUMBER(SEARCH('TRANSPORT DASHBOARD'!$C$4,INDEX(MASTER_AREAS!$B:$B,721)))),720,""),""),IF('TRANSPORT DASHBOARD'!$B$4="Zone",IF(720&lt;=$I$4,IF(OR('TRANSPORT DASHBOARD'!$C$4="",ISNUMBER(SEARCH('TRANSPORT DASHBOARD'!$C$4,INDEX(MASTER_ZONES!$B:$B,721)))),720,""),""),""))</f>
        <v/>
      </c>
    </row>
    <row r="722">
      <c r="A722">
        <f>IF('WSF DASHBOARD'!$B$4="Area",IF(721&lt;=$D$3,IF(OR('WSF DASHBOARD'!$C$4="",ISNUMBER(SEARCH('WSF DASHBOARD'!$C$4,INDEX(MASTER_AREAS!$B:$B,722)))),721,""),""),IF('WSF DASHBOARD'!$B$4="Zone",IF(721&lt;=$D$4,IF(OR('WSF DASHBOARD'!$C$4="",ISNUMBER(SEARCH('WSF DASHBOARD'!$C$4,INDEX(MASTER_ZONES!$B:$B,722)))),721,""),""),""))</f>
        <v/>
      </c>
      <c r="F722">
        <f>IF('TRANSPORT DASHBOARD'!$B$4="Area",IF(721&lt;=$I$3,IF(OR('TRANSPORT DASHBOARD'!$C$4="",ISNUMBER(SEARCH('TRANSPORT DASHBOARD'!$C$4,INDEX(MASTER_AREAS!$B:$B,722)))),721,""),""),IF('TRANSPORT DASHBOARD'!$B$4="Zone",IF(721&lt;=$I$4,IF(OR('TRANSPORT DASHBOARD'!$C$4="",ISNUMBER(SEARCH('TRANSPORT DASHBOARD'!$C$4,INDEX(MASTER_ZONES!$B:$B,722)))),721,""),""),""))</f>
        <v/>
      </c>
    </row>
    <row r="723">
      <c r="A723">
        <f>IF('WSF DASHBOARD'!$B$4="Area",IF(722&lt;=$D$3,IF(OR('WSF DASHBOARD'!$C$4="",ISNUMBER(SEARCH('WSF DASHBOARD'!$C$4,INDEX(MASTER_AREAS!$B:$B,723)))),722,""),""),IF('WSF DASHBOARD'!$B$4="Zone",IF(722&lt;=$D$4,IF(OR('WSF DASHBOARD'!$C$4="",ISNUMBER(SEARCH('WSF DASHBOARD'!$C$4,INDEX(MASTER_ZONES!$B:$B,723)))),722,""),""),""))</f>
        <v/>
      </c>
      <c r="F723">
        <f>IF('TRANSPORT DASHBOARD'!$B$4="Area",IF(722&lt;=$I$3,IF(OR('TRANSPORT DASHBOARD'!$C$4="",ISNUMBER(SEARCH('TRANSPORT DASHBOARD'!$C$4,INDEX(MASTER_AREAS!$B:$B,723)))),722,""),""),IF('TRANSPORT DASHBOARD'!$B$4="Zone",IF(722&lt;=$I$4,IF(OR('TRANSPORT DASHBOARD'!$C$4="",ISNUMBER(SEARCH('TRANSPORT DASHBOARD'!$C$4,INDEX(MASTER_ZONES!$B:$B,723)))),722,""),""),""))</f>
        <v/>
      </c>
    </row>
    <row r="724">
      <c r="A724">
        <f>IF('WSF DASHBOARD'!$B$4="Area",IF(723&lt;=$D$3,IF(OR('WSF DASHBOARD'!$C$4="",ISNUMBER(SEARCH('WSF DASHBOARD'!$C$4,INDEX(MASTER_AREAS!$B:$B,724)))),723,""),""),IF('WSF DASHBOARD'!$B$4="Zone",IF(723&lt;=$D$4,IF(OR('WSF DASHBOARD'!$C$4="",ISNUMBER(SEARCH('WSF DASHBOARD'!$C$4,INDEX(MASTER_ZONES!$B:$B,724)))),723,""),""),""))</f>
        <v/>
      </c>
      <c r="F724">
        <f>IF('TRANSPORT DASHBOARD'!$B$4="Area",IF(723&lt;=$I$3,IF(OR('TRANSPORT DASHBOARD'!$C$4="",ISNUMBER(SEARCH('TRANSPORT DASHBOARD'!$C$4,INDEX(MASTER_AREAS!$B:$B,724)))),723,""),""),IF('TRANSPORT DASHBOARD'!$B$4="Zone",IF(723&lt;=$I$4,IF(OR('TRANSPORT DASHBOARD'!$C$4="",ISNUMBER(SEARCH('TRANSPORT DASHBOARD'!$C$4,INDEX(MASTER_ZONES!$B:$B,724)))),723,""),""),""))</f>
        <v/>
      </c>
    </row>
    <row r="725">
      <c r="A725">
        <f>IF('WSF DASHBOARD'!$B$4="Area",IF(724&lt;=$D$3,IF(OR('WSF DASHBOARD'!$C$4="",ISNUMBER(SEARCH('WSF DASHBOARD'!$C$4,INDEX(MASTER_AREAS!$B:$B,725)))),724,""),""),IF('WSF DASHBOARD'!$B$4="Zone",IF(724&lt;=$D$4,IF(OR('WSF DASHBOARD'!$C$4="",ISNUMBER(SEARCH('WSF DASHBOARD'!$C$4,INDEX(MASTER_ZONES!$B:$B,725)))),724,""),""),""))</f>
        <v/>
      </c>
      <c r="F725">
        <f>IF('TRANSPORT DASHBOARD'!$B$4="Area",IF(724&lt;=$I$3,IF(OR('TRANSPORT DASHBOARD'!$C$4="",ISNUMBER(SEARCH('TRANSPORT DASHBOARD'!$C$4,INDEX(MASTER_AREAS!$B:$B,725)))),724,""),""),IF('TRANSPORT DASHBOARD'!$B$4="Zone",IF(724&lt;=$I$4,IF(OR('TRANSPORT DASHBOARD'!$C$4="",ISNUMBER(SEARCH('TRANSPORT DASHBOARD'!$C$4,INDEX(MASTER_ZONES!$B:$B,725)))),724,""),""),""))</f>
        <v/>
      </c>
    </row>
    <row r="726">
      <c r="A726">
        <f>IF('WSF DASHBOARD'!$B$4="Area",IF(725&lt;=$D$3,IF(OR('WSF DASHBOARD'!$C$4="",ISNUMBER(SEARCH('WSF DASHBOARD'!$C$4,INDEX(MASTER_AREAS!$B:$B,726)))),725,""),""),IF('WSF DASHBOARD'!$B$4="Zone",IF(725&lt;=$D$4,IF(OR('WSF DASHBOARD'!$C$4="",ISNUMBER(SEARCH('WSF DASHBOARD'!$C$4,INDEX(MASTER_ZONES!$B:$B,726)))),725,""),""),""))</f>
        <v/>
      </c>
      <c r="F726">
        <f>IF('TRANSPORT DASHBOARD'!$B$4="Area",IF(725&lt;=$I$3,IF(OR('TRANSPORT DASHBOARD'!$C$4="",ISNUMBER(SEARCH('TRANSPORT DASHBOARD'!$C$4,INDEX(MASTER_AREAS!$B:$B,726)))),725,""),""),IF('TRANSPORT DASHBOARD'!$B$4="Zone",IF(725&lt;=$I$4,IF(OR('TRANSPORT DASHBOARD'!$C$4="",ISNUMBER(SEARCH('TRANSPORT DASHBOARD'!$C$4,INDEX(MASTER_ZONES!$B:$B,726)))),725,""),""),""))</f>
        <v/>
      </c>
    </row>
    <row r="727">
      <c r="A727">
        <f>IF('WSF DASHBOARD'!$B$4="Area",IF(726&lt;=$D$3,IF(OR('WSF DASHBOARD'!$C$4="",ISNUMBER(SEARCH('WSF DASHBOARD'!$C$4,INDEX(MASTER_AREAS!$B:$B,727)))),726,""),""),IF('WSF DASHBOARD'!$B$4="Zone",IF(726&lt;=$D$4,IF(OR('WSF DASHBOARD'!$C$4="",ISNUMBER(SEARCH('WSF DASHBOARD'!$C$4,INDEX(MASTER_ZONES!$B:$B,727)))),726,""),""),""))</f>
        <v/>
      </c>
      <c r="F727">
        <f>IF('TRANSPORT DASHBOARD'!$B$4="Area",IF(726&lt;=$I$3,IF(OR('TRANSPORT DASHBOARD'!$C$4="",ISNUMBER(SEARCH('TRANSPORT DASHBOARD'!$C$4,INDEX(MASTER_AREAS!$B:$B,727)))),726,""),""),IF('TRANSPORT DASHBOARD'!$B$4="Zone",IF(726&lt;=$I$4,IF(OR('TRANSPORT DASHBOARD'!$C$4="",ISNUMBER(SEARCH('TRANSPORT DASHBOARD'!$C$4,INDEX(MASTER_ZONES!$B:$B,727)))),726,""),""),""))</f>
        <v/>
      </c>
    </row>
    <row r="728">
      <c r="A728">
        <f>IF('WSF DASHBOARD'!$B$4="Area",IF(727&lt;=$D$3,IF(OR('WSF DASHBOARD'!$C$4="",ISNUMBER(SEARCH('WSF DASHBOARD'!$C$4,INDEX(MASTER_AREAS!$B:$B,728)))),727,""),""),IF('WSF DASHBOARD'!$B$4="Zone",IF(727&lt;=$D$4,IF(OR('WSF DASHBOARD'!$C$4="",ISNUMBER(SEARCH('WSF DASHBOARD'!$C$4,INDEX(MASTER_ZONES!$B:$B,728)))),727,""),""),""))</f>
        <v/>
      </c>
      <c r="F728">
        <f>IF('TRANSPORT DASHBOARD'!$B$4="Area",IF(727&lt;=$I$3,IF(OR('TRANSPORT DASHBOARD'!$C$4="",ISNUMBER(SEARCH('TRANSPORT DASHBOARD'!$C$4,INDEX(MASTER_AREAS!$B:$B,728)))),727,""),""),IF('TRANSPORT DASHBOARD'!$B$4="Zone",IF(727&lt;=$I$4,IF(OR('TRANSPORT DASHBOARD'!$C$4="",ISNUMBER(SEARCH('TRANSPORT DASHBOARD'!$C$4,INDEX(MASTER_ZONES!$B:$B,728)))),727,""),""),""))</f>
        <v/>
      </c>
    </row>
    <row r="729">
      <c r="A729">
        <f>IF('WSF DASHBOARD'!$B$4="Area",IF(728&lt;=$D$3,IF(OR('WSF DASHBOARD'!$C$4="",ISNUMBER(SEARCH('WSF DASHBOARD'!$C$4,INDEX(MASTER_AREAS!$B:$B,729)))),728,""),""),IF('WSF DASHBOARD'!$B$4="Zone",IF(728&lt;=$D$4,IF(OR('WSF DASHBOARD'!$C$4="",ISNUMBER(SEARCH('WSF DASHBOARD'!$C$4,INDEX(MASTER_ZONES!$B:$B,729)))),728,""),""),""))</f>
        <v/>
      </c>
      <c r="F729">
        <f>IF('TRANSPORT DASHBOARD'!$B$4="Area",IF(728&lt;=$I$3,IF(OR('TRANSPORT DASHBOARD'!$C$4="",ISNUMBER(SEARCH('TRANSPORT DASHBOARD'!$C$4,INDEX(MASTER_AREAS!$B:$B,729)))),728,""),""),IF('TRANSPORT DASHBOARD'!$B$4="Zone",IF(728&lt;=$I$4,IF(OR('TRANSPORT DASHBOARD'!$C$4="",ISNUMBER(SEARCH('TRANSPORT DASHBOARD'!$C$4,INDEX(MASTER_ZONES!$B:$B,729)))),728,""),""),""))</f>
        <v/>
      </c>
    </row>
    <row r="730">
      <c r="A730">
        <f>IF('WSF DASHBOARD'!$B$4="Area",IF(729&lt;=$D$3,IF(OR('WSF DASHBOARD'!$C$4="",ISNUMBER(SEARCH('WSF DASHBOARD'!$C$4,INDEX(MASTER_AREAS!$B:$B,730)))),729,""),""),IF('WSF DASHBOARD'!$B$4="Zone",IF(729&lt;=$D$4,IF(OR('WSF DASHBOARD'!$C$4="",ISNUMBER(SEARCH('WSF DASHBOARD'!$C$4,INDEX(MASTER_ZONES!$B:$B,730)))),729,""),""),""))</f>
        <v/>
      </c>
      <c r="F730">
        <f>IF('TRANSPORT DASHBOARD'!$B$4="Area",IF(729&lt;=$I$3,IF(OR('TRANSPORT DASHBOARD'!$C$4="",ISNUMBER(SEARCH('TRANSPORT DASHBOARD'!$C$4,INDEX(MASTER_AREAS!$B:$B,730)))),729,""),""),IF('TRANSPORT DASHBOARD'!$B$4="Zone",IF(729&lt;=$I$4,IF(OR('TRANSPORT DASHBOARD'!$C$4="",ISNUMBER(SEARCH('TRANSPORT DASHBOARD'!$C$4,INDEX(MASTER_ZONES!$B:$B,730)))),729,""),""),""))</f>
        <v/>
      </c>
    </row>
    <row r="731">
      <c r="A731">
        <f>IF('WSF DASHBOARD'!$B$4="Area",IF(730&lt;=$D$3,IF(OR('WSF DASHBOARD'!$C$4="",ISNUMBER(SEARCH('WSF DASHBOARD'!$C$4,INDEX(MASTER_AREAS!$B:$B,731)))),730,""),""),IF('WSF DASHBOARD'!$B$4="Zone",IF(730&lt;=$D$4,IF(OR('WSF DASHBOARD'!$C$4="",ISNUMBER(SEARCH('WSF DASHBOARD'!$C$4,INDEX(MASTER_ZONES!$B:$B,731)))),730,""),""),""))</f>
        <v/>
      </c>
      <c r="F731">
        <f>IF('TRANSPORT DASHBOARD'!$B$4="Area",IF(730&lt;=$I$3,IF(OR('TRANSPORT DASHBOARD'!$C$4="",ISNUMBER(SEARCH('TRANSPORT DASHBOARD'!$C$4,INDEX(MASTER_AREAS!$B:$B,731)))),730,""),""),IF('TRANSPORT DASHBOARD'!$B$4="Zone",IF(730&lt;=$I$4,IF(OR('TRANSPORT DASHBOARD'!$C$4="",ISNUMBER(SEARCH('TRANSPORT DASHBOARD'!$C$4,INDEX(MASTER_ZONES!$B:$B,731)))),730,""),""),""))</f>
        <v/>
      </c>
    </row>
    <row r="732">
      <c r="A732">
        <f>IF('WSF DASHBOARD'!$B$4="Area",IF(731&lt;=$D$3,IF(OR('WSF DASHBOARD'!$C$4="",ISNUMBER(SEARCH('WSF DASHBOARD'!$C$4,INDEX(MASTER_AREAS!$B:$B,732)))),731,""),""),IF('WSF DASHBOARD'!$B$4="Zone",IF(731&lt;=$D$4,IF(OR('WSF DASHBOARD'!$C$4="",ISNUMBER(SEARCH('WSF DASHBOARD'!$C$4,INDEX(MASTER_ZONES!$B:$B,732)))),731,""),""),""))</f>
        <v/>
      </c>
      <c r="F732">
        <f>IF('TRANSPORT DASHBOARD'!$B$4="Area",IF(731&lt;=$I$3,IF(OR('TRANSPORT DASHBOARD'!$C$4="",ISNUMBER(SEARCH('TRANSPORT DASHBOARD'!$C$4,INDEX(MASTER_AREAS!$B:$B,732)))),731,""),""),IF('TRANSPORT DASHBOARD'!$B$4="Zone",IF(731&lt;=$I$4,IF(OR('TRANSPORT DASHBOARD'!$C$4="",ISNUMBER(SEARCH('TRANSPORT DASHBOARD'!$C$4,INDEX(MASTER_ZONES!$B:$B,732)))),731,""),""),""))</f>
        <v/>
      </c>
    </row>
    <row r="733">
      <c r="A733">
        <f>IF('WSF DASHBOARD'!$B$4="Area",IF(732&lt;=$D$3,IF(OR('WSF DASHBOARD'!$C$4="",ISNUMBER(SEARCH('WSF DASHBOARD'!$C$4,INDEX(MASTER_AREAS!$B:$B,733)))),732,""),""),IF('WSF DASHBOARD'!$B$4="Zone",IF(732&lt;=$D$4,IF(OR('WSF DASHBOARD'!$C$4="",ISNUMBER(SEARCH('WSF DASHBOARD'!$C$4,INDEX(MASTER_ZONES!$B:$B,733)))),732,""),""),""))</f>
        <v/>
      </c>
      <c r="F733">
        <f>IF('TRANSPORT DASHBOARD'!$B$4="Area",IF(732&lt;=$I$3,IF(OR('TRANSPORT DASHBOARD'!$C$4="",ISNUMBER(SEARCH('TRANSPORT DASHBOARD'!$C$4,INDEX(MASTER_AREAS!$B:$B,733)))),732,""),""),IF('TRANSPORT DASHBOARD'!$B$4="Zone",IF(732&lt;=$I$4,IF(OR('TRANSPORT DASHBOARD'!$C$4="",ISNUMBER(SEARCH('TRANSPORT DASHBOARD'!$C$4,INDEX(MASTER_ZONES!$B:$B,733)))),732,""),""),""))</f>
        <v/>
      </c>
    </row>
    <row r="734">
      <c r="A734">
        <f>IF('WSF DASHBOARD'!$B$4="Area",IF(733&lt;=$D$3,IF(OR('WSF DASHBOARD'!$C$4="",ISNUMBER(SEARCH('WSF DASHBOARD'!$C$4,INDEX(MASTER_AREAS!$B:$B,734)))),733,""),""),IF('WSF DASHBOARD'!$B$4="Zone",IF(733&lt;=$D$4,IF(OR('WSF DASHBOARD'!$C$4="",ISNUMBER(SEARCH('WSF DASHBOARD'!$C$4,INDEX(MASTER_ZONES!$B:$B,734)))),733,""),""),""))</f>
        <v/>
      </c>
      <c r="F734">
        <f>IF('TRANSPORT DASHBOARD'!$B$4="Area",IF(733&lt;=$I$3,IF(OR('TRANSPORT DASHBOARD'!$C$4="",ISNUMBER(SEARCH('TRANSPORT DASHBOARD'!$C$4,INDEX(MASTER_AREAS!$B:$B,734)))),733,""),""),IF('TRANSPORT DASHBOARD'!$B$4="Zone",IF(733&lt;=$I$4,IF(OR('TRANSPORT DASHBOARD'!$C$4="",ISNUMBER(SEARCH('TRANSPORT DASHBOARD'!$C$4,INDEX(MASTER_ZONES!$B:$B,734)))),733,""),""),""))</f>
        <v/>
      </c>
    </row>
    <row r="735">
      <c r="A735">
        <f>IF('WSF DASHBOARD'!$B$4="Area",IF(734&lt;=$D$3,IF(OR('WSF DASHBOARD'!$C$4="",ISNUMBER(SEARCH('WSF DASHBOARD'!$C$4,INDEX(MASTER_AREAS!$B:$B,735)))),734,""),""),IF('WSF DASHBOARD'!$B$4="Zone",IF(734&lt;=$D$4,IF(OR('WSF DASHBOARD'!$C$4="",ISNUMBER(SEARCH('WSF DASHBOARD'!$C$4,INDEX(MASTER_ZONES!$B:$B,735)))),734,""),""),""))</f>
        <v/>
      </c>
      <c r="F735">
        <f>IF('TRANSPORT DASHBOARD'!$B$4="Area",IF(734&lt;=$I$3,IF(OR('TRANSPORT DASHBOARD'!$C$4="",ISNUMBER(SEARCH('TRANSPORT DASHBOARD'!$C$4,INDEX(MASTER_AREAS!$B:$B,735)))),734,""),""),IF('TRANSPORT DASHBOARD'!$B$4="Zone",IF(734&lt;=$I$4,IF(OR('TRANSPORT DASHBOARD'!$C$4="",ISNUMBER(SEARCH('TRANSPORT DASHBOARD'!$C$4,INDEX(MASTER_ZONES!$B:$B,735)))),734,""),""),""))</f>
        <v/>
      </c>
    </row>
    <row r="736">
      <c r="A736">
        <f>IF('WSF DASHBOARD'!$B$4="Area",IF(735&lt;=$D$3,IF(OR('WSF DASHBOARD'!$C$4="",ISNUMBER(SEARCH('WSF DASHBOARD'!$C$4,INDEX(MASTER_AREAS!$B:$B,736)))),735,""),""),IF('WSF DASHBOARD'!$B$4="Zone",IF(735&lt;=$D$4,IF(OR('WSF DASHBOARD'!$C$4="",ISNUMBER(SEARCH('WSF DASHBOARD'!$C$4,INDEX(MASTER_ZONES!$B:$B,736)))),735,""),""),""))</f>
        <v/>
      </c>
      <c r="F736">
        <f>IF('TRANSPORT DASHBOARD'!$B$4="Area",IF(735&lt;=$I$3,IF(OR('TRANSPORT DASHBOARD'!$C$4="",ISNUMBER(SEARCH('TRANSPORT DASHBOARD'!$C$4,INDEX(MASTER_AREAS!$B:$B,736)))),735,""),""),IF('TRANSPORT DASHBOARD'!$B$4="Zone",IF(735&lt;=$I$4,IF(OR('TRANSPORT DASHBOARD'!$C$4="",ISNUMBER(SEARCH('TRANSPORT DASHBOARD'!$C$4,INDEX(MASTER_ZONES!$B:$B,736)))),735,""),""),""))</f>
        <v/>
      </c>
    </row>
    <row r="737">
      <c r="A737">
        <f>IF('WSF DASHBOARD'!$B$4="Area",IF(736&lt;=$D$3,IF(OR('WSF DASHBOARD'!$C$4="",ISNUMBER(SEARCH('WSF DASHBOARD'!$C$4,INDEX(MASTER_AREAS!$B:$B,737)))),736,""),""),IF('WSF DASHBOARD'!$B$4="Zone",IF(736&lt;=$D$4,IF(OR('WSF DASHBOARD'!$C$4="",ISNUMBER(SEARCH('WSF DASHBOARD'!$C$4,INDEX(MASTER_ZONES!$B:$B,737)))),736,""),""),""))</f>
        <v/>
      </c>
      <c r="F737">
        <f>IF('TRANSPORT DASHBOARD'!$B$4="Area",IF(736&lt;=$I$3,IF(OR('TRANSPORT DASHBOARD'!$C$4="",ISNUMBER(SEARCH('TRANSPORT DASHBOARD'!$C$4,INDEX(MASTER_AREAS!$B:$B,737)))),736,""),""),IF('TRANSPORT DASHBOARD'!$B$4="Zone",IF(736&lt;=$I$4,IF(OR('TRANSPORT DASHBOARD'!$C$4="",ISNUMBER(SEARCH('TRANSPORT DASHBOARD'!$C$4,INDEX(MASTER_ZONES!$B:$B,737)))),736,""),""),""))</f>
        <v/>
      </c>
    </row>
    <row r="738">
      <c r="A738">
        <f>IF('WSF DASHBOARD'!$B$4="Area",IF(737&lt;=$D$3,IF(OR('WSF DASHBOARD'!$C$4="",ISNUMBER(SEARCH('WSF DASHBOARD'!$C$4,INDEX(MASTER_AREAS!$B:$B,738)))),737,""),""),IF('WSF DASHBOARD'!$B$4="Zone",IF(737&lt;=$D$4,IF(OR('WSF DASHBOARD'!$C$4="",ISNUMBER(SEARCH('WSF DASHBOARD'!$C$4,INDEX(MASTER_ZONES!$B:$B,738)))),737,""),""),""))</f>
        <v/>
      </c>
      <c r="F738">
        <f>IF('TRANSPORT DASHBOARD'!$B$4="Area",IF(737&lt;=$I$3,IF(OR('TRANSPORT DASHBOARD'!$C$4="",ISNUMBER(SEARCH('TRANSPORT DASHBOARD'!$C$4,INDEX(MASTER_AREAS!$B:$B,738)))),737,""),""),IF('TRANSPORT DASHBOARD'!$B$4="Zone",IF(737&lt;=$I$4,IF(OR('TRANSPORT DASHBOARD'!$C$4="",ISNUMBER(SEARCH('TRANSPORT DASHBOARD'!$C$4,INDEX(MASTER_ZONES!$B:$B,738)))),737,""),""),""))</f>
        <v/>
      </c>
    </row>
    <row r="739">
      <c r="A739">
        <f>IF('WSF DASHBOARD'!$B$4="Area",IF(738&lt;=$D$3,IF(OR('WSF DASHBOARD'!$C$4="",ISNUMBER(SEARCH('WSF DASHBOARD'!$C$4,INDEX(MASTER_AREAS!$B:$B,739)))),738,""),""),IF('WSF DASHBOARD'!$B$4="Zone",IF(738&lt;=$D$4,IF(OR('WSF DASHBOARD'!$C$4="",ISNUMBER(SEARCH('WSF DASHBOARD'!$C$4,INDEX(MASTER_ZONES!$B:$B,739)))),738,""),""),""))</f>
        <v/>
      </c>
      <c r="F739">
        <f>IF('TRANSPORT DASHBOARD'!$B$4="Area",IF(738&lt;=$I$3,IF(OR('TRANSPORT DASHBOARD'!$C$4="",ISNUMBER(SEARCH('TRANSPORT DASHBOARD'!$C$4,INDEX(MASTER_AREAS!$B:$B,739)))),738,""),""),IF('TRANSPORT DASHBOARD'!$B$4="Zone",IF(738&lt;=$I$4,IF(OR('TRANSPORT DASHBOARD'!$C$4="",ISNUMBER(SEARCH('TRANSPORT DASHBOARD'!$C$4,INDEX(MASTER_ZONES!$B:$B,739)))),738,""),""),""))</f>
        <v/>
      </c>
    </row>
    <row r="740">
      <c r="A740">
        <f>IF('WSF DASHBOARD'!$B$4="Area",IF(739&lt;=$D$3,IF(OR('WSF DASHBOARD'!$C$4="",ISNUMBER(SEARCH('WSF DASHBOARD'!$C$4,INDEX(MASTER_AREAS!$B:$B,740)))),739,""),""),IF('WSF DASHBOARD'!$B$4="Zone",IF(739&lt;=$D$4,IF(OR('WSF DASHBOARD'!$C$4="",ISNUMBER(SEARCH('WSF DASHBOARD'!$C$4,INDEX(MASTER_ZONES!$B:$B,740)))),739,""),""),""))</f>
        <v/>
      </c>
      <c r="F740">
        <f>IF('TRANSPORT DASHBOARD'!$B$4="Area",IF(739&lt;=$I$3,IF(OR('TRANSPORT DASHBOARD'!$C$4="",ISNUMBER(SEARCH('TRANSPORT DASHBOARD'!$C$4,INDEX(MASTER_AREAS!$B:$B,740)))),739,""),""),IF('TRANSPORT DASHBOARD'!$B$4="Zone",IF(739&lt;=$I$4,IF(OR('TRANSPORT DASHBOARD'!$C$4="",ISNUMBER(SEARCH('TRANSPORT DASHBOARD'!$C$4,INDEX(MASTER_ZONES!$B:$B,740)))),739,""),""),""))</f>
        <v/>
      </c>
    </row>
    <row r="741">
      <c r="A741">
        <f>IF('WSF DASHBOARD'!$B$4="Area",IF(740&lt;=$D$3,IF(OR('WSF DASHBOARD'!$C$4="",ISNUMBER(SEARCH('WSF DASHBOARD'!$C$4,INDEX(MASTER_AREAS!$B:$B,741)))),740,""),""),IF('WSF DASHBOARD'!$B$4="Zone",IF(740&lt;=$D$4,IF(OR('WSF DASHBOARD'!$C$4="",ISNUMBER(SEARCH('WSF DASHBOARD'!$C$4,INDEX(MASTER_ZONES!$B:$B,741)))),740,""),""),""))</f>
        <v/>
      </c>
      <c r="F741">
        <f>IF('TRANSPORT DASHBOARD'!$B$4="Area",IF(740&lt;=$I$3,IF(OR('TRANSPORT DASHBOARD'!$C$4="",ISNUMBER(SEARCH('TRANSPORT DASHBOARD'!$C$4,INDEX(MASTER_AREAS!$B:$B,741)))),740,""),""),IF('TRANSPORT DASHBOARD'!$B$4="Zone",IF(740&lt;=$I$4,IF(OR('TRANSPORT DASHBOARD'!$C$4="",ISNUMBER(SEARCH('TRANSPORT DASHBOARD'!$C$4,INDEX(MASTER_ZONES!$B:$B,741)))),740,""),""),""))</f>
        <v/>
      </c>
    </row>
    <row r="742">
      <c r="A742">
        <f>IF('WSF DASHBOARD'!$B$4="Area",IF(741&lt;=$D$3,IF(OR('WSF DASHBOARD'!$C$4="",ISNUMBER(SEARCH('WSF DASHBOARD'!$C$4,INDEX(MASTER_AREAS!$B:$B,742)))),741,""),""),IF('WSF DASHBOARD'!$B$4="Zone",IF(741&lt;=$D$4,IF(OR('WSF DASHBOARD'!$C$4="",ISNUMBER(SEARCH('WSF DASHBOARD'!$C$4,INDEX(MASTER_ZONES!$B:$B,742)))),741,""),""),""))</f>
        <v/>
      </c>
      <c r="F742">
        <f>IF('TRANSPORT DASHBOARD'!$B$4="Area",IF(741&lt;=$I$3,IF(OR('TRANSPORT DASHBOARD'!$C$4="",ISNUMBER(SEARCH('TRANSPORT DASHBOARD'!$C$4,INDEX(MASTER_AREAS!$B:$B,742)))),741,""),""),IF('TRANSPORT DASHBOARD'!$B$4="Zone",IF(741&lt;=$I$4,IF(OR('TRANSPORT DASHBOARD'!$C$4="",ISNUMBER(SEARCH('TRANSPORT DASHBOARD'!$C$4,INDEX(MASTER_ZONES!$B:$B,742)))),741,""),""),""))</f>
        <v/>
      </c>
    </row>
    <row r="743">
      <c r="A743">
        <f>IF('WSF DASHBOARD'!$B$4="Area",IF(742&lt;=$D$3,IF(OR('WSF DASHBOARD'!$C$4="",ISNUMBER(SEARCH('WSF DASHBOARD'!$C$4,INDEX(MASTER_AREAS!$B:$B,743)))),742,""),""),IF('WSF DASHBOARD'!$B$4="Zone",IF(742&lt;=$D$4,IF(OR('WSF DASHBOARD'!$C$4="",ISNUMBER(SEARCH('WSF DASHBOARD'!$C$4,INDEX(MASTER_ZONES!$B:$B,743)))),742,""),""),""))</f>
        <v/>
      </c>
      <c r="F743">
        <f>IF('TRANSPORT DASHBOARD'!$B$4="Area",IF(742&lt;=$I$3,IF(OR('TRANSPORT DASHBOARD'!$C$4="",ISNUMBER(SEARCH('TRANSPORT DASHBOARD'!$C$4,INDEX(MASTER_AREAS!$B:$B,743)))),742,""),""),IF('TRANSPORT DASHBOARD'!$B$4="Zone",IF(742&lt;=$I$4,IF(OR('TRANSPORT DASHBOARD'!$C$4="",ISNUMBER(SEARCH('TRANSPORT DASHBOARD'!$C$4,INDEX(MASTER_ZONES!$B:$B,743)))),742,""),""),""))</f>
        <v/>
      </c>
    </row>
    <row r="744">
      <c r="A744">
        <f>IF('WSF DASHBOARD'!$B$4="Area",IF(743&lt;=$D$3,IF(OR('WSF DASHBOARD'!$C$4="",ISNUMBER(SEARCH('WSF DASHBOARD'!$C$4,INDEX(MASTER_AREAS!$B:$B,744)))),743,""),""),IF('WSF DASHBOARD'!$B$4="Zone",IF(743&lt;=$D$4,IF(OR('WSF DASHBOARD'!$C$4="",ISNUMBER(SEARCH('WSF DASHBOARD'!$C$4,INDEX(MASTER_ZONES!$B:$B,744)))),743,""),""),""))</f>
        <v/>
      </c>
      <c r="F744">
        <f>IF('TRANSPORT DASHBOARD'!$B$4="Area",IF(743&lt;=$I$3,IF(OR('TRANSPORT DASHBOARD'!$C$4="",ISNUMBER(SEARCH('TRANSPORT DASHBOARD'!$C$4,INDEX(MASTER_AREAS!$B:$B,744)))),743,""),""),IF('TRANSPORT DASHBOARD'!$B$4="Zone",IF(743&lt;=$I$4,IF(OR('TRANSPORT DASHBOARD'!$C$4="",ISNUMBER(SEARCH('TRANSPORT DASHBOARD'!$C$4,INDEX(MASTER_ZONES!$B:$B,744)))),743,""),""),""))</f>
        <v/>
      </c>
    </row>
    <row r="745">
      <c r="A745">
        <f>IF('WSF DASHBOARD'!$B$4="Area",IF(744&lt;=$D$3,IF(OR('WSF DASHBOARD'!$C$4="",ISNUMBER(SEARCH('WSF DASHBOARD'!$C$4,INDEX(MASTER_AREAS!$B:$B,745)))),744,""),""),IF('WSF DASHBOARD'!$B$4="Zone",IF(744&lt;=$D$4,IF(OR('WSF DASHBOARD'!$C$4="",ISNUMBER(SEARCH('WSF DASHBOARD'!$C$4,INDEX(MASTER_ZONES!$B:$B,745)))),744,""),""),""))</f>
        <v/>
      </c>
      <c r="F745">
        <f>IF('TRANSPORT DASHBOARD'!$B$4="Area",IF(744&lt;=$I$3,IF(OR('TRANSPORT DASHBOARD'!$C$4="",ISNUMBER(SEARCH('TRANSPORT DASHBOARD'!$C$4,INDEX(MASTER_AREAS!$B:$B,745)))),744,""),""),IF('TRANSPORT DASHBOARD'!$B$4="Zone",IF(744&lt;=$I$4,IF(OR('TRANSPORT DASHBOARD'!$C$4="",ISNUMBER(SEARCH('TRANSPORT DASHBOARD'!$C$4,INDEX(MASTER_ZONES!$B:$B,745)))),744,""),""),""))</f>
        <v/>
      </c>
    </row>
    <row r="746">
      <c r="A746">
        <f>IF('WSF DASHBOARD'!$B$4="Area",IF(745&lt;=$D$3,IF(OR('WSF DASHBOARD'!$C$4="",ISNUMBER(SEARCH('WSF DASHBOARD'!$C$4,INDEX(MASTER_AREAS!$B:$B,746)))),745,""),""),IF('WSF DASHBOARD'!$B$4="Zone",IF(745&lt;=$D$4,IF(OR('WSF DASHBOARD'!$C$4="",ISNUMBER(SEARCH('WSF DASHBOARD'!$C$4,INDEX(MASTER_ZONES!$B:$B,746)))),745,""),""),""))</f>
        <v/>
      </c>
      <c r="F746">
        <f>IF('TRANSPORT DASHBOARD'!$B$4="Area",IF(745&lt;=$I$3,IF(OR('TRANSPORT DASHBOARD'!$C$4="",ISNUMBER(SEARCH('TRANSPORT DASHBOARD'!$C$4,INDEX(MASTER_AREAS!$B:$B,746)))),745,""),""),IF('TRANSPORT DASHBOARD'!$B$4="Zone",IF(745&lt;=$I$4,IF(OR('TRANSPORT DASHBOARD'!$C$4="",ISNUMBER(SEARCH('TRANSPORT DASHBOARD'!$C$4,INDEX(MASTER_ZONES!$B:$B,746)))),745,""),""),""))</f>
        <v/>
      </c>
    </row>
    <row r="747">
      <c r="A747">
        <f>IF('WSF DASHBOARD'!$B$4="Area",IF(746&lt;=$D$3,IF(OR('WSF DASHBOARD'!$C$4="",ISNUMBER(SEARCH('WSF DASHBOARD'!$C$4,INDEX(MASTER_AREAS!$B:$B,747)))),746,""),""),IF('WSF DASHBOARD'!$B$4="Zone",IF(746&lt;=$D$4,IF(OR('WSF DASHBOARD'!$C$4="",ISNUMBER(SEARCH('WSF DASHBOARD'!$C$4,INDEX(MASTER_ZONES!$B:$B,747)))),746,""),""),""))</f>
        <v/>
      </c>
      <c r="F747">
        <f>IF('TRANSPORT DASHBOARD'!$B$4="Area",IF(746&lt;=$I$3,IF(OR('TRANSPORT DASHBOARD'!$C$4="",ISNUMBER(SEARCH('TRANSPORT DASHBOARD'!$C$4,INDEX(MASTER_AREAS!$B:$B,747)))),746,""),""),IF('TRANSPORT DASHBOARD'!$B$4="Zone",IF(746&lt;=$I$4,IF(OR('TRANSPORT DASHBOARD'!$C$4="",ISNUMBER(SEARCH('TRANSPORT DASHBOARD'!$C$4,INDEX(MASTER_ZONES!$B:$B,747)))),746,""),""),""))</f>
        <v/>
      </c>
    </row>
    <row r="748">
      <c r="A748">
        <f>IF('WSF DASHBOARD'!$B$4="Area",IF(747&lt;=$D$3,IF(OR('WSF DASHBOARD'!$C$4="",ISNUMBER(SEARCH('WSF DASHBOARD'!$C$4,INDEX(MASTER_AREAS!$B:$B,748)))),747,""),""),IF('WSF DASHBOARD'!$B$4="Zone",IF(747&lt;=$D$4,IF(OR('WSF DASHBOARD'!$C$4="",ISNUMBER(SEARCH('WSF DASHBOARD'!$C$4,INDEX(MASTER_ZONES!$B:$B,748)))),747,""),""),""))</f>
        <v/>
      </c>
      <c r="F748">
        <f>IF('TRANSPORT DASHBOARD'!$B$4="Area",IF(747&lt;=$I$3,IF(OR('TRANSPORT DASHBOARD'!$C$4="",ISNUMBER(SEARCH('TRANSPORT DASHBOARD'!$C$4,INDEX(MASTER_AREAS!$B:$B,748)))),747,""),""),IF('TRANSPORT DASHBOARD'!$B$4="Zone",IF(747&lt;=$I$4,IF(OR('TRANSPORT DASHBOARD'!$C$4="",ISNUMBER(SEARCH('TRANSPORT DASHBOARD'!$C$4,INDEX(MASTER_ZONES!$B:$B,748)))),747,""),""),""))</f>
        <v/>
      </c>
    </row>
    <row r="749">
      <c r="A749">
        <f>IF('WSF DASHBOARD'!$B$4="Area",IF(748&lt;=$D$3,IF(OR('WSF DASHBOARD'!$C$4="",ISNUMBER(SEARCH('WSF DASHBOARD'!$C$4,INDEX(MASTER_AREAS!$B:$B,749)))),748,""),""),IF('WSF DASHBOARD'!$B$4="Zone",IF(748&lt;=$D$4,IF(OR('WSF DASHBOARD'!$C$4="",ISNUMBER(SEARCH('WSF DASHBOARD'!$C$4,INDEX(MASTER_ZONES!$B:$B,749)))),748,""),""),""))</f>
        <v/>
      </c>
      <c r="F749">
        <f>IF('TRANSPORT DASHBOARD'!$B$4="Area",IF(748&lt;=$I$3,IF(OR('TRANSPORT DASHBOARD'!$C$4="",ISNUMBER(SEARCH('TRANSPORT DASHBOARD'!$C$4,INDEX(MASTER_AREAS!$B:$B,749)))),748,""),""),IF('TRANSPORT DASHBOARD'!$B$4="Zone",IF(748&lt;=$I$4,IF(OR('TRANSPORT DASHBOARD'!$C$4="",ISNUMBER(SEARCH('TRANSPORT DASHBOARD'!$C$4,INDEX(MASTER_ZONES!$B:$B,749)))),748,""),""),""))</f>
        <v/>
      </c>
    </row>
    <row r="750">
      <c r="A750">
        <f>IF('WSF DASHBOARD'!$B$4="Area",IF(749&lt;=$D$3,IF(OR('WSF DASHBOARD'!$C$4="",ISNUMBER(SEARCH('WSF DASHBOARD'!$C$4,INDEX(MASTER_AREAS!$B:$B,750)))),749,""),""),IF('WSF DASHBOARD'!$B$4="Zone",IF(749&lt;=$D$4,IF(OR('WSF DASHBOARD'!$C$4="",ISNUMBER(SEARCH('WSF DASHBOARD'!$C$4,INDEX(MASTER_ZONES!$B:$B,750)))),749,""),""),""))</f>
        <v/>
      </c>
      <c r="F750">
        <f>IF('TRANSPORT DASHBOARD'!$B$4="Area",IF(749&lt;=$I$3,IF(OR('TRANSPORT DASHBOARD'!$C$4="",ISNUMBER(SEARCH('TRANSPORT DASHBOARD'!$C$4,INDEX(MASTER_AREAS!$B:$B,750)))),749,""),""),IF('TRANSPORT DASHBOARD'!$B$4="Zone",IF(749&lt;=$I$4,IF(OR('TRANSPORT DASHBOARD'!$C$4="",ISNUMBER(SEARCH('TRANSPORT DASHBOARD'!$C$4,INDEX(MASTER_ZONES!$B:$B,750)))),749,""),""),""))</f>
        <v/>
      </c>
    </row>
    <row r="751">
      <c r="A751">
        <f>IF('WSF DASHBOARD'!$B$4="Area",IF(750&lt;=$D$3,IF(OR('WSF DASHBOARD'!$C$4="",ISNUMBER(SEARCH('WSF DASHBOARD'!$C$4,INDEX(MASTER_AREAS!$B:$B,751)))),750,""),""),IF('WSF DASHBOARD'!$B$4="Zone",IF(750&lt;=$D$4,IF(OR('WSF DASHBOARD'!$C$4="",ISNUMBER(SEARCH('WSF DASHBOARD'!$C$4,INDEX(MASTER_ZONES!$B:$B,751)))),750,""),""),""))</f>
        <v/>
      </c>
      <c r="F751">
        <f>IF('TRANSPORT DASHBOARD'!$B$4="Area",IF(750&lt;=$I$3,IF(OR('TRANSPORT DASHBOARD'!$C$4="",ISNUMBER(SEARCH('TRANSPORT DASHBOARD'!$C$4,INDEX(MASTER_AREAS!$B:$B,751)))),750,""),""),IF('TRANSPORT DASHBOARD'!$B$4="Zone",IF(750&lt;=$I$4,IF(OR('TRANSPORT DASHBOARD'!$C$4="",ISNUMBER(SEARCH('TRANSPORT DASHBOARD'!$C$4,INDEX(MASTER_ZONES!$B:$B,751)))),750,""),""),""))</f>
        <v/>
      </c>
    </row>
    <row r="752">
      <c r="A752">
        <f>IF('WSF DASHBOARD'!$B$4="Area",IF(751&lt;=$D$3,IF(OR('WSF DASHBOARD'!$C$4="",ISNUMBER(SEARCH('WSF DASHBOARD'!$C$4,INDEX(MASTER_AREAS!$B:$B,752)))),751,""),""),IF('WSF DASHBOARD'!$B$4="Zone",IF(751&lt;=$D$4,IF(OR('WSF DASHBOARD'!$C$4="",ISNUMBER(SEARCH('WSF DASHBOARD'!$C$4,INDEX(MASTER_ZONES!$B:$B,752)))),751,""),""),""))</f>
        <v/>
      </c>
      <c r="F752">
        <f>IF('TRANSPORT DASHBOARD'!$B$4="Area",IF(751&lt;=$I$3,IF(OR('TRANSPORT DASHBOARD'!$C$4="",ISNUMBER(SEARCH('TRANSPORT DASHBOARD'!$C$4,INDEX(MASTER_AREAS!$B:$B,752)))),751,""),""),IF('TRANSPORT DASHBOARD'!$B$4="Zone",IF(751&lt;=$I$4,IF(OR('TRANSPORT DASHBOARD'!$C$4="",ISNUMBER(SEARCH('TRANSPORT DASHBOARD'!$C$4,INDEX(MASTER_ZONES!$B:$B,752)))),751,""),""),""))</f>
        <v/>
      </c>
    </row>
    <row r="753">
      <c r="A753">
        <f>IF('WSF DASHBOARD'!$B$4="Area",IF(752&lt;=$D$3,IF(OR('WSF DASHBOARD'!$C$4="",ISNUMBER(SEARCH('WSF DASHBOARD'!$C$4,INDEX(MASTER_AREAS!$B:$B,753)))),752,""),""),IF('WSF DASHBOARD'!$B$4="Zone",IF(752&lt;=$D$4,IF(OR('WSF DASHBOARD'!$C$4="",ISNUMBER(SEARCH('WSF DASHBOARD'!$C$4,INDEX(MASTER_ZONES!$B:$B,753)))),752,""),""),""))</f>
        <v/>
      </c>
      <c r="F753">
        <f>IF('TRANSPORT DASHBOARD'!$B$4="Area",IF(752&lt;=$I$3,IF(OR('TRANSPORT DASHBOARD'!$C$4="",ISNUMBER(SEARCH('TRANSPORT DASHBOARD'!$C$4,INDEX(MASTER_AREAS!$B:$B,753)))),752,""),""),IF('TRANSPORT DASHBOARD'!$B$4="Zone",IF(752&lt;=$I$4,IF(OR('TRANSPORT DASHBOARD'!$C$4="",ISNUMBER(SEARCH('TRANSPORT DASHBOARD'!$C$4,INDEX(MASTER_ZONES!$B:$B,753)))),752,""),""),""))</f>
        <v/>
      </c>
    </row>
    <row r="754">
      <c r="A754">
        <f>IF('WSF DASHBOARD'!$B$4="Area",IF(753&lt;=$D$3,IF(OR('WSF DASHBOARD'!$C$4="",ISNUMBER(SEARCH('WSF DASHBOARD'!$C$4,INDEX(MASTER_AREAS!$B:$B,754)))),753,""),""),IF('WSF DASHBOARD'!$B$4="Zone",IF(753&lt;=$D$4,IF(OR('WSF DASHBOARD'!$C$4="",ISNUMBER(SEARCH('WSF DASHBOARD'!$C$4,INDEX(MASTER_ZONES!$B:$B,754)))),753,""),""),""))</f>
        <v/>
      </c>
      <c r="F754">
        <f>IF('TRANSPORT DASHBOARD'!$B$4="Area",IF(753&lt;=$I$3,IF(OR('TRANSPORT DASHBOARD'!$C$4="",ISNUMBER(SEARCH('TRANSPORT DASHBOARD'!$C$4,INDEX(MASTER_AREAS!$B:$B,754)))),753,""),""),IF('TRANSPORT DASHBOARD'!$B$4="Zone",IF(753&lt;=$I$4,IF(OR('TRANSPORT DASHBOARD'!$C$4="",ISNUMBER(SEARCH('TRANSPORT DASHBOARD'!$C$4,INDEX(MASTER_ZONES!$B:$B,754)))),753,""),""),""))</f>
        <v/>
      </c>
    </row>
    <row r="755">
      <c r="A755">
        <f>IF('WSF DASHBOARD'!$B$4="Area",IF(754&lt;=$D$3,IF(OR('WSF DASHBOARD'!$C$4="",ISNUMBER(SEARCH('WSF DASHBOARD'!$C$4,INDEX(MASTER_AREAS!$B:$B,755)))),754,""),""),IF('WSF DASHBOARD'!$B$4="Zone",IF(754&lt;=$D$4,IF(OR('WSF DASHBOARD'!$C$4="",ISNUMBER(SEARCH('WSF DASHBOARD'!$C$4,INDEX(MASTER_ZONES!$B:$B,755)))),754,""),""),""))</f>
        <v/>
      </c>
      <c r="F755">
        <f>IF('TRANSPORT DASHBOARD'!$B$4="Area",IF(754&lt;=$I$3,IF(OR('TRANSPORT DASHBOARD'!$C$4="",ISNUMBER(SEARCH('TRANSPORT DASHBOARD'!$C$4,INDEX(MASTER_AREAS!$B:$B,755)))),754,""),""),IF('TRANSPORT DASHBOARD'!$B$4="Zone",IF(754&lt;=$I$4,IF(OR('TRANSPORT DASHBOARD'!$C$4="",ISNUMBER(SEARCH('TRANSPORT DASHBOARD'!$C$4,INDEX(MASTER_ZONES!$B:$B,755)))),754,""),""),""))</f>
        <v/>
      </c>
    </row>
    <row r="756">
      <c r="A756">
        <f>IF('WSF DASHBOARD'!$B$4="Area",IF(755&lt;=$D$3,IF(OR('WSF DASHBOARD'!$C$4="",ISNUMBER(SEARCH('WSF DASHBOARD'!$C$4,INDEX(MASTER_AREAS!$B:$B,756)))),755,""),""),IF('WSF DASHBOARD'!$B$4="Zone",IF(755&lt;=$D$4,IF(OR('WSF DASHBOARD'!$C$4="",ISNUMBER(SEARCH('WSF DASHBOARD'!$C$4,INDEX(MASTER_ZONES!$B:$B,756)))),755,""),""),""))</f>
        <v/>
      </c>
      <c r="F756">
        <f>IF('TRANSPORT DASHBOARD'!$B$4="Area",IF(755&lt;=$I$3,IF(OR('TRANSPORT DASHBOARD'!$C$4="",ISNUMBER(SEARCH('TRANSPORT DASHBOARD'!$C$4,INDEX(MASTER_AREAS!$B:$B,756)))),755,""),""),IF('TRANSPORT DASHBOARD'!$B$4="Zone",IF(755&lt;=$I$4,IF(OR('TRANSPORT DASHBOARD'!$C$4="",ISNUMBER(SEARCH('TRANSPORT DASHBOARD'!$C$4,INDEX(MASTER_ZONES!$B:$B,756)))),755,""),""),""))</f>
        <v/>
      </c>
    </row>
    <row r="757">
      <c r="A757">
        <f>IF('WSF DASHBOARD'!$B$4="Area",IF(756&lt;=$D$3,IF(OR('WSF DASHBOARD'!$C$4="",ISNUMBER(SEARCH('WSF DASHBOARD'!$C$4,INDEX(MASTER_AREAS!$B:$B,757)))),756,""),""),IF('WSF DASHBOARD'!$B$4="Zone",IF(756&lt;=$D$4,IF(OR('WSF DASHBOARD'!$C$4="",ISNUMBER(SEARCH('WSF DASHBOARD'!$C$4,INDEX(MASTER_ZONES!$B:$B,757)))),756,""),""),""))</f>
        <v/>
      </c>
      <c r="F757">
        <f>IF('TRANSPORT DASHBOARD'!$B$4="Area",IF(756&lt;=$I$3,IF(OR('TRANSPORT DASHBOARD'!$C$4="",ISNUMBER(SEARCH('TRANSPORT DASHBOARD'!$C$4,INDEX(MASTER_AREAS!$B:$B,757)))),756,""),""),IF('TRANSPORT DASHBOARD'!$B$4="Zone",IF(756&lt;=$I$4,IF(OR('TRANSPORT DASHBOARD'!$C$4="",ISNUMBER(SEARCH('TRANSPORT DASHBOARD'!$C$4,INDEX(MASTER_ZONES!$B:$B,757)))),756,""),""),""))</f>
        <v/>
      </c>
    </row>
    <row r="758">
      <c r="A758">
        <f>IF('WSF DASHBOARD'!$B$4="Area",IF(757&lt;=$D$3,IF(OR('WSF DASHBOARD'!$C$4="",ISNUMBER(SEARCH('WSF DASHBOARD'!$C$4,INDEX(MASTER_AREAS!$B:$B,758)))),757,""),""),IF('WSF DASHBOARD'!$B$4="Zone",IF(757&lt;=$D$4,IF(OR('WSF DASHBOARD'!$C$4="",ISNUMBER(SEARCH('WSF DASHBOARD'!$C$4,INDEX(MASTER_ZONES!$B:$B,758)))),757,""),""),""))</f>
        <v/>
      </c>
      <c r="F758">
        <f>IF('TRANSPORT DASHBOARD'!$B$4="Area",IF(757&lt;=$I$3,IF(OR('TRANSPORT DASHBOARD'!$C$4="",ISNUMBER(SEARCH('TRANSPORT DASHBOARD'!$C$4,INDEX(MASTER_AREAS!$B:$B,758)))),757,""),""),IF('TRANSPORT DASHBOARD'!$B$4="Zone",IF(757&lt;=$I$4,IF(OR('TRANSPORT DASHBOARD'!$C$4="",ISNUMBER(SEARCH('TRANSPORT DASHBOARD'!$C$4,INDEX(MASTER_ZONES!$B:$B,758)))),757,""),""),""))</f>
        <v/>
      </c>
    </row>
    <row r="759">
      <c r="A759">
        <f>IF('WSF DASHBOARD'!$B$4="Area",IF(758&lt;=$D$3,IF(OR('WSF DASHBOARD'!$C$4="",ISNUMBER(SEARCH('WSF DASHBOARD'!$C$4,INDEX(MASTER_AREAS!$B:$B,759)))),758,""),""),IF('WSF DASHBOARD'!$B$4="Zone",IF(758&lt;=$D$4,IF(OR('WSF DASHBOARD'!$C$4="",ISNUMBER(SEARCH('WSF DASHBOARD'!$C$4,INDEX(MASTER_ZONES!$B:$B,759)))),758,""),""),""))</f>
        <v/>
      </c>
      <c r="F759">
        <f>IF('TRANSPORT DASHBOARD'!$B$4="Area",IF(758&lt;=$I$3,IF(OR('TRANSPORT DASHBOARD'!$C$4="",ISNUMBER(SEARCH('TRANSPORT DASHBOARD'!$C$4,INDEX(MASTER_AREAS!$B:$B,759)))),758,""),""),IF('TRANSPORT DASHBOARD'!$B$4="Zone",IF(758&lt;=$I$4,IF(OR('TRANSPORT DASHBOARD'!$C$4="",ISNUMBER(SEARCH('TRANSPORT DASHBOARD'!$C$4,INDEX(MASTER_ZONES!$B:$B,759)))),758,""),""),""))</f>
        <v/>
      </c>
    </row>
    <row r="760">
      <c r="A760">
        <f>IF('WSF DASHBOARD'!$B$4="Area",IF(759&lt;=$D$3,IF(OR('WSF DASHBOARD'!$C$4="",ISNUMBER(SEARCH('WSF DASHBOARD'!$C$4,INDEX(MASTER_AREAS!$B:$B,760)))),759,""),""),IF('WSF DASHBOARD'!$B$4="Zone",IF(759&lt;=$D$4,IF(OR('WSF DASHBOARD'!$C$4="",ISNUMBER(SEARCH('WSF DASHBOARD'!$C$4,INDEX(MASTER_ZONES!$B:$B,760)))),759,""),""),""))</f>
        <v/>
      </c>
      <c r="F760">
        <f>IF('TRANSPORT DASHBOARD'!$B$4="Area",IF(759&lt;=$I$3,IF(OR('TRANSPORT DASHBOARD'!$C$4="",ISNUMBER(SEARCH('TRANSPORT DASHBOARD'!$C$4,INDEX(MASTER_AREAS!$B:$B,760)))),759,""),""),IF('TRANSPORT DASHBOARD'!$B$4="Zone",IF(759&lt;=$I$4,IF(OR('TRANSPORT DASHBOARD'!$C$4="",ISNUMBER(SEARCH('TRANSPORT DASHBOARD'!$C$4,INDEX(MASTER_ZONES!$B:$B,760)))),759,""),""),""))</f>
        <v/>
      </c>
    </row>
    <row r="761">
      <c r="A761">
        <f>IF('WSF DASHBOARD'!$B$4="Area",IF(760&lt;=$D$3,IF(OR('WSF DASHBOARD'!$C$4="",ISNUMBER(SEARCH('WSF DASHBOARD'!$C$4,INDEX(MASTER_AREAS!$B:$B,761)))),760,""),""),IF('WSF DASHBOARD'!$B$4="Zone",IF(760&lt;=$D$4,IF(OR('WSF DASHBOARD'!$C$4="",ISNUMBER(SEARCH('WSF DASHBOARD'!$C$4,INDEX(MASTER_ZONES!$B:$B,761)))),760,""),""),""))</f>
        <v/>
      </c>
      <c r="F761">
        <f>IF('TRANSPORT DASHBOARD'!$B$4="Area",IF(760&lt;=$I$3,IF(OR('TRANSPORT DASHBOARD'!$C$4="",ISNUMBER(SEARCH('TRANSPORT DASHBOARD'!$C$4,INDEX(MASTER_AREAS!$B:$B,761)))),760,""),""),IF('TRANSPORT DASHBOARD'!$B$4="Zone",IF(760&lt;=$I$4,IF(OR('TRANSPORT DASHBOARD'!$C$4="",ISNUMBER(SEARCH('TRANSPORT DASHBOARD'!$C$4,INDEX(MASTER_ZONES!$B:$B,761)))),760,""),""),""))</f>
        <v/>
      </c>
    </row>
    <row r="762">
      <c r="A762">
        <f>IF('WSF DASHBOARD'!$B$4="Area",IF(761&lt;=$D$3,IF(OR('WSF DASHBOARD'!$C$4="",ISNUMBER(SEARCH('WSF DASHBOARD'!$C$4,INDEX(MASTER_AREAS!$B:$B,762)))),761,""),""),IF('WSF DASHBOARD'!$B$4="Zone",IF(761&lt;=$D$4,IF(OR('WSF DASHBOARD'!$C$4="",ISNUMBER(SEARCH('WSF DASHBOARD'!$C$4,INDEX(MASTER_ZONES!$B:$B,762)))),761,""),""),""))</f>
        <v/>
      </c>
      <c r="F762">
        <f>IF('TRANSPORT DASHBOARD'!$B$4="Area",IF(761&lt;=$I$3,IF(OR('TRANSPORT DASHBOARD'!$C$4="",ISNUMBER(SEARCH('TRANSPORT DASHBOARD'!$C$4,INDEX(MASTER_AREAS!$B:$B,762)))),761,""),""),IF('TRANSPORT DASHBOARD'!$B$4="Zone",IF(761&lt;=$I$4,IF(OR('TRANSPORT DASHBOARD'!$C$4="",ISNUMBER(SEARCH('TRANSPORT DASHBOARD'!$C$4,INDEX(MASTER_ZONES!$B:$B,762)))),761,""),""),""))</f>
        <v/>
      </c>
    </row>
    <row r="763">
      <c r="A763">
        <f>IF('WSF DASHBOARD'!$B$4="Area",IF(762&lt;=$D$3,IF(OR('WSF DASHBOARD'!$C$4="",ISNUMBER(SEARCH('WSF DASHBOARD'!$C$4,INDEX(MASTER_AREAS!$B:$B,763)))),762,""),""),IF('WSF DASHBOARD'!$B$4="Zone",IF(762&lt;=$D$4,IF(OR('WSF DASHBOARD'!$C$4="",ISNUMBER(SEARCH('WSF DASHBOARD'!$C$4,INDEX(MASTER_ZONES!$B:$B,763)))),762,""),""),""))</f>
        <v/>
      </c>
      <c r="F763">
        <f>IF('TRANSPORT DASHBOARD'!$B$4="Area",IF(762&lt;=$I$3,IF(OR('TRANSPORT DASHBOARD'!$C$4="",ISNUMBER(SEARCH('TRANSPORT DASHBOARD'!$C$4,INDEX(MASTER_AREAS!$B:$B,763)))),762,""),""),IF('TRANSPORT DASHBOARD'!$B$4="Zone",IF(762&lt;=$I$4,IF(OR('TRANSPORT DASHBOARD'!$C$4="",ISNUMBER(SEARCH('TRANSPORT DASHBOARD'!$C$4,INDEX(MASTER_ZONES!$B:$B,763)))),762,""),""),""))</f>
        <v/>
      </c>
    </row>
    <row r="764">
      <c r="A764">
        <f>IF('WSF DASHBOARD'!$B$4="Area",IF(763&lt;=$D$3,IF(OR('WSF DASHBOARD'!$C$4="",ISNUMBER(SEARCH('WSF DASHBOARD'!$C$4,INDEX(MASTER_AREAS!$B:$B,764)))),763,""),""),IF('WSF DASHBOARD'!$B$4="Zone",IF(763&lt;=$D$4,IF(OR('WSF DASHBOARD'!$C$4="",ISNUMBER(SEARCH('WSF DASHBOARD'!$C$4,INDEX(MASTER_ZONES!$B:$B,764)))),763,""),""),""))</f>
        <v/>
      </c>
      <c r="F764">
        <f>IF('TRANSPORT DASHBOARD'!$B$4="Area",IF(763&lt;=$I$3,IF(OR('TRANSPORT DASHBOARD'!$C$4="",ISNUMBER(SEARCH('TRANSPORT DASHBOARD'!$C$4,INDEX(MASTER_AREAS!$B:$B,764)))),763,""),""),IF('TRANSPORT DASHBOARD'!$B$4="Zone",IF(763&lt;=$I$4,IF(OR('TRANSPORT DASHBOARD'!$C$4="",ISNUMBER(SEARCH('TRANSPORT DASHBOARD'!$C$4,INDEX(MASTER_ZONES!$B:$B,764)))),763,""),""),""))</f>
        <v/>
      </c>
    </row>
    <row r="765">
      <c r="A765">
        <f>IF('WSF DASHBOARD'!$B$4="Area",IF(764&lt;=$D$3,IF(OR('WSF DASHBOARD'!$C$4="",ISNUMBER(SEARCH('WSF DASHBOARD'!$C$4,INDEX(MASTER_AREAS!$B:$B,765)))),764,""),""),IF('WSF DASHBOARD'!$B$4="Zone",IF(764&lt;=$D$4,IF(OR('WSF DASHBOARD'!$C$4="",ISNUMBER(SEARCH('WSF DASHBOARD'!$C$4,INDEX(MASTER_ZONES!$B:$B,765)))),764,""),""),""))</f>
        <v/>
      </c>
      <c r="F765">
        <f>IF('TRANSPORT DASHBOARD'!$B$4="Area",IF(764&lt;=$I$3,IF(OR('TRANSPORT DASHBOARD'!$C$4="",ISNUMBER(SEARCH('TRANSPORT DASHBOARD'!$C$4,INDEX(MASTER_AREAS!$B:$B,765)))),764,""),""),IF('TRANSPORT DASHBOARD'!$B$4="Zone",IF(764&lt;=$I$4,IF(OR('TRANSPORT DASHBOARD'!$C$4="",ISNUMBER(SEARCH('TRANSPORT DASHBOARD'!$C$4,INDEX(MASTER_ZONES!$B:$B,765)))),764,""),""),""))</f>
        <v/>
      </c>
    </row>
    <row r="766">
      <c r="A766">
        <f>IF('WSF DASHBOARD'!$B$4="Area",IF(765&lt;=$D$3,IF(OR('WSF DASHBOARD'!$C$4="",ISNUMBER(SEARCH('WSF DASHBOARD'!$C$4,INDEX(MASTER_AREAS!$B:$B,766)))),765,""),""),IF('WSF DASHBOARD'!$B$4="Zone",IF(765&lt;=$D$4,IF(OR('WSF DASHBOARD'!$C$4="",ISNUMBER(SEARCH('WSF DASHBOARD'!$C$4,INDEX(MASTER_ZONES!$B:$B,766)))),765,""),""),""))</f>
        <v/>
      </c>
      <c r="F766">
        <f>IF('TRANSPORT DASHBOARD'!$B$4="Area",IF(765&lt;=$I$3,IF(OR('TRANSPORT DASHBOARD'!$C$4="",ISNUMBER(SEARCH('TRANSPORT DASHBOARD'!$C$4,INDEX(MASTER_AREAS!$B:$B,766)))),765,""),""),IF('TRANSPORT DASHBOARD'!$B$4="Zone",IF(765&lt;=$I$4,IF(OR('TRANSPORT DASHBOARD'!$C$4="",ISNUMBER(SEARCH('TRANSPORT DASHBOARD'!$C$4,INDEX(MASTER_ZONES!$B:$B,766)))),765,""),""),""))</f>
        <v/>
      </c>
    </row>
    <row r="767">
      <c r="A767">
        <f>IF('WSF DASHBOARD'!$B$4="Area",IF(766&lt;=$D$3,IF(OR('WSF DASHBOARD'!$C$4="",ISNUMBER(SEARCH('WSF DASHBOARD'!$C$4,INDEX(MASTER_AREAS!$B:$B,767)))),766,""),""),IF('WSF DASHBOARD'!$B$4="Zone",IF(766&lt;=$D$4,IF(OR('WSF DASHBOARD'!$C$4="",ISNUMBER(SEARCH('WSF DASHBOARD'!$C$4,INDEX(MASTER_ZONES!$B:$B,767)))),766,""),""),""))</f>
        <v/>
      </c>
      <c r="F767">
        <f>IF('TRANSPORT DASHBOARD'!$B$4="Area",IF(766&lt;=$I$3,IF(OR('TRANSPORT DASHBOARD'!$C$4="",ISNUMBER(SEARCH('TRANSPORT DASHBOARD'!$C$4,INDEX(MASTER_AREAS!$B:$B,767)))),766,""),""),IF('TRANSPORT DASHBOARD'!$B$4="Zone",IF(766&lt;=$I$4,IF(OR('TRANSPORT DASHBOARD'!$C$4="",ISNUMBER(SEARCH('TRANSPORT DASHBOARD'!$C$4,INDEX(MASTER_ZONES!$B:$B,767)))),766,""),""),""))</f>
        <v/>
      </c>
    </row>
    <row r="768">
      <c r="A768">
        <f>IF('WSF DASHBOARD'!$B$4="Area",IF(767&lt;=$D$3,IF(OR('WSF DASHBOARD'!$C$4="",ISNUMBER(SEARCH('WSF DASHBOARD'!$C$4,INDEX(MASTER_AREAS!$B:$B,768)))),767,""),""),IF('WSF DASHBOARD'!$B$4="Zone",IF(767&lt;=$D$4,IF(OR('WSF DASHBOARD'!$C$4="",ISNUMBER(SEARCH('WSF DASHBOARD'!$C$4,INDEX(MASTER_ZONES!$B:$B,768)))),767,""),""),""))</f>
        <v/>
      </c>
      <c r="F768">
        <f>IF('TRANSPORT DASHBOARD'!$B$4="Area",IF(767&lt;=$I$3,IF(OR('TRANSPORT DASHBOARD'!$C$4="",ISNUMBER(SEARCH('TRANSPORT DASHBOARD'!$C$4,INDEX(MASTER_AREAS!$B:$B,768)))),767,""),""),IF('TRANSPORT DASHBOARD'!$B$4="Zone",IF(767&lt;=$I$4,IF(OR('TRANSPORT DASHBOARD'!$C$4="",ISNUMBER(SEARCH('TRANSPORT DASHBOARD'!$C$4,INDEX(MASTER_ZONES!$B:$B,768)))),767,""),""),""))</f>
        <v/>
      </c>
    </row>
    <row r="769">
      <c r="A769">
        <f>IF('WSF DASHBOARD'!$B$4="Area",IF(768&lt;=$D$3,IF(OR('WSF DASHBOARD'!$C$4="",ISNUMBER(SEARCH('WSF DASHBOARD'!$C$4,INDEX(MASTER_AREAS!$B:$B,769)))),768,""),""),IF('WSF DASHBOARD'!$B$4="Zone",IF(768&lt;=$D$4,IF(OR('WSF DASHBOARD'!$C$4="",ISNUMBER(SEARCH('WSF DASHBOARD'!$C$4,INDEX(MASTER_ZONES!$B:$B,769)))),768,""),""),""))</f>
        <v/>
      </c>
      <c r="F769">
        <f>IF('TRANSPORT DASHBOARD'!$B$4="Area",IF(768&lt;=$I$3,IF(OR('TRANSPORT DASHBOARD'!$C$4="",ISNUMBER(SEARCH('TRANSPORT DASHBOARD'!$C$4,INDEX(MASTER_AREAS!$B:$B,769)))),768,""),""),IF('TRANSPORT DASHBOARD'!$B$4="Zone",IF(768&lt;=$I$4,IF(OR('TRANSPORT DASHBOARD'!$C$4="",ISNUMBER(SEARCH('TRANSPORT DASHBOARD'!$C$4,INDEX(MASTER_ZONES!$B:$B,769)))),768,""),""),""))</f>
        <v/>
      </c>
    </row>
    <row r="770">
      <c r="A770">
        <f>IF('WSF DASHBOARD'!$B$4="Area",IF(769&lt;=$D$3,IF(OR('WSF DASHBOARD'!$C$4="",ISNUMBER(SEARCH('WSF DASHBOARD'!$C$4,INDEX(MASTER_AREAS!$B:$B,770)))),769,""),""),IF('WSF DASHBOARD'!$B$4="Zone",IF(769&lt;=$D$4,IF(OR('WSF DASHBOARD'!$C$4="",ISNUMBER(SEARCH('WSF DASHBOARD'!$C$4,INDEX(MASTER_ZONES!$B:$B,770)))),769,""),""),""))</f>
        <v/>
      </c>
      <c r="F770">
        <f>IF('TRANSPORT DASHBOARD'!$B$4="Area",IF(769&lt;=$I$3,IF(OR('TRANSPORT DASHBOARD'!$C$4="",ISNUMBER(SEARCH('TRANSPORT DASHBOARD'!$C$4,INDEX(MASTER_AREAS!$B:$B,770)))),769,""),""),IF('TRANSPORT DASHBOARD'!$B$4="Zone",IF(769&lt;=$I$4,IF(OR('TRANSPORT DASHBOARD'!$C$4="",ISNUMBER(SEARCH('TRANSPORT DASHBOARD'!$C$4,INDEX(MASTER_ZONES!$B:$B,770)))),769,""),""),""))</f>
        <v/>
      </c>
    </row>
    <row r="771">
      <c r="A771">
        <f>IF('WSF DASHBOARD'!$B$4="Area",IF(770&lt;=$D$3,IF(OR('WSF DASHBOARD'!$C$4="",ISNUMBER(SEARCH('WSF DASHBOARD'!$C$4,INDEX(MASTER_AREAS!$B:$B,771)))),770,""),""),IF('WSF DASHBOARD'!$B$4="Zone",IF(770&lt;=$D$4,IF(OR('WSF DASHBOARD'!$C$4="",ISNUMBER(SEARCH('WSF DASHBOARD'!$C$4,INDEX(MASTER_ZONES!$B:$B,771)))),770,""),""),""))</f>
        <v/>
      </c>
      <c r="F771">
        <f>IF('TRANSPORT DASHBOARD'!$B$4="Area",IF(770&lt;=$I$3,IF(OR('TRANSPORT DASHBOARD'!$C$4="",ISNUMBER(SEARCH('TRANSPORT DASHBOARD'!$C$4,INDEX(MASTER_AREAS!$B:$B,771)))),770,""),""),IF('TRANSPORT DASHBOARD'!$B$4="Zone",IF(770&lt;=$I$4,IF(OR('TRANSPORT DASHBOARD'!$C$4="",ISNUMBER(SEARCH('TRANSPORT DASHBOARD'!$C$4,INDEX(MASTER_ZONES!$B:$B,771)))),770,""),""),""))</f>
        <v/>
      </c>
    </row>
    <row r="772">
      <c r="A772">
        <f>IF('WSF DASHBOARD'!$B$4="Area",IF(771&lt;=$D$3,IF(OR('WSF DASHBOARD'!$C$4="",ISNUMBER(SEARCH('WSF DASHBOARD'!$C$4,INDEX(MASTER_AREAS!$B:$B,772)))),771,""),""),IF('WSF DASHBOARD'!$B$4="Zone",IF(771&lt;=$D$4,IF(OR('WSF DASHBOARD'!$C$4="",ISNUMBER(SEARCH('WSF DASHBOARD'!$C$4,INDEX(MASTER_ZONES!$B:$B,772)))),771,""),""),""))</f>
        <v/>
      </c>
      <c r="F772">
        <f>IF('TRANSPORT DASHBOARD'!$B$4="Area",IF(771&lt;=$I$3,IF(OR('TRANSPORT DASHBOARD'!$C$4="",ISNUMBER(SEARCH('TRANSPORT DASHBOARD'!$C$4,INDEX(MASTER_AREAS!$B:$B,772)))),771,""),""),IF('TRANSPORT DASHBOARD'!$B$4="Zone",IF(771&lt;=$I$4,IF(OR('TRANSPORT DASHBOARD'!$C$4="",ISNUMBER(SEARCH('TRANSPORT DASHBOARD'!$C$4,INDEX(MASTER_ZONES!$B:$B,772)))),771,""),""),""))</f>
        <v/>
      </c>
    </row>
    <row r="773">
      <c r="A773">
        <f>IF('WSF DASHBOARD'!$B$4="Area",IF(772&lt;=$D$3,IF(OR('WSF DASHBOARD'!$C$4="",ISNUMBER(SEARCH('WSF DASHBOARD'!$C$4,INDEX(MASTER_AREAS!$B:$B,773)))),772,""),""),IF('WSF DASHBOARD'!$B$4="Zone",IF(772&lt;=$D$4,IF(OR('WSF DASHBOARD'!$C$4="",ISNUMBER(SEARCH('WSF DASHBOARD'!$C$4,INDEX(MASTER_ZONES!$B:$B,773)))),772,""),""),""))</f>
        <v/>
      </c>
      <c r="F773">
        <f>IF('TRANSPORT DASHBOARD'!$B$4="Area",IF(772&lt;=$I$3,IF(OR('TRANSPORT DASHBOARD'!$C$4="",ISNUMBER(SEARCH('TRANSPORT DASHBOARD'!$C$4,INDEX(MASTER_AREAS!$B:$B,773)))),772,""),""),IF('TRANSPORT DASHBOARD'!$B$4="Zone",IF(772&lt;=$I$4,IF(OR('TRANSPORT DASHBOARD'!$C$4="",ISNUMBER(SEARCH('TRANSPORT DASHBOARD'!$C$4,INDEX(MASTER_ZONES!$B:$B,773)))),772,""),""),""))</f>
        <v/>
      </c>
    </row>
    <row r="774">
      <c r="A774">
        <f>IF('WSF DASHBOARD'!$B$4="Area",IF(773&lt;=$D$3,IF(OR('WSF DASHBOARD'!$C$4="",ISNUMBER(SEARCH('WSF DASHBOARD'!$C$4,INDEX(MASTER_AREAS!$B:$B,774)))),773,""),""),IF('WSF DASHBOARD'!$B$4="Zone",IF(773&lt;=$D$4,IF(OR('WSF DASHBOARD'!$C$4="",ISNUMBER(SEARCH('WSF DASHBOARD'!$C$4,INDEX(MASTER_ZONES!$B:$B,774)))),773,""),""),""))</f>
        <v/>
      </c>
      <c r="F774">
        <f>IF('TRANSPORT DASHBOARD'!$B$4="Area",IF(773&lt;=$I$3,IF(OR('TRANSPORT DASHBOARD'!$C$4="",ISNUMBER(SEARCH('TRANSPORT DASHBOARD'!$C$4,INDEX(MASTER_AREAS!$B:$B,774)))),773,""),""),IF('TRANSPORT DASHBOARD'!$B$4="Zone",IF(773&lt;=$I$4,IF(OR('TRANSPORT DASHBOARD'!$C$4="",ISNUMBER(SEARCH('TRANSPORT DASHBOARD'!$C$4,INDEX(MASTER_ZONES!$B:$B,774)))),773,""),""),""))</f>
        <v/>
      </c>
    </row>
    <row r="775">
      <c r="A775">
        <f>IF('WSF DASHBOARD'!$B$4="Area",IF(774&lt;=$D$3,IF(OR('WSF DASHBOARD'!$C$4="",ISNUMBER(SEARCH('WSF DASHBOARD'!$C$4,INDEX(MASTER_AREAS!$B:$B,775)))),774,""),""),IF('WSF DASHBOARD'!$B$4="Zone",IF(774&lt;=$D$4,IF(OR('WSF DASHBOARD'!$C$4="",ISNUMBER(SEARCH('WSF DASHBOARD'!$C$4,INDEX(MASTER_ZONES!$B:$B,775)))),774,""),""),""))</f>
        <v/>
      </c>
      <c r="F775">
        <f>IF('TRANSPORT DASHBOARD'!$B$4="Area",IF(774&lt;=$I$3,IF(OR('TRANSPORT DASHBOARD'!$C$4="",ISNUMBER(SEARCH('TRANSPORT DASHBOARD'!$C$4,INDEX(MASTER_AREAS!$B:$B,775)))),774,""),""),IF('TRANSPORT DASHBOARD'!$B$4="Zone",IF(774&lt;=$I$4,IF(OR('TRANSPORT DASHBOARD'!$C$4="",ISNUMBER(SEARCH('TRANSPORT DASHBOARD'!$C$4,INDEX(MASTER_ZONES!$B:$B,775)))),774,""),""),""))</f>
        <v/>
      </c>
    </row>
    <row r="776">
      <c r="A776">
        <f>IF('WSF DASHBOARD'!$B$4="Area",IF(775&lt;=$D$3,IF(OR('WSF DASHBOARD'!$C$4="",ISNUMBER(SEARCH('WSF DASHBOARD'!$C$4,INDEX(MASTER_AREAS!$B:$B,776)))),775,""),""),IF('WSF DASHBOARD'!$B$4="Zone",IF(775&lt;=$D$4,IF(OR('WSF DASHBOARD'!$C$4="",ISNUMBER(SEARCH('WSF DASHBOARD'!$C$4,INDEX(MASTER_ZONES!$B:$B,776)))),775,""),""),""))</f>
        <v/>
      </c>
      <c r="F776">
        <f>IF('TRANSPORT DASHBOARD'!$B$4="Area",IF(775&lt;=$I$3,IF(OR('TRANSPORT DASHBOARD'!$C$4="",ISNUMBER(SEARCH('TRANSPORT DASHBOARD'!$C$4,INDEX(MASTER_AREAS!$B:$B,776)))),775,""),""),IF('TRANSPORT DASHBOARD'!$B$4="Zone",IF(775&lt;=$I$4,IF(OR('TRANSPORT DASHBOARD'!$C$4="",ISNUMBER(SEARCH('TRANSPORT DASHBOARD'!$C$4,INDEX(MASTER_ZONES!$B:$B,776)))),775,""),""),""))</f>
        <v/>
      </c>
    </row>
    <row r="777">
      <c r="A777">
        <f>IF('WSF DASHBOARD'!$B$4="Area",IF(776&lt;=$D$3,IF(OR('WSF DASHBOARD'!$C$4="",ISNUMBER(SEARCH('WSF DASHBOARD'!$C$4,INDEX(MASTER_AREAS!$B:$B,777)))),776,""),""),IF('WSF DASHBOARD'!$B$4="Zone",IF(776&lt;=$D$4,IF(OR('WSF DASHBOARD'!$C$4="",ISNUMBER(SEARCH('WSF DASHBOARD'!$C$4,INDEX(MASTER_ZONES!$B:$B,777)))),776,""),""),""))</f>
        <v/>
      </c>
      <c r="F777">
        <f>IF('TRANSPORT DASHBOARD'!$B$4="Area",IF(776&lt;=$I$3,IF(OR('TRANSPORT DASHBOARD'!$C$4="",ISNUMBER(SEARCH('TRANSPORT DASHBOARD'!$C$4,INDEX(MASTER_AREAS!$B:$B,777)))),776,""),""),IF('TRANSPORT DASHBOARD'!$B$4="Zone",IF(776&lt;=$I$4,IF(OR('TRANSPORT DASHBOARD'!$C$4="",ISNUMBER(SEARCH('TRANSPORT DASHBOARD'!$C$4,INDEX(MASTER_ZONES!$B:$B,777)))),776,""),""),""))</f>
        <v/>
      </c>
    </row>
    <row r="778">
      <c r="A778">
        <f>IF('WSF DASHBOARD'!$B$4="Area",IF(777&lt;=$D$3,IF(OR('WSF DASHBOARD'!$C$4="",ISNUMBER(SEARCH('WSF DASHBOARD'!$C$4,INDEX(MASTER_AREAS!$B:$B,778)))),777,""),""),IF('WSF DASHBOARD'!$B$4="Zone",IF(777&lt;=$D$4,IF(OR('WSF DASHBOARD'!$C$4="",ISNUMBER(SEARCH('WSF DASHBOARD'!$C$4,INDEX(MASTER_ZONES!$B:$B,778)))),777,""),""),""))</f>
        <v/>
      </c>
      <c r="F778">
        <f>IF('TRANSPORT DASHBOARD'!$B$4="Area",IF(777&lt;=$I$3,IF(OR('TRANSPORT DASHBOARD'!$C$4="",ISNUMBER(SEARCH('TRANSPORT DASHBOARD'!$C$4,INDEX(MASTER_AREAS!$B:$B,778)))),777,""),""),IF('TRANSPORT DASHBOARD'!$B$4="Zone",IF(777&lt;=$I$4,IF(OR('TRANSPORT DASHBOARD'!$C$4="",ISNUMBER(SEARCH('TRANSPORT DASHBOARD'!$C$4,INDEX(MASTER_ZONES!$B:$B,778)))),777,""),""),""))</f>
        <v/>
      </c>
    </row>
    <row r="779">
      <c r="A779">
        <f>IF('WSF DASHBOARD'!$B$4="Area",IF(778&lt;=$D$3,IF(OR('WSF DASHBOARD'!$C$4="",ISNUMBER(SEARCH('WSF DASHBOARD'!$C$4,INDEX(MASTER_AREAS!$B:$B,779)))),778,""),""),IF('WSF DASHBOARD'!$B$4="Zone",IF(778&lt;=$D$4,IF(OR('WSF DASHBOARD'!$C$4="",ISNUMBER(SEARCH('WSF DASHBOARD'!$C$4,INDEX(MASTER_ZONES!$B:$B,779)))),778,""),""),""))</f>
        <v/>
      </c>
      <c r="F779">
        <f>IF('TRANSPORT DASHBOARD'!$B$4="Area",IF(778&lt;=$I$3,IF(OR('TRANSPORT DASHBOARD'!$C$4="",ISNUMBER(SEARCH('TRANSPORT DASHBOARD'!$C$4,INDEX(MASTER_AREAS!$B:$B,779)))),778,""),""),IF('TRANSPORT DASHBOARD'!$B$4="Zone",IF(778&lt;=$I$4,IF(OR('TRANSPORT DASHBOARD'!$C$4="",ISNUMBER(SEARCH('TRANSPORT DASHBOARD'!$C$4,INDEX(MASTER_ZONES!$B:$B,779)))),778,""),""),""))</f>
        <v/>
      </c>
    </row>
    <row r="780">
      <c r="A780">
        <f>IF('WSF DASHBOARD'!$B$4="Area",IF(779&lt;=$D$3,IF(OR('WSF DASHBOARD'!$C$4="",ISNUMBER(SEARCH('WSF DASHBOARD'!$C$4,INDEX(MASTER_AREAS!$B:$B,780)))),779,""),""),IF('WSF DASHBOARD'!$B$4="Zone",IF(779&lt;=$D$4,IF(OR('WSF DASHBOARD'!$C$4="",ISNUMBER(SEARCH('WSF DASHBOARD'!$C$4,INDEX(MASTER_ZONES!$B:$B,780)))),779,""),""),""))</f>
        <v/>
      </c>
      <c r="F780">
        <f>IF('TRANSPORT DASHBOARD'!$B$4="Area",IF(779&lt;=$I$3,IF(OR('TRANSPORT DASHBOARD'!$C$4="",ISNUMBER(SEARCH('TRANSPORT DASHBOARD'!$C$4,INDEX(MASTER_AREAS!$B:$B,780)))),779,""),""),IF('TRANSPORT DASHBOARD'!$B$4="Zone",IF(779&lt;=$I$4,IF(OR('TRANSPORT DASHBOARD'!$C$4="",ISNUMBER(SEARCH('TRANSPORT DASHBOARD'!$C$4,INDEX(MASTER_ZONES!$B:$B,780)))),779,""),""),""))</f>
        <v/>
      </c>
    </row>
    <row r="781">
      <c r="A781">
        <f>IF('WSF DASHBOARD'!$B$4="Area",IF(780&lt;=$D$3,IF(OR('WSF DASHBOARD'!$C$4="",ISNUMBER(SEARCH('WSF DASHBOARD'!$C$4,INDEX(MASTER_AREAS!$B:$B,781)))),780,""),""),IF('WSF DASHBOARD'!$B$4="Zone",IF(780&lt;=$D$4,IF(OR('WSF DASHBOARD'!$C$4="",ISNUMBER(SEARCH('WSF DASHBOARD'!$C$4,INDEX(MASTER_ZONES!$B:$B,781)))),780,""),""),""))</f>
        <v/>
      </c>
      <c r="F781">
        <f>IF('TRANSPORT DASHBOARD'!$B$4="Area",IF(780&lt;=$I$3,IF(OR('TRANSPORT DASHBOARD'!$C$4="",ISNUMBER(SEARCH('TRANSPORT DASHBOARD'!$C$4,INDEX(MASTER_AREAS!$B:$B,781)))),780,""),""),IF('TRANSPORT DASHBOARD'!$B$4="Zone",IF(780&lt;=$I$4,IF(OR('TRANSPORT DASHBOARD'!$C$4="",ISNUMBER(SEARCH('TRANSPORT DASHBOARD'!$C$4,INDEX(MASTER_ZONES!$B:$B,781)))),780,""),""),""))</f>
        <v/>
      </c>
    </row>
    <row r="782">
      <c r="A782">
        <f>IF('WSF DASHBOARD'!$B$4="Area",IF(781&lt;=$D$3,IF(OR('WSF DASHBOARD'!$C$4="",ISNUMBER(SEARCH('WSF DASHBOARD'!$C$4,INDEX(MASTER_AREAS!$B:$B,782)))),781,""),""),IF('WSF DASHBOARD'!$B$4="Zone",IF(781&lt;=$D$4,IF(OR('WSF DASHBOARD'!$C$4="",ISNUMBER(SEARCH('WSF DASHBOARD'!$C$4,INDEX(MASTER_ZONES!$B:$B,782)))),781,""),""),""))</f>
        <v/>
      </c>
      <c r="F782">
        <f>IF('TRANSPORT DASHBOARD'!$B$4="Area",IF(781&lt;=$I$3,IF(OR('TRANSPORT DASHBOARD'!$C$4="",ISNUMBER(SEARCH('TRANSPORT DASHBOARD'!$C$4,INDEX(MASTER_AREAS!$B:$B,782)))),781,""),""),IF('TRANSPORT DASHBOARD'!$B$4="Zone",IF(781&lt;=$I$4,IF(OR('TRANSPORT DASHBOARD'!$C$4="",ISNUMBER(SEARCH('TRANSPORT DASHBOARD'!$C$4,INDEX(MASTER_ZONES!$B:$B,782)))),781,""),""),""))</f>
        <v/>
      </c>
    </row>
    <row r="783">
      <c r="A783">
        <f>IF('WSF DASHBOARD'!$B$4="Area",IF(782&lt;=$D$3,IF(OR('WSF DASHBOARD'!$C$4="",ISNUMBER(SEARCH('WSF DASHBOARD'!$C$4,INDEX(MASTER_AREAS!$B:$B,783)))),782,""),""),IF('WSF DASHBOARD'!$B$4="Zone",IF(782&lt;=$D$4,IF(OR('WSF DASHBOARD'!$C$4="",ISNUMBER(SEARCH('WSF DASHBOARD'!$C$4,INDEX(MASTER_ZONES!$B:$B,783)))),782,""),""),""))</f>
        <v/>
      </c>
      <c r="F783">
        <f>IF('TRANSPORT DASHBOARD'!$B$4="Area",IF(782&lt;=$I$3,IF(OR('TRANSPORT DASHBOARD'!$C$4="",ISNUMBER(SEARCH('TRANSPORT DASHBOARD'!$C$4,INDEX(MASTER_AREAS!$B:$B,783)))),782,""),""),IF('TRANSPORT DASHBOARD'!$B$4="Zone",IF(782&lt;=$I$4,IF(OR('TRANSPORT DASHBOARD'!$C$4="",ISNUMBER(SEARCH('TRANSPORT DASHBOARD'!$C$4,INDEX(MASTER_ZONES!$B:$B,783)))),782,""),""),""))</f>
        <v/>
      </c>
    </row>
    <row r="784">
      <c r="A784">
        <f>IF('WSF DASHBOARD'!$B$4="Area",IF(783&lt;=$D$3,IF(OR('WSF DASHBOARD'!$C$4="",ISNUMBER(SEARCH('WSF DASHBOARD'!$C$4,INDEX(MASTER_AREAS!$B:$B,784)))),783,""),""),IF('WSF DASHBOARD'!$B$4="Zone",IF(783&lt;=$D$4,IF(OR('WSF DASHBOARD'!$C$4="",ISNUMBER(SEARCH('WSF DASHBOARD'!$C$4,INDEX(MASTER_ZONES!$B:$B,784)))),783,""),""),""))</f>
        <v/>
      </c>
      <c r="F784">
        <f>IF('TRANSPORT DASHBOARD'!$B$4="Area",IF(783&lt;=$I$3,IF(OR('TRANSPORT DASHBOARD'!$C$4="",ISNUMBER(SEARCH('TRANSPORT DASHBOARD'!$C$4,INDEX(MASTER_AREAS!$B:$B,784)))),783,""),""),IF('TRANSPORT DASHBOARD'!$B$4="Zone",IF(783&lt;=$I$4,IF(OR('TRANSPORT DASHBOARD'!$C$4="",ISNUMBER(SEARCH('TRANSPORT DASHBOARD'!$C$4,INDEX(MASTER_ZONES!$B:$B,784)))),783,""),""),""))</f>
        <v/>
      </c>
    </row>
    <row r="785">
      <c r="A785">
        <f>IF('WSF DASHBOARD'!$B$4="Area",IF(784&lt;=$D$3,IF(OR('WSF DASHBOARD'!$C$4="",ISNUMBER(SEARCH('WSF DASHBOARD'!$C$4,INDEX(MASTER_AREAS!$B:$B,785)))),784,""),""),IF('WSF DASHBOARD'!$B$4="Zone",IF(784&lt;=$D$4,IF(OR('WSF DASHBOARD'!$C$4="",ISNUMBER(SEARCH('WSF DASHBOARD'!$C$4,INDEX(MASTER_ZONES!$B:$B,785)))),784,""),""),""))</f>
        <v/>
      </c>
      <c r="F785">
        <f>IF('TRANSPORT DASHBOARD'!$B$4="Area",IF(784&lt;=$I$3,IF(OR('TRANSPORT DASHBOARD'!$C$4="",ISNUMBER(SEARCH('TRANSPORT DASHBOARD'!$C$4,INDEX(MASTER_AREAS!$B:$B,785)))),784,""),""),IF('TRANSPORT DASHBOARD'!$B$4="Zone",IF(784&lt;=$I$4,IF(OR('TRANSPORT DASHBOARD'!$C$4="",ISNUMBER(SEARCH('TRANSPORT DASHBOARD'!$C$4,INDEX(MASTER_ZONES!$B:$B,785)))),784,""),""),""))</f>
        <v/>
      </c>
    </row>
    <row r="786">
      <c r="A786">
        <f>IF('WSF DASHBOARD'!$B$4="Area",IF(785&lt;=$D$3,IF(OR('WSF DASHBOARD'!$C$4="",ISNUMBER(SEARCH('WSF DASHBOARD'!$C$4,INDEX(MASTER_AREAS!$B:$B,786)))),785,""),""),IF('WSF DASHBOARD'!$B$4="Zone",IF(785&lt;=$D$4,IF(OR('WSF DASHBOARD'!$C$4="",ISNUMBER(SEARCH('WSF DASHBOARD'!$C$4,INDEX(MASTER_ZONES!$B:$B,786)))),785,""),""),""))</f>
        <v/>
      </c>
      <c r="F786">
        <f>IF('TRANSPORT DASHBOARD'!$B$4="Area",IF(785&lt;=$I$3,IF(OR('TRANSPORT DASHBOARD'!$C$4="",ISNUMBER(SEARCH('TRANSPORT DASHBOARD'!$C$4,INDEX(MASTER_AREAS!$B:$B,786)))),785,""),""),IF('TRANSPORT DASHBOARD'!$B$4="Zone",IF(785&lt;=$I$4,IF(OR('TRANSPORT DASHBOARD'!$C$4="",ISNUMBER(SEARCH('TRANSPORT DASHBOARD'!$C$4,INDEX(MASTER_ZONES!$B:$B,786)))),785,""),""),""))</f>
        <v/>
      </c>
    </row>
    <row r="787">
      <c r="A787">
        <f>IF('WSF DASHBOARD'!$B$4="Area",IF(786&lt;=$D$3,IF(OR('WSF DASHBOARD'!$C$4="",ISNUMBER(SEARCH('WSF DASHBOARD'!$C$4,INDEX(MASTER_AREAS!$B:$B,787)))),786,""),""),IF('WSF DASHBOARD'!$B$4="Zone",IF(786&lt;=$D$4,IF(OR('WSF DASHBOARD'!$C$4="",ISNUMBER(SEARCH('WSF DASHBOARD'!$C$4,INDEX(MASTER_ZONES!$B:$B,787)))),786,""),""),""))</f>
        <v/>
      </c>
      <c r="F787">
        <f>IF('TRANSPORT DASHBOARD'!$B$4="Area",IF(786&lt;=$I$3,IF(OR('TRANSPORT DASHBOARD'!$C$4="",ISNUMBER(SEARCH('TRANSPORT DASHBOARD'!$C$4,INDEX(MASTER_AREAS!$B:$B,787)))),786,""),""),IF('TRANSPORT DASHBOARD'!$B$4="Zone",IF(786&lt;=$I$4,IF(OR('TRANSPORT DASHBOARD'!$C$4="",ISNUMBER(SEARCH('TRANSPORT DASHBOARD'!$C$4,INDEX(MASTER_ZONES!$B:$B,787)))),786,""),""),""))</f>
        <v/>
      </c>
    </row>
    <row r="788">
      <c r="A788">
        <f>IF('WSF DASHBOARD'!$B$4="Area",IF(787&lt;=$D$3,IF(OR('WSF DASHBOARD'!$C$4="",ISNUMBER(SEARCH('WSF DASHBOARD'!$C$4,INDEX(MASTER_AREAS!$B:$B,788)))),787,""),""),IF('WSF DASHBOARD'!$B$4="Zone",IF(787&lt;=$D$4,IF(OR('WSF DASHBOARD'!$C$4="",ISNUMBER(SEARCH('WSF DASHBOARD'!$C$4,INDEX(MASTER_ZONES!$B:$B,788)))),787,""),""),""))</f>
        <v/>
      </c>
      <c r="F788">
        <f>IF('TRANSPORT DASHBOARD'!$B$4="Area",IF(787&lt;=$I$3,IF(OR('TRANSPORT DASHBOARD'!$C$4="",ISNUMBER(SEARCH('TRANSPORT DASHBOARD'!$C$4,INDEX(MASTER_AREAS!$B:$B,788)))),787,""),""),IF('TRANSPORT DASHBOARD'!$B$4="Zone",IF(787&lt;=$I$4,IF(OR('TRANSPORT DASHBOARD'!$C$4="",ISNUMBER(SEARCH('TRANSPORT DASHBOARD'!$C$4,INDEX(MASTER_ZONES!$B:$B,788)))),787,""),""),""))</f>
        <v/>
      </c>
    </row>
    <row r="789">
      <c r="A789">
        <f>IF('WSF DASHBOARD'!$B$4="Area",IF(788&lt;=$D$3,IF(OR('WSF DASHBOARD'!$C$4="",ISNUMBER(SEARCH('WSF DASHBOARD'!$C$4,INDEX(MASTER_AREAS!$B:$B,789)))),788,""),""),IF('WSF DASHBOARD'!$B$4="Zone",IF(788&lt;=$D$4,IF(OR('WSF DASHBOARD'!$C$4="",ISNUMBER(SEARCH('WSF DASHBOARD'!$C$4,INDEX(MASTER_ZONES!$B:$B,789)))),788,""),""),""))</f>
        <v/>
      </c>
      <c r="F789">
        <f>IF('TRANSPORT DASHBOARD'!$B$4="Area",IF(788&lt;=$I$3,IF(OR('TRANSPORT DASHBOARD'!$C$4="",ISNUMBER(SEARCH('TRANSPORT DASHBOARD'!$C$4,INDEX(MASTER_AREAS!$B:$B,789)))),788,""),""),IF('TRANSPORT DASHBOARD'!$B$4="Zone",IF(788&lt;=$I$4,IF(OR('TRANSPORT DASHBOARD'!$C$4="",ISNUMBER(SEARCH('TRANSPORT DASHBOARD'!$C$4,INDEX(MASTER_ZONES!$B:$B,789)))),788,""),""),""))</f>
        <v/>
      </c>
    </row>
    <row r="790">
      <c r="A790">
        <f>IF('WSF DASHBOARD'!$B$4="Area",IF(789&lt;=$D$3,IF(OR('WSF DASHBOARD'!$C$4="",ISNUMBER(SEARCH('WSF DASHBOARD'!$C$4,INDEX(MASTER_AREAS!$B:$B,790)))),789,""),""),IF('WSF DASHBOARD'!$B$4="Zone",IF(789&lt;=$D$4,IF(OR('WSF DASHBOARD'!$C$4="",ISNUMBER(SEARCH('WSF DASHBOARD'!$C$4,INDEX(MASTER_ZONES!$B:$B,790)))),789,""),""),""))</f>
        <v/>
      </c>
      <c r="F790">
        <f>IF('TRANSPORT DASHBOARD'!$B$4="Area",IF(789&lt;=$I$3,IF(OR('TRANSPORT DASHBOARD'!$C$4="",ISNUMBER(SEARCH('TRANSPORT DASHBOARD'!$C$4,INDEX(MASTER_AREAS!$B:$B,790)))),789,""),""),IF('TRANSPORT DASHBOARD'!$B$4="Zone",IF(789&lt;=$I$4,IF(OR('TRANSPORT DASHBOARD'!$C$4="",ISNUMBER(SEARCH('TRANSPORT DASHBOARD'!$C$4,INDEX(MASTER_ZONES!$B:$B,790)))),789,""),""),""))</f>
        <v/>
      </c>
    </row>
    <row r="791">
      <c r="A791">
        <f>IF('WSF DASHBOARD'!$B$4="Area",IF(790&lt;=$D$3,IF(OR('WSF DASHBOARD'!$C$4="",ISNUMBER(SEARCH('WSF DASHBOARD'!$C$4,INDEX(MASTER_AREAS!$B:$B,791)))),790,""),""),IF('WSF DASHBOARD'!$B$4="Zone",IF(790&lt;=$D$4,IF(OR('WSF DASHBOARD'!$C$4="",ISNUMBER(SEARCH('WSF DASHBOARD'!$C$4,INDEX(MASTER_ZONES!$B:$B,791)))),790,""),""),""))</f>
        <v/>
      </c>
      <c r="F791">
        <f>IF('TRANSPORT DASHBOARD'!$B$4="Area",IF(790&lt;=$I$3,IF(OR('TRANSPORT DASHBOARD'!$C$4="",ISNUMBER(SEARCH('TRANSPORT DASHBOARD'!$C$4,INDEX(MASTER_AREAS!$B:$B,791)))),790,""),""),IF('TRANSPORT DASHBOARD'!$B$4="Zone",IF(790&lt;=$I$4,IF(OR('TRANSPORT DASHBOARD'!$C$4="",ISNUMBER(SEARCH('TRANSPORT DASHBOARD'!$C$4,INDEX(MASTER_ZONES!$B:$B,791)))),790,""),""),""))</f>
        <v/>
      </c>
    </row>
    <row r="792">
      <c r="A792">
        <f>IF('WSF DASHBOARD'!$B$4="Area",IF(791&lt;=$D$3,IF(OR('WSF DASHBOARD'!$C$4="",ISNUMBER(SEARCH('WSF DASHBOARD'!$C$4,INDEX(MASTER_AREAS!$B:$B,792)))),791,""),""),IF('WSF DASHBOARD'!$B$4="Zone",IF(791&lt;=$D$4,IF(OR('WSF DASHBOARD'!$C$4="",ISNUMBER(SEARCH('WSF DASHBOARD'!$C$4,INDEX(MASTER_ZONES!$B:$B,792)))),791,""),""),""))</f>
        <v/>
      </c>
      <c r="F792">
        <f>IF('TRANSPORT DASHBOARD'!$B$4="Area",IF(791&lt;=$I$3,IF(OR('TRANSPORT DASHBOARD'!$C$4="",ISNUMBER(SEARCH('TRANSPORT DASHBOARD'!$C$4,INDEX(MASTER_AREAS!$B:$B,792)))),791,""),""),IF('TRANSPORT DASHBOARD'!$B$4="Zone",IF(791&lt;=$I$4,IF(OR('TRANSPORT DASHBOARD'!$C$4="",ISNUMBER(SEARCH('TRANSPORT DASHBOARD'!$C$4,INDEX(MASTER_ZONES!$B:$B,792)))),791,""),""),""))</f>
        <v/>
      </c>
    </row>
    <row r="793">
      <c r="A793">
        <f>IF('WSF DASHBOARD'!$B$4="Area",IF(792&lt;=$D$3,IF(OR('WSF DASHBOARD'!$C$4="",ISNUMBER(SEARCH('WSF DASHBOARD'!$C$4,INDEX(MASTER_AREAS!$B:$B,793)))),792,""),""),IF('WSF DASHBOARD'!$B$4="Zone",IF(792&lt;=$D$4,IF(OR('WSF DASHBOARD'!$C$4="",ISNUMBER(SEARCH('WSF DASHBOARD'!$C$4,INDEX(MASTER_ZONES!$B:$B,793)))),792,""),""),""))</f>
        <v/>
      </c>
      <c r="F793">
        <f>IF('TRANSPORT DASHBOARD'!$B$4="Area",IF(792&lt;=$I$3,IF(OR('TRANSPORT DASHBOARD'!$C$4="",ISNUMBER(SEARCH('TRANSPORT DASHBOARD'!$C$4,INDEX(MASTER_AREAS!$B:$B,793)))),792,""),""),IF('TRANSPORT DASHBOARD'!$B$4="Zone",IF(792&lt;=$I$4,IF(OR('TRANSPORT DASHBOARD'!$C$4="",ISNUMBER(SEARCH('TRANSPORT DASHBOARD'!$C$4,INDEX(MASTER_ZONES!$B:$B,793)))),792,""),""),""))</f>
        <v/>
      </c>
    </row>
    <row r="794">
      <c r="A794">
        <f>IF('WSF DASHBOARD'!$B$4="Area",IF(793&lt;=$D$3,IF(OR('WSF DASHBOARD'!$C$4="",ISNUMBER(SEARCH('WSF DASHBOARD'!$C$4,INDEX(MASTER_AREAS!$B:$B,794)))),793,""),""),IF('WSF DASHBOARD'!$B$4="Zone",IF(793&lt;=$D$4,IF(OR('WSF DASHBOARD'!$C$4="",ISNUMBER(SEARCH('WSF DASHBOARD'!$C$4,INDEX(MASTER_ZONES!$B:$B,794)))),793,""),""),""))</f>
        <v/>
      </c>
      <c r="F794">
        <f>IF('TRANSPORT DASHBOARD'!$B$4="Area",IF(793&lt;=$I$3,IF(OR('TRANSPORT DASHBOARD'!$C$4="",ISNUMBER(SEARCH('TRANSPORT DASHBOARD'!$C$4,INDEX(MASTER_AREAS!$B:$B,794)))),793,""),""),IF('TRANSPORT DASHBOARD'!$B$4="Zone",IF(793&lt;=$I$4,IF(OR('TRANSPORT DASHBOARD'!$C$4="",ISNUMBER(SEARCH('TRANSPORT DASHBOARD'!$C$4,INDEX(MASTER_ZONES!$B:$B,794)))),793,""),""),""))</f>
        <v/>
      </c>
    </row>
    <row r="795">
      <c r="A795">
        <f>IF('WSF DASHBOARD'!$B$4="Area",IF(794&lt;=$D$3,IF(OR('WSF DASHBOARD'!$C$4="",ISNUMBER(SEARCH('WSF DASHBOARD'!$C$4,INDEX(MASTER_AREAS!$B:$B,795)))),794,""),""),IF('WSF DASHBOARD'!$B$4="Zone",IF(794&lt;=$D$4,IF(OR('WSF DASHBOARD'!$C$4="",ISNUMBER(SEARCH('WSF DASHBOARD'!$C$4,INDEX(MASTER_ZONES!$B:$B,795)))),794,""),""),""))</f>
        <v/>
      </c>
      <c r="F795">
        <f>IF('TRANSPORT DASHBOARD'!$B$4="Area",IF(794&lt;=$I$3,IF(OR('TRANSPORT DASHBOARD'!$C$4="",ISNUMBER(SEARCH('TRANSPORT DASHBOARD'!$C$4,INDEX(MASTER_AREAS!$B:$B,795)))),794,""),""),IF('TRANSPORT DASHBOARD'!$B$4="Zone",IF(794&lt;=$I$4,IF(OR('TRANSPORT DASHBOARD'!$C$4="",ISNUMBER(SEARCH('TRANSPORT DASHBOARD'!$C$4,INDEX(MASTER_ZONES!$B:$B,795)))),794,""),""),""))</f>
        <v/>
      </c>
    </row>
    <row r="796">
      <c r="A796">
        <f>IF('WSF DASHBOARD'!$B$4="Area",IF(795&lt;=$D$3,IF(OR('WSF DASHBOARD'!$C$4="",ISNUMBER(SEARCH('WSF DASHBOARD'!$C$4,INDEX(MASTER_AREAS!$B:$B,796)))),795,""),""),IF('WSF DASHBOARD'!$B$4="Zone",IF(795&lt;=$D$4,IF(OR('WSF DASHBOARD'!$C$4="",ISNUMBER(SEARCH('WSF DASHBOARD'!$C$4,INDEX(MASTER_ZONES!$B:$B,796)))),795,""),""),""))</f>
        <v/>
      </c>
      <c r="F796">
        <f>IF('TRANSPORT DASHBOARD'!$B$4="Area",IF(795&lt;=$I$3,IF(OR('TRANSPORT DASHBOARD'!$C$4="",ISNUMBER(SEARCH('TRANSPORT DASHBOARD'!$C$4,INDEX(MASTER_AREAS!$B:$B,796)))),795,""),""),IF('TRANSPORT DASHBOARD'!$B$4="Zone",IF(795&lt;=$I$4,IF(OR('TRANSPORT DASHBOARD'!$C$4="",ISNUMBER(SEARCH('TRANSPORT DASHBOARD'!$C$4,INDEX(MASTER_ZONES!$B:$B,796)))),795,""),""),""))</f>
        <v/>
      </c>
    </row>
    <row r="797">
      <c r="A797">
        <f>IF('WSF DASHBOARD'!$B$4="Area",IF(796&lt;=$D$3,IF(OR('WSF DASHBOARD'!$C$4="",ISNUMBER(SEARCH('WSF DASHBOARD'!$C$4,INDEX(MASTER_AREAS!$B:$B,797)))),796,""),""),IF('WSF DASHBOARD'!$B$4="Zone",IF(796&lt;=$D$4,IF(OR('WSF DASHBOARD'!$C$4="",ISNUMBER(SEARCH('WSF DASHBOARD'!$C$4,INDEX(MASTER_ZONES!$B:$B,797)))),796,""),""),""))</f>
        <v/>
      </c>
      <c r="F797">
        <f>IF('TRANSPORT DASHBOARD'!$B$4="Area",IF(796&lt;=$I$3,IF(OR('TRANSPORT DASHBOARD'!$C$4="",ISNUMBER(SEARCH('TRANSPORT DASHBOARD'!$C$4,INDEX(MASTER_AREAS!$B:$B,797)))),796,""),""),IF('TRANSPORT DASHBOARD'!$B$4="Zone",IF(796&lt;=$I$4,IF(OR('TRANSPORT DASHBOARD'!$C$4="",ISNUMBER(SEARCH('TRANSPORT DASHBOARD'!$C$4,INDEX(MASTER_ZONES!$B:$B,797)))),796,""),""),""))</f>
        <v/>
      </c>
    </row>
    <row r="798">
      <c r="A798">
        <f>IF('WSF DASHBOARD'!$B$4="Area",IF(797&lt;=$D$3,IF(OR('WSF DASHBOARD'!$C$4="",ISNUMBER(SEARCH('WSF DASHBOARD'!$C$4,INDEX(MASTER_AREAS!$B:$B,798)))),797,""),""),IF('WSF DASHBOARD'!$B$4="Zone",IF(797&lt;=$D$4,IF(OR('WSF DASHBOARD'!$C$4="",ISNUMBER(SEARCH('WSF DASHBOARD'!$C$4,INDEX(MASTER_ZONES!$B:$B,798)))),797,""),""),""))</f>
        <v/>
      </c>
      <c r="F798">
        <f>IF('TRANSPORT DASHBOARD'!$B$4="Area",IF(797&lt;=$I$3,IF(OR('TRANSPORT DASHBOARD'!$C$4="",ISNUMBER(SEARCH('TRANSPORT DASHBOARD'!$C$4,INDEX(MASTER_AREAS!$B:$B,798)))),797,""),""),IF('TRANSPORT DASHBOARD'!$B$4="Zone",IF(797&lt;=$I$4,IF(OR('TRANSPORT DASHBOARD'!$C$4="",ISNUMBER(SEARCH('TRANSPORT DASHBOARD'!$C$4,INDEX(MASTER_ZONES!$B:$B,798)))),797,""),""),""))</f>
        <v/>
      </c>
    </row>
    <row r="799">
      <c r="A799">
        <f>IF('WSF DASHBOARD'!$B$4="Area",IF(798&lt;=$D$3,IF(OR('WSF DASHBOARD'!$C$4="",ISNUMBER(SEARCH('WSF DASHBOARD'!$C$4,INDEX(MASTER_AREAS!$B:$B,799)))),798,""),""),IF('WSF DASHBOARD'!$B$4="Zone",IF(798&lt;=$D$4,IF(OR('WSF DASHBOARD'!$C$4="",ISNUMBER(SEARCH('WSF DASHBOARD'!$C$4,INDEX(MASTER_ZONES!$B:$B,799)))),798,""),""),""))</f>
        <v/>
      </c>
      <c r="F799">
        <f>IF('TRANSPORT DASHBOARD'!$B$4="Area",IF(798&lt;=$I$3,IF(OR('TRANSPORT DASHBOARD'!$C$4="",ISNUMBER(SEARCH('TRANSPORT DASHBOARD'!$C$4,INDEX(MASTER_AREAS!$B:$B,799)))),798,""),""),IF('TRANSPORT DASHBOARD'!$B$4="Zone",IF(798&lt;=$I$4,IF(OR('TRANSPORT DASHBOARD'!$C$4="",ISNUMBER(SEARCH('TRANSPORT DASHBOARD'!$C$4,INDEX(MASTER_ZONES!$B:$B,799)))),798,""),""),""))</f>
        <v/>
      </c>
    </row>
    <row r="800">
      <c r="A800">
        <f>IF('WSF DASHBOARD'!$B$4="Area",IF(799&lt;=$D$3,IF(OR('WSF DASHBOARD'!$C$4="",ISNUMBER(SEARCH('WSF DASHBOARD'!$C$4,INDEX(MASTER_AREAS!$B:$B,800)))),799,""),""),IF('WSF DASHBOARD'!$B$4="Zone",IF(799&lt;=$D$4,IF(OR('WSF DASHBOARD'!$C$4="",ISNUMBER(SEARCH('WSF DASHBOARD'!$C$4,INDEX(MASTER_ZONES!$B:$B,800)))),799,""),""),""))</f>
        <v/>
      </c>
      <c r="F800">
        <f>IF('TRANSPORT DASHBOARD'!$B$4="Area",IF(799&lt;=$I$3,IF(OR('TRANSPORT DASHBOARD'!$C$4="",ISNUMBER(SEARCH('TRANSPORT DASHBOARD'!$C$4,INDEX(MASTER_AREAS!$B:$B,800)))),799,""),""),IF('TRANSPORT DASHBOARD'!$B$4="Zone",IF(799&lt;=$I$4,IF(OR('TRANSPORT DASHBOARD'!$C$4="",ISNUMBER(SEARCH('TRANSPORT DASHBOARD'!$C$4,INDEX(MASTER_ZONES!$B:$B,800)))),799,""),""),""))</f>
        <v/>
      </c>
    </row>
    <row r="801">
      <c r="A801">
        <f>IF('WSF DASHBOARD'!$B$4="Area",IF(800&lt;=$D$3,IF(OR('WSF DASHBOARD'!$C$4="",ISNUMBER(SEARCH('WSF DASHBOARD'!$C$4,INDEX(MASTER_AREAS!$B:$B,801)))),800,""),""),IF('WSF DASHBOARD'!$B$4="Zone",IF(800&lt;=$D$4,IF(OR('WSF DASHBOARD'!$C$4="",ISNUMBER(SEARCH('WSF DASHBOARD'!$C$4,INDEX(MASTER_ZONES!$B:$B,801)))),800,""),""),""))</f>
        <v/>
      </c>
      <c r="F801">
        <f>IF('TRANSPORT DASHBOARD'!$B$4="Area",IF(800&lt;=$I$3,IF(OR('TRANSPORT DASHBOARD'!$C$4="",ISNUMBER(SEARCH('TRANSPORT DASHBOARD'!$C$4,INDEX(MASTER_AREAS!$B:$B,801)))),800,""),""),IF('TRANSPORT DASHBOARD'!$B$4="Zone",IF(800&lt;=$I$4,IF(OR('TRANSPORT DASHBOARD'!$C$4="",ISNUMBER(SEARCH('TRANSPORT DASHBOARD'!$C$4,INDEX(MASTER_ZONES!$B:$B,801)))),800,""),""),""))</f>
        <v/>
      </c>
    </row>
    <row r="802">
      <c r="A802">
        <f>IF('WSF DASHBOARD'!$B$4="Area",IF(801&lt;=$D$3,IF(OR('WSF DASHBOARD'!$C$4="",ISNUMBER(SEARCH('WSF DASHBOARD'!$C$4,INDEX(MASTER_AREAS!$B:$B,802)))),801,""),""),IF('WSF DASHBOARD'!$B$4="Zone",IF(801&lt;=$D$4,IF(OR('WSF DASHBOARD'!$C$4="",ISNUMBER(SEARCH('WSF DASHBOARD'!$C$4,INDEX(MASTER_ZONES!$B:$B,802)))),801,""),""),""))</f>
        <v/>
      </c>
      <c r="F802">
        <f>IF('TRANSPORT DASHBOARD'!$B$4="Area",IF(801&lt;=$I$3,IF(OR('TRANSPORT DASHBOARD'!$C$4="",ISNUMBER(SEARCH('TRANSPORT DASHBOARD'!$C$4,INDEX(MASTER_AREAS!$B:$B,802)))),801,""),""),IF('TRANSPORT DASHBOARD'!$B$4="Zone",IF(801&lt;=$I$4,IF(OR('TRANSPORT DASHBOARD'!$C$4="",ISNUMBER(SEARCH('TRANSPORT DASHBOARD'!$C$4,INDEX(MASTER_ZONES!$B:$B,802)))),801,""),""),""))</f>
        <v/>
      </c>
    </row>
    <row r="803">
      <c r="A803">
        <f>IF('WSF DASHBOARD'!$B$4="Area",IF(802&lt;=$D$3,IF(OR('WSF DASHBOARD'!$C$4="",ISNUMBER(SEARCH('WSF DASHBOARD'!$C$4,INDEX(MASTER_AREAS!$B:$B,803)))),802,""),""),IF('WSF DASHBOARD'!$B$4="Zone",IF(802&lt;=$D$4,IF(OR('WSF DASHBOARD'!$C$4="",ISNUMBER(SEARCH('WSF DASHBOARD'!$C$4,INDEX(MASTER_ZONES!$B:$B,803)))),802,""),""),""))</f>
        <v/>
      </c>
      <c r="F803">
        <f>IF('TRANSPORT DASHBOARD'!$B$4="Area",IF(802&lt;=$I$3,IF(OR('TRANSPORT DASHBOARD'!$C$4="",ISNUMBER(SEARCH('TRANSPORT DASHBOARD'!$C$4,INDEX(MASTER_AREAS!$B:$B,803)))),802,""),""),IF('TRANSPORT DASHBOARD'!$B$4="Zone",IF(802&lt;=$I$4,IF(OR('TRANSPORT DASHBOARD'!$C$4="",ISNUMBER(SEARCH('TRANSPORT DASHBOARD'!$C$4,INDEX(MASTER_ZONES!$B:$B,803)))),802,""),""),""))</f>
        <v/>
      </c>
    </row>
    <row r="804">
      <c r="A804">
        <f>IF('WSF DASHBOARD'!$B$4="Area",IF(803&lt;=$D$3,IF(OR('WSF DASHBOARD'!$C$4="",ISNUMBER(SEARCH('WSF DASHBOARD'!$C$4,INDEX(MASTER_AREAS!$B:$B,804)))),803,""),""),IF('WSF DASHBOARD'!$B$4="Zone",IF(803&lt;=$D$4,IF(OR('WSF DASHBOARD'!$C$4="",ISNUMBER(SEARCH('WSF DASHBOARD'!$C$4,INDEX(MASTER_ZONES!$B:$B,804)))),803,""),""),""))</f>
        <v/>
      </c>
      <c r="F804">
        <f>IF('TRANSPORT DASHBOARD'!$B$4="Area",IF(803&lt;=$I$3,IF(OR('TRANSPORT DASHBOARD'!$C$4="",ISNUMBER(SEARCH('TRANSPORT DASHBOARD'!$C$4,INDEX(MASTER_AREAS!$B:$B,804)))),803,""),""),IF('TRANSPORT DASHBOARD'!$B$4="Zone",IF(803&lt;=$I$4,IF(OR('TRANSPORT DASHBOARD'!$C$4="",ISNUMBER(SEARCH('TRANSPORT DASHBOARD'!$C$4,INDEX(MASTER_ZONES!$B:$B,804)))),803,""),""),""))</f>
        <v/>
      </c>
    </row>
    <row r="805">
      <c r="A805">
        <f>IF('WSF DASHBOARD'!$B$4="Area",IF(804&lt;=$D$3,IF(OR('WSF DASHBOARD'!$C$4="",ISNUMBER(SEARCH('WSF DASHBOARD'!$C$4,INDEX(MASTER_AREAS!$B:$B,805)))),804,""),""),IF('WSF DASHBOARD'!$B$4="Zone",IF(804&lt;=$D$4,IF(OR('WSF DASHBOARD'!$C$4="",ISNUMBER(SEARCH('WSF DASHBOARD'!$C$4,INDEX(MASTER_ZONES!$B:$B,805)))),804,""),""),""))</f>
        <v/>
      </c>
      <c r="F805">
        <f>IF('TRANSPORT DASHBOARD'!$B$4="Area",IF(804&lt;=$I$3,IF(OR('TRANSPORT DASHBOARD'!$C$4="",ISNUMBER(SEARCH('TRANSPORT DASHBOARD'!$C$4,INDEX(MASTER_AREAS!$B:$B,805)))),804,""),""),IF('TRANSPORT DASHBOARD'!$B$4="Zone",IF(804&lt;=$I$4,IF(OR('TRANSPORT DASHBOARD'!$C$4="",ISNUMBER(SEARCH('TRANSPORT DASHBOARD'!$C$4,INDEX(MASTER_ZONES!$B:$B,805)))),804,""),""),""))</f>
        <v/>
      </c>
    </row>
    <row r="806">
      <c r="A806">
        <f>IF('WSF DASHBOARD'!$B$4="Area",IF(805&lt;=$D$3,IF(OR('WSF DASHBOARD'!$C$4="",ISNUMBER(SEARCH('WSF DASHBOARD'!$C$4,INDEX(MASTER_AREAS!$B:$B,806)))),805,""),""),IF('WSF DASHBOARD'!$B$4="Zone",IF(805&lt;=$D$4,IF(OR('WSF DASHBOARD'!$C$4="",ISNUMBER(SEARCH('WSF DASHBOARD'!$C$4,INDEX(MASTER_ZONES!$B:$B,806)))),805,""),""),""))</f>
        <v/>
      </c>
      <c r="F806">
        <f>IF('TRANSPORT DASHBOARD'!$B$4="Area",IF(805&lt;=$I$3,IF(OR('TRANSPORT DASHBOARD'!$C$4="",ISNUMBER(SEARCH('TRANSPORT DASHBOARD'!$C$4,INDEX(MASTER_AREAS!$B:$B,806)))),805,""),""),IF('TRANSPORT DASHBOARD'!$B$4="Zone",IF(805&lt;=$I$4,IF(OR('TRANSPORT DASHBOARD'!$C$4="",ISNUMBER(SEARCH('TRANSPORT DASHBOARD'!$C$4,INDEX(MASTER_ZONES!$B:$B,806)))),805,""),""),""))</f>
        <v/>
      </c>
    </row>
    <row r="807">
      <c r="A807">
        <f>IF('WSF DASHBOARD'!$B$4="Area",IF(806&lt;=$D$3,IF(OR('WSF DASHBOARD'!$C$4="",ISNUMBER(SEARCH('WSF DASHBOARD'!$C$4,INDEX(MASTER_AREAS!$B:$B,807)))),806,""),""),IF('WSF DASHBOARD'!$B$4="Zone",IF(806&lt;=$D$4,IF(OR('WSF DASHBOARD'!$C$4="",ISNUMBER(SEARCH('WSF DASHBOARD'!$C$4,INDEX(MASTER_ZONES!$B:$B,807)))),806,""),""),""))</f>
        <v/>
      </c>
      <c r="F807">
        <f>IF('TRANSPORT DASHBOARD'!$B$4="Area",IF(806&lt;=$I$3,IF(OR('TRANSPORT DASHBOARD'!$C$4="",ISNUMBER(SEARCH('TRANSPORT DASHBOARD'!$C$4,INDEX(MASTER_AREAS!$B:$B,807)))),806,""),""),IF('TRANSPORT DASHBOARD'!$B$4="Zone",IF(806&lt;=$I$4,IF(OR('TRANSPORT DASHBOARD'!$C$4="",ISNUMBER(SEARCH('TRANSPORT DASHBOARD'!$C$4,INDEX(MASTER_ZONES!$B:$B,807)))),806,""),""),""))</f>
        <v/>
      </c>
    </row>
    <row r="808">
      <c r="A808">
        <f>IF('WSF DASHBOARD'!$B$4="Area",IF(807&lt;=$D$3,IF(OR('WSF DASHBOARD'!$C$4="",ISNUMBER(SEARCH('WSF DASHBOARD'!$C$4,INDEX(MASTER_AREAS!$B:$B,808)))),807,""),""),IF('WSF DASHBOARD'!$B$4="Zone",IF(807&lt;=$D$4,IF(OR('WSF DASHBOARD'!$C$4="",ISNUMBER(SEARCH('WSF DASHBOARD'!$C$4,INDEX(MASTER_ZONES!$B:$B,808)))),807,""),""),""))</f>
        <v/>
      </c>
      <c r="F808">
        <f>IF('TRANSPORT DASHBOARD'!$B$4="Area",IF(807&lt;=$I$3,IF(OR('TRANSPORT DASHBOARD'!$C$4="",ISNUMBER(SEARCH('TRANSPORT DASHBOARD'!$C$4,INDEX(MASTER_AREAS!$B:$B,808)))),807,""),""),IF('TRANSPORT DASHBOARD'!$B$4="Zone",IF(807&lt;=$I$4,IF(OR('TRANSPORT DASHBOARD'!$C$4="",ISNUMBER(SEARCH('TRANSPORT DASHBOARD'!$C$4,INDEX(MASTER_ZONES!$B:$B,808)))),807,""),""),""))</f>
        <v/>
      </c>
    </row>
    <row r="809">
      <c r="A809">
        <f>IF('WSF DASHBOARD'!$B$4="Area",IF(808&lt;=$D$3,IF(OR('WSF DASHBOARD'!$C$4="",ISNUMBER(SEARCH('WSF DASHBOARD'!$C$4,INDEX(MASTER_AREAS!$B:$B,809)))),808,""),""),IF('WSF DASHBOARD'!$B$4="Zone",IF(808&lt;=$D$4,IF(OR('WSF DASHBOARD'!$C$4="",ISNUMBER(SEARCH('WSF DASHBOARD'!$C$4,INDEX(MASTER_ZONES!$B:$B,809)))),808,""),""),""))</f>
        <v/>
      </c>
      <c r="F809">
        <f>IF('TRANSPORT DASHBOARD'!$B$4="Area",IF(808&lt;=$I$3,IF(OR('TRANSPORT DASHBOARD'!$C$4="",ISNUMBER(SEARCH('TRANSPORT DASHBOARD'!$C$4,INDEX(MASTER_AREAS!$B:$B,809)))),808,""),""),IF('TRANSPORT DASHBOARD'!$B$4="Zone",IF(808&lt;=$I$4,IF(OR('TRANSPORT DASHBOARD'!$C$4="",ISNUMBER(SEARCH('TRANSPORT DASHBOARD'!$C$4,INDEX(MASTER_ZONES!$B:$B,809)))),808,""),""),""))</f>
        <v/>
      </c>
    </row>
    <row r="810">
      <c r="A810">
        <f>IF('WSF DASHBOARD'!$B$4="Area",IF(809&lt;=$D$3,IF(OR('WSF DASHBOARD'!$C$4="",ISNUMBER(SEARCH('WSF DASHBOARD'!$C$4,INDEX(MASTER_AREAS!$B:$B,810)))),809,""),""),IF('WSF DASHBOARD'!$B$4="Zone",IF(809&lt;=$D$4,IF(OR('WSF DASHBOARD'!$C$4="",ISNUMBER(SEARCH('WSF DASHBOARD'!$C$4,INDEX(MASTER_ZONES!$B:$B,810)))),809,""),""),""))</f>
        <v/>
      </c>
      <c r="F810">
        <f>IF('TRANSPORT DASHBOARD'!$B$4="Area",IF(809&lt;=$I$3,IF(OR('TRANSPORT DASHBOARD'!$C$4="",ISNUMBER(SEARCH('TRANSPORT DASHBOARD'!$C$4,INDEX(MASTER_AREAS!$B:$B,810)))),809,""),""),IF('TRANSPORT DASHBOARD'!$B$4="Zone",IF(809&lt;=$I$4,IF(OR('TRANSPORT DASHBOARD'!$C$4="",ISNUMBER(SEARCH('TRANSPORT DASHBOARD'!$C$4,INDEX(MASTER_ZONES!$B:$B,810)))),809,""),""),""))</f>
        <v/>
      </c>
    </row>
    <row r="811">
      <c r="A811">
        <f>IF('WSF DASHBOARD'!$B$4="Area",IF(810&lt;=$D$3,IF(OR('WSF DASHBOARD'!$C$4="",ISNUMBER(SEARCH('WSF DASHBOARD'!$C$4,INDEX(MASTER_AREAS!$B:$B,811)))),810,""),""),IF('WSF DASHBOARD'!$B$4="Zone",IF(810&lt;=$D$4,IF(OR('WSF DASHBOARD'!$C$4="",ISNUMBER(SEARCH('WSF DASHBOARD'!$C$4,INDEX(MASTER_ZONES!$B:$B,811)))),810,""),""),""))</f>
        <v/>
      </c>
      <c r="F811">
        <f>IF('TRANSPORT DASHBOARD'!$B$4="Area",IF(810&lt;=$I$3,IF(OR('TRANSPORT DASHBOARD'!$C$4="",ISNUMBER(SEARCH('TRANSPORT DASHBOARD'!$C$4,INDEX(MASTER_AREAS!$B:$B,811)))),810,""),""),IF('TRANSPORT DASHBOARD'!$B$4="Zone",IF(810&lt;=$I$4,IF(OR('TRANSPORT DASHBOARD'!$C$4="",ISNUMBER(SEARCH('TRANSPORT DASHBOARD'!$C$4,INDEX(MASTER_ZONES!$B:$B,811)))),810,""),""),""))</f>
        <v/>
      </c>
    </row>
    <row r="812">
      <c r="A812">
        <f>IF('WSF DASHBOARD'!$B$4="Area",IF(811&lt;=$D$3,IF(OR('WSF DASHBOARD'!$C$4="",ISNUMBER(SEARCH('WSF DASHBOARD'!$C$4,INDEX(MASTER_AREAS!$B:$B,812)))),811,""),""),IF('WSF DASHBOARD'!$B$4="Zone",IF(811&lt;=$D$4,IF(OR('WSF DASHBOARD'!$C$4="",ISNUMBER(SEARCH('WSF DASHBOARD'!$C$4,INDEX(MASTER_ZONES!$B:$B,812)))),811,""),""),""))</f>
        <v/>
      </c>
      <c r="F812">
        <f>IF('TRANSPORT DASHBOARD'!$B$4="Area",IF(811&lt;=$I$3,IF(OR('TRANSPORT DASHBOARD'!$C$4="",ISNUMBER(SEARCH('TRANSPORT DASHBOARD'!$C$4,INDEX(MASTER_AREAS!$B:$B,812)))),811,""),""),IF('TRANSPORT DASHBOARD'!$B$4="Zone",IF(811&lt;=$I$4,IF(OR('TRANSPORT DASHBOARD'!$C$4="",ISNUMBER(SEARCH('TRANSPORT DASHBOARD'!$C$4,INDEX(MASTER_ZONES!$B:$B,812)))),811,""),""),""))</f>
        <v/>
      </c>
    </row>
    <row r="813">
      <c r="A813">
        <f>IF('WSF DASHBOARD'!$B$4="Area",IF(812&lt;=$D$3,IF(OR('WSF DASHBOARD'!$C$4="",ISNUMBER(SEARCH('WSF DASHBOARD'!$C$4,INDEX(MASTER_AREAS!$B:$B,813)))),812,""),""),IF('WSF DASHBOARD'!$B$4="Zone",IF(812&lt;=$D$4,IF(OR('WSF DASHBOARD'!$C$4="",ISNUMBER(SEARCH('WSF DASHBOARD'!$C$4,INDEX(MASTER_ZONES!$B:$B,813)))),812,""),""),""))</f>
        <v/>
      </c>
      <c r="F813">
        <f>IF('TRANSPORT DASHBOARD'!$B$4="Area",IF(812&lt;=$I$3,IF(OR('TRANSPORT DASHBOARD'!$C$4="",ISNUMBER(SEARCH('TRANSPORT DASHBOARD'!$C$4,INDEX(MASTER_AREAS!$B:$B,813)))),812,""),""),IF('TRANSPORT DASHBOARD'!$B$4="Zone",IF(812&lt;=$I$4,IF(OR('TRANSPORT DASHBOARD'!$C$4="",ISNUMBER(SEARCH('TRANSPORT DASHBOARD'!$C$4,INDEX(MASTER_ZONES!$B:$B,813)))),812,""),""),""))</f>
        <v/>
      </c>
    </row>
    <row r="814">
      <c r="A814">
        <f>IF('WSF DASHBOARD'!$B$4="Area",IF(813&lt;=$D$3,IF(OR('WSF DASHBOARD'!$C$4="",ISNUMBER(SEARCH('WSF DASHBOARD'!$C$4,INDEX(MASTER_AREAS!$B:$B,814)))),813,""),""),IF('WSF DASHBOARD'!$B$4="Zone",IF(813&lt;=$D$4,IF(OR('WSF DASHBOARD'!$C$4="",ISNUMBER(SEARCH('WSF DASHBOARD'!$C$4,INDEX(MASTER_ZONES!$B:$B,814)))),813,""),""),""))</f>
        <v/>
      </c>
      <c r="F814">
        <f>IF('TRANSPORT DASHBOARD'!$B$4="Area",IF(813&lt;=$I$3,IF(OR('TRANSPORT DASHBOARD'!$C$4="",ISNUMBER(SEARCH('TRANSPORT DASHBOARD'!$C$4,INDEX(MASTER_AREAS!$B:$B,814)))),813,""),""),IF('TRANSPORT DASHBOARD'!$B$4="Zone",IF(813&lt;=$I$4,IF(OR('TRANSPORT DASHBOARD'!$C$4="",ISNUMBER(SEARCH('TRANSPORT DASHBOARD'!$C$4,INDEX(MASTER_ZONES!$B:$B,814)))),813,""),""),""))</f>
        <v/>
      </c>
    </row>
    <row r="815">
      <c r="A815">
        <f>IF('WSF DASHBOARD'!$B$4="Area",IF(814&lt;=$D$3,IF(OR('WSF DASHBOARD'!$C$4="",ISNUMBER(SEARCH('WSF DASHBOARD'!$C$4,INDEX(MASTER_AREAS!$B:$B,815)))),814,""),""),IF('WSF DASHBOARD'!$B$4="Zone",IF(814&lt;=$D$4,IF(OR('WSF DASHBOARD'!$C$4="",ISNUMBER(SEARCH('WSF DASHBOARD'!$C$4,INDEX(MASTER_ZONES!$B:$B,815)))),814,""),""),""))</f>
        <v/>
      </c>
      <c r="F815">
        <f>IF('TRANSPORT DASHBOARD'!$B$4="Area",IF(814&lt;=$I$3,IF(OR('TRANSPORT DASHBOARD'!$C$4="",ISNUMBER(SEARCH('TRANSPORT DASHBOARD'!$C$4,INDEX(MASTER_AREAS!$B:$B,815)))),814,""),""),IF('TRANSPORT DASHBOARD'!$B$4="Zone",IF(814&lt;=$I$4,IF(OR('TRANSPORT DASHBOARD'!$C$4="",ISNUMBER(SEARCH('TRANSPORT DASHBOARD'!$C$4,INDEX(MASTER_ZONES!$B:$B,815)))),814,""),""),""))</f>
        <v/>
      </c>
    </row>
    <row r="816">
      <c r="A816">
        <f>IF('WSF DASHBOARD'!$B$4="Area",IF(815&lt;=$D$3,IF(OR('WSF DASHBOARD'!$C$4="",ISNUMBER(SEARCH('WSF DASHBOARD'!$C$4,INDEX(MASTER_AREAS!$B:$B,816)))),815,""),""),IF('WSF DASHBOARD'!$B$4="Zone",IF(815&lt;=$D$4,IF(OR('WSF DASHBOARD'!$C$4="",ISNUMBER(SEARCH('WSF DASHBOARD'!$C$4,INDEX(MASTER_ZONES!$B:$B,816)))),815,""),""),""))</f>
        <v/>
      </c>
      <c r="F816">
        <f>IF('TRANSPORT DASHBOARD'!$B$4="Area",IF(815&lt;=$I$3,IF(OR('TRANSPORT DASHBOARD'!$C$4="",ISNUMBER(SEARCH('TRANSPORT DASHBOARD'!$C$4,INDEX(MASTER_AREAS!$B:$B,816)))),815,""),""),IF('TRANSPORT DASHBOARD'!$B$4="Zone",IF(815&lt;=$I$4,IF(OR('TRANSPORT DASHBOARD'!$C$4="",ISNUMBER(SEARCH('TRANSPORT DASHBOARD'!$C$4,INDEX(MASTER_ZONES!$B:$B,816)))),815,""),""),""))</f>
        <v/>
      </c>
    </row>
    <row r="817">
      <c r="A817">
        <f>IF('WSF DASHBOARD'!$B$4="Area",IF(816&lt;=$D$3,IF(OR('WSF DASHBOARD'!$C$4="",ISNUMBER(SEARCH('WSF DASHBOARD'!$C$4,INDEX(MASTER_AREAS!$B:$B,817)))),816,""),""),IF('WSF DASHBOARD'!$B$4="Zone",IF(816&lt;=$D$4,IF(OR('WSF DASHBOARD'!$C$4="",ISNUMBER(SEARCH('WSF DASHBOARD'!$C$4,INDEX(MASTER_ZONES!$B:$B,817)))),816,""),""),""))</f>
        <v/>
      </c>
      <c r="F817">
        <f>IF('TRANSPORT DASHBOARD'!$B$4="Area",IF(816&lt;=$I$3,IF(OR('TRANSPORT DASHBOARD'!$C$4="",ISNUMBER(SEARCH('TRANSPORT DASHBOARD'!$C$4,INDEX(MASTER_AREAS!$B:$B,817)))),816,""),""),IF('TRANSPORT DASHBOARD'!$B$4="Zone",IF(816&lt;=$I$4,IF(OR('TRANSPORT DASHBOARD'!$C$4="",ISNUMBER(SEARCH('TRANSPORT DASHBOARD'!$C$4,INDEX(MASTER_ZONES!$B:$B,817)))),816,""),""),""))</f>
        <v/>
      </c>
    </row>
    <row r="818">
      <c r="A818">
        <f>IF('WSF DASHBOARD'!$B$4="Area",IF(817&lt;=$D$3,IF(OR('WSF DASHBOARD'!$C$4="",ISNUMBER(SEARCH('WSF DASHBOARD'!$C$4,INDEX(MASTER_AREAS!$B:$B,818)))),817,""),""),IF('WSF DASHBOARD'!$B$4="Zone",IF(817&lt;=$D$4,IF(OR('WSF DASHBOARD'!$C$4="",ISNUMBER(SEARCH('WSF DASHBOARD'!$C$4,INDEX(MASTER_ZONES!$B:$B,818)))),817,""),""),""))</f>
        <v/>
      </c>
      <c r="F818">
        <f>IF('TRANSPORT DASHBOARD'!$B$4="Area",IF(817&lt;=$I$3,IF(OR('TRANSPORT DASHBOARD'!$C$4="",ISNUMBER(SEARCH('TRANSPORT DASHBOARD'!$C$4,INDEX(MASTER_AREAS!$B:$B,818)))),817,""),""),IF('TRANSPORT DASHBOARD'!$B$4="Zone",IF(817&lt;=$I$4,IF(OR('TRANSPORT DASHBOARD'!$C$4="",ISNUMBER(SEARCH('TRANSPORT DASHBOARD'!$C$4,INDEX(MASTER_ZONES!$B:$B,818)))),817,""),""),""))</f>
        <v/>
      </c>
    </row>
    <row r="819">
      <c r="A819">
        <f>IF('WSF DASHBOARD'!$B$4="Area",IF(818&lt;=$D$3,IF(OR('WSF DASHBOARD'!$C$4="",ISNUMBER(SEARCH('WSF DASHBOARD'!$C$4,INDEX(MASTER_AREAS!$B:$B,819)))),818,""),""),IF('WSF DASHBOARD'!$B$4="Zone",IF(818&lt;=$D$4,IF(OR('WSF DASHBOARD'!$C$4="",ISNUMBER(SEARCH('WSF DASHBOARD'!$C$4,INDEX(MASTER_ZONES!$B:$B,819)))),818,""),""),""))</f>
        <v/>
      </c>
      <c r="F819">
        <f>IF('TRANSPORT DASHBOARD'!$B$4="Area",IF(818&lt;=$I$3,IF(OR('TRANSPORT DASHBOARD'!$C$4="",ISNUMBER(SEARCH('TRANSPORT DASHBOARD'!$C$4,INDEX(MASTER_AREAS!$B:$B,819)))),818,""),""),IF('TRANSPORT DASHBOARD'!$B$4="Zone",IF(818&lt;=$I$4,IF(OR('TRANSPORT DASHBOARD'!$C$4="",ISNUMBER(SEARCH('TRANSPORT DASHBOARD'!$C$4,INDEX(MASTER_ZONES!$B:$B,819)))),818,""),""),""))</f>
        <v/>
      </c>
    </row>
    <row r="820">
      <c r="A820">
        <f>IF('WSF DASHBOARD'!$B$4="Area",IF(819&lt;=$D$3,IF(OR('WSF DASHBOARD'!$C$4="",ISNUMBER(SEARCH('WSF DASHBOARD'!$C$4,INDEX(MASTER_AREAS!$B:$B,820)))),819,""),""),IF('WSF DASHBOARD'!$B$4="Zone",IF(819&lt;=$D$4,IF(OR('WSF DASHBOARD'!$C$4="",ISNUMBER(SEARCH('WSF DASHBOARD'!$C$4,INDEX(MASTER_ZONES!$B:$B,820)))),819,""),""),""))</f>
        <v/>
      </c>
      <c r="F820">
        <f>IF('TRANSPORT DASHBOARD'!$B$4="Area",IF(819&lt;=$I$3,IF(OR('TRANSPORT DASHBOARD'!$C$4="",ISNUMBER(SEARCH('TRANSPORT DASHBOARD'!$C$4,INDEX(MASTER_AREAS!$B:$B,820)))),819,""),""),IF('TRANSPORT DASHBOARD'!$B$4="Zone",IF(819&lt;=$I$4,IF(OR('TRANSPORT DASHBOARD'!$C$4="",ISNUMBER(SEARCH('TRANSPORT DASHBOARD'!$C$4,INDEX(MASTER_ZONES!$B:$B,820)))),819,""),""),""))</f>
        <v/>
      </c>
    </row>
    <row r="821">
      <c r="A821">
        <f>IF('WSF DASHBOARD'!$B$4="Area",IF(820&lt;=$D$3,IF(OR('WSF DASHBOARD'!$C$4="",ISNUMBER(SEARCH('WSF DASHBOARD'!$C$4,INDEX(MASTER_AREAS!$B:$B,821)))),820,""),""),IF('WSF DASHBOARD'!$B$4="Zone",IF(820&lt;=$D$4,IF(OR('WSF DASHBOARD'!$C$4="",ISNUMBER(SEARCH('WSF DASHBOARD'!$C$4,INDEX(MASTER_ZONES!$B:$B,821)))),820,""),""),""))</f>
        <v/>
      </c>
      <c r="F821">
        <f>IF('TRANSPORT DASHBOARD'!$B$4="Area",IF(820&lt;=$I$3,IF(OR('TRANSPORT DASHBOARD'!$C$4="",ISNUMBER(SEARCH('TRANSPORT DASHBOARD'!$C$4,INDEX(MASTER_AREAS!$B:$B,821)))),820,""),""),IF('TRANSPORT DASHBOARD'!$B$4="Zone",IF(820&lt;=$I$4,IF(OR('TRANSPORT DASHBOARD'!$C$4="",ISNUMBER(SEARCH('TRANSPORT DASHBOARD'!$C$4,INDEX(MASTER_ZONES!$B:$B,821)))),820,""),""),""))</f>
        <v/>
      </c>
    </row>
    <row r="822">
      <c r="A822">
        <f>IF('WSF DASHBOARD'!$B$4="Area",IF(821&lt;=$D$3,IF(OR('WSF DASHBOARD'!$C$4="",ISNUMBER(SEARCH('WSF DASHBOARD'!$C$4,INDEX(MASTER_AREAS!$B:$B,822)))),821,""),""),IF('WSF DASHBOARD'!$B$4="Zone",IF(821&lt;=$D$4,IF(OR('WSF DASHBOARD'!$C$4="",ISNUMBER(SEARCH('WSF DASHBOARD'!$C$4,INDEX(MASTER_ZONES!$B:$B,822)))),821,""),""),""))</f>
        <v/>
      </c>
      <c r="F822">
        <f>IF('TRANSPORT DASHBOARD'!$B$4="Area",IF(821&lt;=$I$3,IF(OR('TRANSPORT DASHBOARD'!$C$4="",ISNUMBER(SEARCH('TRANSPORT DASHBOARD'!$C$4,INDEX(MASTER_AREAS!$B:$B,822)))),821,""),""),IF('TRANSPORT DASHBOARD'!$B$4="Zone",IF(821&lt;=$I$4,IF(OR('TRANSPORT DASHBOARD'!$C$4="",ISNUMBER(SEARCH('TRANSPORT DASHBOARD'!$C$4,INDEX(MASTER_ZONES!$B:$B,822)))),821,""),""),""))</f>
        <v/>
      </c>
    </row>
    <row r="823">
      <c r="A823">
        <f>IF('WSF DASHBOARD'!$B$4="Area",IF(822&lt;=$D$3,IF(OR('WSF DASHBOARD'!$C$4="",ISNUMBER(SEARCH('WSF DASHBOARD'!$C$4,INDEX(MASTER_AREAS!$B:$B,823)))),822,""),""),IF('WSF DASHBOARD'!$B$4="Zone",IF(822&lt;=$D$4,IF(OR('WSF DASHBOARD'!$C$4="",ISNUMBER(SEARCH('WSF DASHBOARD'!$C$4,INDEX(MASTER_ZONES!$B:$B,823)))),822,""),""),""))</f>
        <v/>
      </c>
      <c r="F823">
        <f>IF('TRANSPORT DASHBOARD'!$B$4="Area",IF(822&lt;=$I$3,IF(OR('TRANSPORT DASHBOARD'!$C$4="",ISNUMBER(SEARCH('TRANSPORT DASHBOARD'!$C$4,INDEX(MASTER_AREAS!$B:$B,823)))),822,""),""),IF('TRANSPORT DASHBOARD'!$B$4="Zone",IF(822&lt;=$I$4,IF(OR('TRANSPORT DASHBOARD'!$C$4="",ISNUMBER(SEARCH('TRANSPORT DASHBOARD'!$C$4,INDEX(MASTER_ZONES!$B:$B,823)))),822,""),""),""))</f>
        <v/>
      </c>
    </row>
    <row r="824">
      <c r="A824">
        <f>IF('WSF DASHBOARD'!$B$4="Area",IF(823&lt;=$D$3,IF(OR('WSF DASHBOARD'!$C$4="",ISNUMBER(SEARCH('WSF DASHBOARD'!$C$4,INDEX(MASTER_AREAS!$B:$B,824)))),823,""),""),IF('WSF DASHBOARD'!$B$4="Zone",IF(823&lt;=$D$4,IF(OR('WSF DASHBOARD'!$C$4="",ISNUMBER(SEARCH('WSF DASHBOARD'!$C$4,INDEX(MASTER_ZONES!$B:$B,824)))),823,""),""),""))</f>
        <v/>
      </c>
      <c r="F824">
        <f>IF('TRANSPORT DASHBOARD'!$B$4="Area",IF(823&lt;=$I$3,IF(OR('TRANSPORT DASHBOARD'!$C$4="",ISNUMBER(SEARCH('TRANSPORT DASHBOARD'!$C$4,INDEX(MASTER_AREAS!$B:$B,824)))),823,""),""),IF('TRANSPORT DASHBOARD'!$B$4="Zone",IF(823&lt;=$I$4,IF(OR('TRANSPORT DASHBOARD'!$C$4="",ISNUMBER(SEARCH('TRANSPORT DASHBOARD'!$C$4,INDEX(MASTER_ZONES!$B:$B,824)))),823,""),""),""))</f>
        <v/>
      </c>
    </row>
    <row r="825">
      <c r="A825">
        <f>IF('WSF DASHBOARD'!$B$4="Area",IF(824&lt;=$D$3,IF(OR('WSF DASHBOARD'!$C$4="",ISNUMBER(SEARCH('WSF DASHBOARD'!$C$4,INDEX(MASTER_AREAS!$B:$B,825)))),824,""),""),IF('WSF DASHBOARD'!$B$4="Zone",IF(824&lt;=$D$4,IF(OR('WSF DASHBOARD'!$C$4="",ISNUMBER(SEARCH('WSF DASHBOARD'!$C$4,INDEX(MASTER_ZONES!$B:$B,825)))),824,""),""),""))</f>
        <v/>
      </c>
      <c r="F825">
        <f>IF('TRANSPORT DASHBOARD'!$B$4="Area",IF(824&lt;=$I$3,IF(OR('TRANSPORT DASHBOARD'!$C$4="",ISNUMBER(SEARCH('TRANSPORT DASHBOARD'!$C$4,INDEX(MASTER_AREAS!$B:$B,825)))),824,""),""),IF('TRANSPORT DASHBOARD'!$B$4="Zone",IF(824&lt;=$I$4,IF(OR('TRANSPORT DASHBOARD'!$C$4="",ISNUMBER(SEARCH('TRANSPORT DASHBOARD'!$C$4,INDEX(MASTER_ZONES!$B:$B,825)))),824,""),""),""))</f>
        <v/>
      </c>
    </row>
    <row r="826">
      <c r="A826">
        <f>IF('WSF DASHBOARD'!$B$4="Area",IF(825&lt;=$D$3,IF(OR('WSF DASHBOARD'!$C$4="",ISNUMBER(SEARCH('WSF DASHBOARD'!$C$4,INDEX(MASTER_AREAS!$B:$B,826)))),825,""),""),IF('WSF DASHBOARD'!$B$4="Zone",IF(825&lt;=$D$4,IF(OR('WSF DASHBOARD'!$C$4="",ISNUMBER(SEARCH('WSF DASHBOARD'!$C$4,INDEX(MASTER_ZONES!$B:$B,826)))),825,""),""),""))</f>
        <v/>
      </c>
      <c r="F826">
        <f>IF('TRANSPORT DASHBOARD'!$B$4="Area",IF(825&lt;=$I$3,IF(OR('TRANSPORT DASHBOARD'!$C$4="",ISNUMBER(SEARCH('TRANSPORT DASHBOARD'!$C$4,INDEX(MASTER_AREAS!$B:$B,826)))),825,""),""),IF('TRANSPORT DASHBOARD'!$B$4="Zone",IF(825&lt;=$I$4,IF(OR('TRANSPORT DASHBOARD'!$C$4="",ISNUMBER(SEARCH('TRANSPORT DASHBOARD'!$C$4,INDEX(MASTER_ZONES!$B:$B,826)))),825,""),""),""))</f>
        <v/>
      </c>
    </row>
    <row r="827">
      <c r="A827">
        <f>IF('WSF DASHBOARD'!$B$4="Area",IF(826&lt;=$D$3,IF(OR('WSF DASHBOARD'!$C$4="",ISNUMBER(SEARCH('WSF DASHBOARD'!$C$4,INDEX(MASTER_AREAS!$B:$B,827)))),826,""),""),IF('WSF DASHBOARD'!$B$4="Zone",IF(826&lt;=$D$4,IF(OR('WSF DASHBOARD'!$C$4="",ISNUMBER(SEARCH('WSF DASHBOARD'!$C$4,INDEX(MASTER_ZONES!$B:$B,827)))),826,""),""),""))</f>
        <v/>
      </c>
      <c r="F827">
        <f>IF('TRANSPORT DASHBOARD'!$B$4="Area",IF(826&lt;=$I$3,IF(OR('TRANSPORT DASHBOARD'!$C$4="",ISNUMBER(SEARCH('TRANSPORT DASHBOARD'!$C$4,INDEX(MASTER_AREAS!$B:$B,827)))),826,""),""),IF('TRANSPORT DASHBOARD'!$B$4="Zone",IF(826&lt;=$I$4,IF(OR('TRANSPORT DASHBOARD'!$C$4="",ISNUMBER(SEARCH('TRANSPORT DASHBOARD'!$C$4,INDEX(MASTER_ZONES!$B:$B,827)))),826,""),""),""))</f>
        <v/>
      </c>
    </row>
    <row r="828">
      <c r="A828">
        <f>IF('WSF DASHBOARD'!$B$4="Area",IF(827&lt;=$D$3,IF(OR('WSF DASHBOARD'!$C$4="",ISNUMBER(SEARCH('WSF DASHBOARD'!$C$4,INDEX(MASTER_AREAS!$B:$B,828)))),827,""),""),IF('WSF DASHBOARD'!$B$4="Zone",IF(827&lt;=$D$4,IF(OR('WSF DASHBOARD'!$C$4="",ISNUMBER(SEARCH('WSF DASHBOARD'!$C$4,INDEX(MASTER_ZONES!$B:$B,828)))),827,""),""),""))</f>
        <v/>
      </c>
      <c r="F828">
        <f>IF('TRANSPORT DASHBOARD'!$B$4="Area",IF(827&lt;=$I$3,IF(OR('TRANSPORT DASHBOARD'!$C$4="",ISNUMBER(SEARCH('TRANSPORT DASHBOARD'!$C$4,INDEX(MASTER_AREAS!$B:$B,828)))),827,""),""),IF('TRANSPORT DASHBOARD'!$B$4="Zone",IF(827&lt;=$I$4,IF(OR('TRANSPORT DASHBOARD'!$C$4="",ISNUMBER(SEARCH('TRANSPORT DASHBOARD'!$C$4,INDEX(MASTER_ZONES!$B:$B,828)))),827,""),""),""))</f>
        <v/>
      </c>
    </row>
    <row r="829">
      <c r="A829">
        <f>IF('WSF DASHBOARD'!$B$4="Area",IF(828&lt;=$D$3,IF(OR('WSF DASHBOARD'!$C$4="",ISNUMBER(SEARCH('WSF DASHBOARD'!$C$4,INDEX(MASTER_AREAS!$B:$B,829)))),828,""),""),IF('WSF DASHBOARD'!$B$4="Zone",IF(828&lt;=$D$4,IF(OR('WSF DASHBOARD'!$C$4="",ISNUMBER(SEARCH('WSF DASHBOARD'!$C$4,INDEX(MASTER_ZONES!$B:$B,829)))),828,""),""),""))</f>
        <v/>
      </c>
      <c r="F829">
        <f>IF('TRANSPORT DASHBOARD'!$B$4="Area",IF(828&lt;=$I$3,IF(OR('TRANSPORT DASHBOARD'!$C$4="",ISNUMBER(SEARCH('TRANSPORT DASHBOARD'!$C$4,INDEX(MASTER_AREAS!$B:$B,829)))),828,""),""),IF('TRANSPORT DASHBOARD'!$B$4="Zone",IF(828&lt;=$I$4,IF(OR('TRANSPORT DASHBOARD'!$C$4="",ISNUMBER(SEARCH('TRANSPORT DASHBOARD'!$C$4,INDEX(MASTER_ZONES!$B:$B,829)))),828,""),""),""))</f>
        <v/>
      </c>
    </row>
    <row r="830">
      <c r="A830">
        <f>IF('WSF DASHBOARD'!$B$4="Area",IF(829&lt;=$D$3,IF(OR('WSF DASHBOARD'!$C$4="",ISNUMBER(SEARCH('WSF DASHBOARD'!$C$4,INDEX(MASTER_AREAS!$B:$B,830)))),829,""),""),IF('WSF DASHBOARD'!$B$4="Zone",IF(829&lt;=$D$4,IF(OR('WSF DASHBOARD'!$C$4="",ISNUMBER(SEARCH('WSF DASHBOARD'!$C$4,INDEX(MASTER_ZONES!$B:$B,830)))),829,""),""),""))</f>
        <v/>
      </c>
      <c r="F830">
        <f>IF('TRANSPORT DASHBOARD'!$B$4="Area",IF(829&lt;=$I$3,IF(OR('TRANSPORT DASHBOARD'!$C$4="",ISNUMBER(SEARCH('TRANSPORT DASHBOARD'!$C$4,INDEX(MASTER_AREAS!$B:$B,830)))),829,""),""),IF('TRANSPORT DASHBOARD'!$B$4="Zone",IF(829&lt;=$I$4,IF(OR('TRANSPORT DASHBOARD'!$C$4="",ISNUMBER(SEARCH('TRANSPORT DASHBOARD'!$C$4,INDEX(MASTER_ZONES!$B:$B,830)))),829,""),""),""))</f>
        <v/>
      </c>
    </row>
    <row r="831">
      <c r="A831">
        <f>IF('WSF DASHBOARD'!$B$4="Area",IF(830&lt;=$D$3,IF(OR('WSF DASHBOARD'!$C$4="",ISNUMBER(SEARCH('WSF DASHBOARD'!$C$4,INDEX(MASTER_AREAS!$B:$B,831)))),830,""),""),IF('WSF DASHBOARD'!$B$4="Zone",IF(830&lt;=$D$4,IF(OR('WSF DASHBOARD'!$C$4="",ISNUMBER(SEARCH('WSF DASHBOARD'!$C$4,INDEX(MASTER_ZONES!$B:$B,831)))),830,""),""),""))</f>
        <v/>
      </c>
      <c r="F831">
        <f>IF('TRANSPORT DASHBOARD'!$B$4="Area",IF(830&lt;=$I$3,IF(OR('TRANSPORT DASHBOARD'!$C$4="",ISNUMBER(SEARCH('TRANSPORT DASHBOARD'!$C$4,INDEX(MASTER_AREAS!$B:$B,831)))),830,""),""),IF('TRANSPORT DASHBOARD'!$B$4="Zone",IF(830&lt;=$I$4,IF(OR('TRANSPORT DASHBOARD'!$C$4="",ISNUMBER(SEARCH('TRANSPORT DASHBOARD'!$C$4,INDEX(MASTER_ZONES!$B:$B,831)))),830,""),""),""))</f>
        <v/>
      </c>
    </row>
    <row r="832">
      <c r="A832">
        <f>IF('WSF DASHBOARD'!$B$4="Area",IF(831&lt;=$D$3,IF(OR('WSF DASHBOARD'!$C$4="",ISNUMBER(SEARCH('WSF DASHBOARD'!$C$4,INDEX(MASTER_AREAS!$B:$B,832)))),831,""),""),IF('WSF DASHBOARD'!$B$4="Zone",IF(831&lt;=$D$4,IF(OR('WSF DASHBOARD'!$C$4="",ISNUMBER(SEARCH('WSF DASHBOARD'!$C$4,INDEX(MASTER_ZONES!$B:$B,832)))),831,""),""),""))</f>
        <v/>
      </c>
      <c r="F832">
        <f>IF('TRANSPORT DASHBOARD'!$B$4="Area",IF(831&lt;=$I$3,IF(OR('TRANSPORT DASHBOARD'!$C$4="",ISNUMBER(SEARCH('TRANSPORT DASHBOARD'!$C$4,INDEX(MASTER_AREAS!$B:$B,832)))),831,""),""),IF('TRANSPORT DASHBOARD'!$B$4="Zone",IF(831&lt;=$I$4,IF(OR('TRANSPORT DASHBOARD'!$C$4="",ISNUMBER(SEARCH('TRANSPORT DASHBOARD'!$C$4,INDEX(MASTER_ZONES!$B:$B,832)))),831,""),""),""))</f>
        <v/>
      </c>
    </row>
    <row r="833">
      <c r="A833">
        <f>IF('WSF DASHBOARD'!$B$4="Area",IF(832&lt;=$D$3,IF(OR('WSF DASHBOARD'!$C$4="",ISNUMBER(SEARCH('WSF DASHBOARD'!$C$4,INDEX(MASTER_AREAS!$B:$B,833)))),832,""),""),IF('WSF DASHBOARD'!$B$4="Zone",IF(832&lt;=$D$4,IF(OR('WSF DASHBOARD'!$C$4="",ISNUMBER(SEARCH('WSF DASHBOARD'!$C$4,INDEX(MASTER_ZONES!$B:$B,833)))),832,""),""),""))</f>
        <v/>
      </c>
      <c r="F833">
        <f>IF('TRANSPORT DASHBOARD'!$B$4="Area",IF(832&lt;=$I$3,IF(OR('TRANSPORT DASHBOARD'!$C$4="",ISNUMBER(SEARCH('TRANSPORT DASHBOARD'!$C$4,INDEX(MASTER_AREAS!$B:$B,833)))),832,""),""),IF('TRANSPORT DASHBOARD'!$B$4="Zone",IF(832&lt;=$I$4,IF(OR('TRANSPORT DASHBOARD'!$C$4="",ISNUMBER(SEARCH('TRANSPORT DASHBOARD'!$C$4,INDEX(MASTER_ZONES!$B:$B,833)))),832,""),""),""))</f>
        <v/>
      </c>
    </row>
    <row r="834">
      <c r="A834">
        <f>IF('WSF DASHBOARD'!$B$4="Area",IF(833&lt;=$D$3,IF(OR('WSF DASHBOARD'!$C$4="",ISNUMBER(SEARCH('WSF DASHBOARD'!$C$4,INDEX(MASTER_AREAS!$B:$B,834)))),833,""),""),IF('WSF DASHBOARD'!$B$4="Zone",IF(833&lt;=$D$4,IF(OR('WSF DASHBOARD'!$C$4="",ISNUMBER(SEARCH('WSF DASHBOARD'!$C$4,INDEX(MASTER_ZONES!$B:$B,834)))),833,""),""),""))</f>
        <v/>
      </c>
      <c r="F834">
        <f>IF('TRANSPORT DASHBOARD'!$B$4="Area",IF(833&lt;=$I$3,IF(OR('TRANSPORT DASHBOARD'!$C$4="",ISNUMBER(SEARCH('TRANSPORT DASHBOARD'!$C$4,INDEX(MASTER_AREAS!$B:$B,834)))),833,""),""),IF('TRANSPORT DASHBOARD'!$B$4="Zone",IF(833&lt;=$I$4,IF(OR('TRANSPORT DASHBOARD'!$C$4="",ISNUMBER(SEARCH('TRANSPORT DASHBOARD'!$C$4,INDEX(MASTER_ZONES!$B:$B,834)))),833,""),""),""))</f>
        <v/>
      </c>
    </row>
    <row r="835">
      <c r="A835">
        <f>IF('WSF DASHBOARD'!$B$4="Area",IF(834&lt;=$D$3,IF(OR('WSF DASHBOARD'!$C$4="",ISNUMBER(SEARCH('WSF DASHBOARD'!$C$4,INDEX(MASTER_AREAS!$B:$B,835)))),834,""),""),IF('WSF DASHBOARD'!$B$4="Zone",IF(834&lt;=$D$4,IF(OR('WSF DASHBOARD'!$C$4="",ISNUMBER(SEARCH('WSF DASHBOARD'!$C$4,INDEX(MASTER_ZONES!$B:$B,835)))),834,""),""),""))</f>
        <v/>
      </c>
      <c r="F835">
        <f>IF('TRANSPORT DASHBOARD'!$B$4="Area",IF(834&lt;=$I$3,IF(OR('TRANSPORT DASHBOARD'!$C$4="",ISNUMBER(SEARCH('TRANSPORT DASHBOARD'!$C$4,INDEX(MASTER_AREAS!$B:$B,835)))),834,""),""),IF('TRANSPORT DASHBOARD'!$B$4="Zone",IF(834&lt;=$I$4,IF(OR('TRANSPORT DASHBOARD'!$C$4="",ISNUMBER(SEARCH('TRANSPORT DASHBOARD'!$C$4,INDEX(MASTER_ZONES!$B:$B,835)))),834,""),""),""))</f>
        <v/>
      </c>
    </row>
    <row r="836">
      <c r="A836">
        <f>IF('WSF DASHBOARD'!$B$4="Area",IF(835&lt;=$D$3,IF(OR('WSF DASHBOARD'!$C$4="",ISNUMBER(SEARCH('WSF DASHBOARD'!$C$4,INDEX(MASTER_AREAS!$B:$B,836)))),835,""),""),IF('WSF DASHBOARD'!$B$4="Zone",IF(835&lt;=$D$4,IF(OR('WSF DASHBOARD'!$C$4="",ISNUMBER(SEARCH('WSF DASHBOARD'!$C$4,INDEX(MASTER_ZONES!$B:$B,836)))),835,""),""),""))</f>
        <v/>
      </c>
      <c r="F836">
        <f>IF('TRANSPORT DASHBOARD'!$B$4="Area",IF(835&lt;=$I$3,IF(OR('TRANSPORT DASHBOARD'!$C$4="",ISNUMBER(SEARCH('TRANSPORT DASHBOARD'!$C$4,INDEX(MASTER_AREAS!$B:$B,836)))),835,""),""),IF('TRANSPORT DASHBOARD'!$B$4="Zone",IF(835&lt;=$I$4,IF(OR('TRANSPORT DASHBOARD'!$C$4="",ISNUMBER(SEARCH('TRANSPORT DASHBOARD'!$C$4,INDEX(MASTER_ZONES!$B:$B,836)))),835,""),""),""))</f>
        <v/>
      </c>
    </row>
    <row r="837">
      <c r="A837">
        <f>IF('WSF DASHBOARD'!$B$4="Area",IF(836&lt;=$D$3,IF(OR('WSF DASHBOARD'!$C$4="",ISNUMBER(SEARCH('WSF DASHBOARD'!$C$4,INDEX(MASTER_AREAS!$B:$B,837)))),836,""),""),IF('WSF DASHBOARD'!$B$4="Zone",IF(836&lt;=$D$4,IF(OR('WSF DASHBOARD'!$C$4="",ISNUMBER(SEARCH('WSF DASHBOARD'!$C$4,INDEX(MASTER_ZONES!$B:$B,837)))),836,""),""),""))</f>
        <v/>
      </c>
      <c r="F837">
        <f>IF('TRANSPORT DASHBOARD'!$B$4="Area",IF(836&lt;=$I$3,IF(OR('TRANSPORT DASHBOARD'!$C$4="",ISNUMBER(SEARCH('TRANSPORT DASHBOARD'!$C$4,INDEX(MASTER_AREAS!$B:$B,837)))),836,""),""),IF('TRANSPORT DASHBOARD'!$B$4="Zone",IF(836&lt;=$I$4,IF(OR('TRANSPORT DASHBOARD'!$C$4="",ISNUMBER(SEARCH('TRANSPORT DASHBOARD'!$C$4,INDEX(MASTER_ZONES!$B:$B,837)))),836,""),""),""))</f>
        <v/>
      </c>
    </row>
    <row r="838">
      <c r="A838">
        <f>IF('WSF DASHBOARD'!$B$4="Area",IF(837&lt;=$D$3,IF(OR('WSF DASHBOARD'!$C$4="",ISNUMBER(SEARCH('WSF DASHBOARD'!$C$4,INDEX(MASTER_AREAS!$B:$B,838)))),837,""),""),IF('WSF DASHBOARD'!$B$4="Zone",IF(837&lt;=$D$4,IF(OR('WSF DASHBOARD'!$C$4="",ISNUMBER(SEARCH('WSF DASHBOARD'!$C$4,INDEX(MASTER_ZONES!$B:$B,838)))),837,""),""),""))</f>
        <v/>
      </c>
      <c r="F838">
        <f>IF('TRANSPORT DASHBOARD'!$B$4="Area",IF(837&lt;=$I$3,IF(OR('TRANSPORT DASHBOARD'!$C$4="",ISNUMBER(SEARCH('TRANSPORT DASHBOARD'!$C$4,INDEX(MASTER_AREAS!$B:$B,838)))),837,""),""),IF('TRANSPORT DASHBOARD'!$B$4="Zone",IF(837&lt;=$I$4,IF(OR('TRANSPORT DASHBOARD'!$C$4="",ISNUMBER(SEARCH('TRANSPORT DASHBOARD'!$C$4,INDEX(MASTER_ZONES!$B:$B,838)))),837,""),""),""))</f>
        <v/>
      </c>
    </row>
    <row r="839">
      <c r="A839">
        <f>IF('WSF DASHBOARD'!$B$4="Area",IF(838&lt;=$D$3,IF(OR('WSF DASHBOARD'!$C$4="",ISNUMBER(SEARCH('WSF DASHBOARD'!$C$4,INDEX(MASTER_AREAS!$B:$B,839)))),838,""),""),IF('WSF DASHBOARD'!$B$4="Zone",IF(838&lt;=$D$4,IF(OR('WSF DASHBOARD'!$C$4="",ISNUMBER(SEARCH('WSF DASHBOARD'!$C$4,INDEX(MASTER_ZONES!$B:$B,839)))),838,""),""),""))</f>
        <v/>
      </c>
      <c r="F839">
        <f>IF('TRANSPORT DASHBOARD'!$B$4="Area",IF(838&lt;=$I$3,IF(OR('TRANSPORT DASHBOARD'!$C$4="",ISNUMBER(SEARCH('TRANSPORT DASHBOARD'!$C$4,INDEX(MASTER_AREAS!$B:$B,839)))),838,""),""),IF('TRANSPORT DASHBOARD'!$B$4="Zone",IF(838&lt;=$I$4,IF(OR('TRANSPORT DASHBOARD'!$C$4="",ISNUMBER(SEARCH('TRANSPORT DASHBOARD'!$C$4,INDEX(MASTER_ZONES!$B:$B,839)))),838,""),""),""))</f>
        <v/>
      </c>
    </row>
    <row r="840">
      <c r="A840">
        <f>IF('WSF DASHBOARD'!$B$4="Area",IF(839&lt;=$D$3,IF(OR('WSF DASHBOARD'!$C$4="",ISNUMBER(SEARCH('WSF DASHBOARD'!$C$4,INDEX(MASTER_AREAS!$B:$B,840)))),839,""),""),IF('WSF DASHBOARD'!$B$4="Zone",IF(839&lt;=$D$4,IF(OR('WSF DASHBOARD'!$C$4="",ISNUMBER(SEARCH('WSF DASHBOARD'!$C$4,INDEX(MASTER_ZONES!$B:$B,840)))),839,""),""),""))</f>
        <v/>
      </c>
      <c r="F840">
        <f>IF('TRANSPORT DASHBOARD'!$B$4="Area",IF(839&lt;=$I$3,IF(OR('TRANSPORT DASHBOARD'!$C$4="",ISNUMBER(SEARCH('TRANSPORT DASHBOARD'!$C$4,INDEX(MASTER_AREAS!$B:$B,840)))),839,""),""),IF('TRANSPORT DASHBOARD'!$B$4="Zone",IF(839&lt;=$I$4,IF(OR('TRANSPORT DASHBOARD'!$C$4="",ISNUMBER(SEARCH('TRANSPORT DASHBOARD'!$C$4,INDEX(MASTER_ZONES!$B:$B,840)))),839,""),""),""))</f>
        <v/>
      </c>
    </row>
    <row r="841">
      <c r="A841">
        <f>IF('WSF DASHBOARD'!$B$4="Area",IF(840&lt;=$D$3,IF(OR('WSF DASHBOARD'!$C$4="",ISNUMBER(SEARCH('WSF DASHBOARD'!$C$4,INDEX(MASTER_AREAS!$B:$B,841)))),840,""),""),IF('WSF DASHBOARD'!$B$4="Zone",IF(840&lt;=$D$4,IF(OR('WSF DASHBOARD'!$C$4="",ISNUMBER(SEARCH('WSF DASHBOARD'!$C$4,INDEX(MASTER_ZONES!$B:$B,841)))),840,""),""),""))</f>
        <v/>
      </c>
      <c r="F841">
        <f>IF('TRANSPORT DASHBOARD'!$B$4="Area",IF(840&lt;=$I$3,IF(OR('TRANSPORT DASHBOARD'!$C$4="",ISNUMBER(SEARCH('TRANSPORT DASHBOARD'!$C$4,INDEX(MASTER_AREAS!$B:$B,841)))),840,""),""),IF('TRANSPORT DASHBOARD'!$B$4="Zone",IF(840&lt;=$I$4,IF(OR('TRANSPORT DASHBOARD'!$C$4="",ISNUMBER(SEARCH('TRANSPORT DASHBOARD'!$C$4,INDEX(MASTER_ZONES!$B:$B,841)))),840,""),""),""))</f>
        <v/>
      </c>
    </row>
    <row r="842">
      <c r="A842">
        <f>IF('WSF DASHBOARD'!$B$4="Area",IF(841&lt;=$D$3,IF(OR('WSF DASHBOARD'!$C$4="",ISNUMBER(SEARCH('WSF DASHBOARD'!$C$4,INDEX(MASTER_AREAS!$B:$B,842)))),841,""),""),IF('WSF DASHBOARD'!$B$4="Zone",IF(841&lt;=$D$4,IF(OR('WSF DASHBOARD'!$C$4="",ISNUMBER(SEARCH('WSF DASHBOARD'!$C$4,INDEX(MASTER_ZONES!$B:$B,842)))),841,""),""),""))</f>
        <v/>
      </c>
      <c r="F842">
        <f>IF('TRANSPORT DASHBOARD'!$B$4="Area",IF(841&lt;=$I$3,IF(OR('TRANSPORT DASHBOARD'!$C$4="",ISNUMBER(SEARCH('TRANSPORT DASHBOARD'!$C$4,INDEX(MASTER_AREAS!$B:$B,842)))),841,""),""),IF('TRANSPORT DASHBOARD'!$B$4="Zone",IF(841&lt;=$I$4,IF(OR('TRANSPORT DASHBOARD'!$C$4="",ISNUMBER(SEARCH('TRANSPORT DASHBOARD'!$C$4,INDEX(MASTER_ZONES!$B:$B,842)))),841,""),""),""))</f>
        <v/>
      </c>
    </row>
    <row r="843">
      <c r="A843">
        <f>IF('WSF DASHBOARD'!$B$4="Area",IF(842&lt;=$D$3,IF(OR('WSF DASHBOARD'!$C$4="",ISNUMBER(SEARCH('WSF DASHBOARD'!$C$4,INDEX(MASTER_AREAS!$B:$B,843)))),842,""),""),IF('WSF DASHBOARD'!$B$4="Zone",IF(842&lt;=$D$4,IF(OR('WSF DASHBOARD'!$C$4="",ISNUMBER(SEARCH('WSF DASHBOARD'!$C$4,INDEX(MASTER_ZONES!$B:$B,843)))),842,""),""),""))</f>
        <v/>
      </c>
      <c r="F843">
        <f>IF('TRANSPORT DASHBOARD'!$B$4="Area",IF(842&lt;=$I$3,IF(OR('TRANSPORT DASHBOARD'!$C$4="",ISNUMBER(SEARCH('TRANSPORT DASHBOARD'!$C$4,INDEX(MASTER_AREAS!$B:$B,843)))),842,""),""),IF('TRANSPORT DASHBOARD'!$B$4="Zone",IF(842&lt;=$I$4,IF(OR('TRANSPORT DASHBOARD'!$C$4="",ISNUMBER(SEARCH('TRANSPORT DASHBOARD'!$C$4,INDEX(MASTER_ZONES!$B:$B,843)))),842,""),""),""))</f>
        <v/>
      </c>
    </row>
    <row r="844">
      <c r="A844">
        <f>IF('WSF DASHBOARD'!$B$4="Area",IF(843&lt;=$D$3,IF(OR('WSF DASHBOARD'!$C$4="",ISNUMBER(SEARCH('WSF DASHBOARD'!$C$4,INDEX(MASTER_AREAS!$B:$B,844)))),843,""),""),IF('WSF DASHBOARD'!$B$4="Zone",IF(843&lt;=$D$4,IF(OR('WSF DASHBOARD'!$C$4="",ISNUMBER(SEARCH('WSF DASHBOARD'!$C$4,INDEX(MASTER_ZONES!$B:$B,844)))),843,""),""),""))</f>
        <v/>
      </c>
      <c r="F844">
        <f>IF('TRANSPORT DASHBOARD'!$B$4="Area",IF(843&lt;=$I$3,IF(OR('TRANSPORT DASHBOARD'!$C$4="",ISNUMBER(SEARCH('TRANSPORT DASHBOARD'!$C$4,INDEX(MASTER_AREAS!$B:$B,844)))),843,""),""),IF('TRANSPORT DASHBOARD'!$B$4="Zone",IF(843&lt;=$I$4,IF(OR('TRANSPORT DASHBOARD'!$C$4="",ISNUMBER(SEARCH('TRANSPORT DASHBOARD'!$C$4,INDEX(MASTER_ZONES!$B:$B,844)))),843,""),""),""))</f>
        <v/>
      </c>
    </row>
    <row r="845">
      <c r="A845">
        <f>IF('WSF DASHBOARD'!$B$4="Area",IF(844&lt;=$D$3,IF(OR('WSF DASHBOARD'!$C$4="",ISNUMBER(SEARCH('WSF DASHBOARD'!$C$4,INDEX(MASTER_AREAS!$B:$B,845)))),844,""),""),IF('WSF DASHBOARD'!$B$4="Zone",IF(844&lt;=$D$4,IF(OR('WSF DASHBOARD'!$C$4="",ISNUMBER(SEARCH('WSF DASHBOARD'!$C$4,INDEX(MASTER_ZONES!$B:$B,845)))),844,""),""),""))</f>
        <v/>
      </c>
      <c r="F845">
        <f>IF('TRANSPORT DASHBOARD'!$B$4="Area",IF(844&lt;=$I$3,IF(OR('TRANSPORT DASHBOARD'!$C$4="",ISNUMBER(SEARCH('TRANSPORT DASHBOARD'!$C$4,INDEX(MASTER_AREAS!$B:$B,845)))),844,""),""),IF('TRANSPORT DASHBOARD'!$B$4="Zone",IF(844&lt;=$I$4,IF(OR('TRANSPORT DASHBOARD'!$C$4="",ISNUMBER(SEARCH('TRANSPORT DASHBOARD'!$C$4,INDEX(MASTER_ZONES!$B:$B,845)))),844,""),""),""))</f>
        <v/>
      </c>
    </row>
    <row r="846">
      <c r="A846">
        <f>IF('WSF DASHBOARD'!$B$4="Area",IF(845&lt;=$D$3,IF(OR('WSF DASHBOARD'!$C$4="",ISNUMBER(SEARCH('WSF DASHBOARD'!$C$4,INDEX(MASTER_AREAS!$B:$B,846)))),845,""),""),IF('WSF DASHBOARD'!$B$4="Zone",IF(845&lt;=$D$4,IF(OR('WSF DASHBOARD'!$C$4="",ISNUMBER(SEARCH('WSF DASHBOARD'!$C$4,INDEX(MASTER_ZONES!$B:$B,846)))),845,""),""),""))</f>
        <v/>
      </c>
      <c r="F846">
        <f>IF('TRANSPORT DASHBOARD'!$B$4="Area",IF(845&lt;=$I$3,IF(OR('TRANSPORT DASHBOARD'!$C$4="",ISNUMBER(SEARCH('TRANSPORT DASHBOARD'!$C$4,INDEX(MASTER_AREAS!$B:$B,846)))),845,""),""),IF('TRANSPORT DASHBOARD'!$B$4="Zone",IF(845&lt;=$I$4,IF(OR('TRANSPORT DASHBOARD'!$C$4="",ISNUMBER(SEARCH('TRANSPORT DASHBOARD'!$C$4,INDEX(MASTER_ZONES!$B:$B,846)))),845,""),""),""))</f>
        <v/>
      </c>
    </row>
    <row r="847">
      <c r="A847">
        <f>IF('WSF DASHBOARD'!$B$4="Area",IF(846&lt;=$D$3,IF(OR('WSF DASHBOARD'!$C$4="",ISNUMBER(SEARCH('WSF DASHBOARD'!$C$4,INDEX(MASTER_AREAS!$B:$B,847)))),846,""),""),IF('WSF DASHBOARD'!$B$4="Zone",IF(846&lt;=$D$4,IF(OR('WSF DASHBOARD'!$C$4="",ISNUMBER(SEARCH('WSF DASHBOARD'!$C$4,INDEX(MASTER_ZONES!$B:$B,847)))),846,""),""),""))</f>
        <v/>
      </c>
      <c r="F847">
        <f>IF('TRANSPORT DASHBOARD'!$B$4="Area",IF(846&lt;=$I$3,IF(OR('TRANSPORT DASHBOARD'!$C$4="",ISNUMBER(SEARCH('TRANSPORT DASHBOARD'!$C$4,INDEX(MASTER_AREAS!$B:$B,847)))),846,""),""),IF('TRANSPORT DASHBOARD'!$B$4="Zone",IF(846&lt;=$I$4,IF(OR('TRANSPORT DASHBOARD'!$C$4="",ISNUMBER(SEARCH('TRANSPORT DASHBOARD'!$C$4,INDEX(MASTER_ZONES!$B:$B,847)))),846,""),""),""))</f>
        <v/>
      </c>
    </row>
    <row r="848">
      <c r="A848">
        <f>IF('WSF DASHBOARD'!$B$4="Area",IF(847&lt;=$D$3,IF(OR('WSF DASHBOARD'!$C$4="",ISNUMBER(SEARCH('WSF DASHBOARD'!$C$4,INDEX(MASTER_AREAS!$B:$B,848)))),847,""),""),IF('WSF DASHBOARD'!$B$4="Zone",IF(847&lt;=$D$4,IF(OR('WSF DASHBOARD'!$C$4="",ISNUMBER(SEARCH('WSF DASHBOARD'!$C$4,INDEX(MASTER_ZONES!$B:$B,848)))),847,""),""),""))</f>
        <v/>
      </c>
      <c r="F848">
        <f>IF('TRANSPORT DASHBOARD'!$B$4="Area",IF(847&lt;=$I$3,IF(OR('TRANSPORT DASHBOARD'!$C$4="",ISNUMBER(SEARCH('TRANSPORT DASHBOARD'!$C$4,INDEX(MASTER_AREAS!$B:$B,848)))),847,""),""),IF('TRANSPORT DASHBOARD'!$B$4="Zone",IF(847&lt;=$I$4,IF(OR('TRANSPORT DASHBOARD'!$C$4="",ISNUMBER(SEARCH('TRANSPORT DASHBOARD'!$C$4,INDEX(MASTER_ZONES!$B:$B,848)))),847,""),""),""))</f>
        <v/>
      </c>
    </row>
    <row r="849">
      <c r="A849">
        <f>IF('WSF DASHBOARD'!$B$4="Area",IF(848&lt;=$D$3,IF(OR('WSF DASHBOARD'!$C$4="",ISNUMBER(SEARCH('WSF DASHBOARD'!$C$4,INDEX(MASTER_AREAS!$B:$B,849)))),848,""),""),IF('WSF DASHBOARD'!$B$4="Zone",IF(848&lt;=$D$4,IF(OR('WSF DASHBOARD'!$C$4="",ISNUMBER(SEARCH('WSF DASHBOARD'!$C$4,INDEX(MASTER_ZONES!$B:$B,849)))),848,""),""),""))</f>
        <v/>
      </c>
      <c r="F849">
        <f>IF('TRANSPORT DASHBOARD'!$B$4="Area",IF(848&lt;=$I$3,IF(OR('TRANSPORT DASHBOARD'!$C$4="",ISNUMBER(SEARCH('TRANSPORT DASHBOARD'!$C$4,INDEX(MASTER_AREAS!$B:$B,849)))),848,""),""),IF('TRANSPORT DASHBOARD'!$B$4="Zone",IF(848&lt;=$I$4,IF(OR('TRANSPORT DASHBOARD'!$C$4="",ISNUMBER(SEARCH('TRANSPORT DASHBOARD'!$C$4,INDEX(MASTER_ZONES!$B:$B,849)))),848,""),""),""))</f>
        <v/>
      </c>
    </row>
    <row r="850">
      <c r="A850">
        <f>IF('WSF DASHBOARD'!$B$4="Area",IF(849&lt;=$D$3,IF(OR('WSF DASHBOARD'!$C$4="",ISNUMBER(SEARCH('WSF DASHBOARD'!$C$4,INDEX(MASTER_AREAS!$B:$B,850)))),849,""),""),IF('WSF DASHBOARD'!$B$4="Zone",IF(849&lt;=$D$4,IF(OR('WSF DASHBOARD'!$C$4="",ISNUMBER(SEARCH('WSF DASHBOARD'!$C$4,INDEX(MASTER_ZONES!$B:$B,850)))),849,""),""),""))</f>
        <v/>
      </c>
      <c r="F850">
        <f>IF('TRANSPORT DASHBOARD'!$B$4="Area",IF(849&lt;=$I$3,IF(OR('TRANSPORT DASHBOARD'!$C$4="",ISNUMBER(SEARCH('TRANSPORT DASHBOARD'!$C$4,INDEX(MASTER_AREAS!$B:$B,850)))),849,""),""),IF('TRANSPORT DASHBOARD'!$B$4="Zone",IF(849&lt;=$I$4,IF(OR('TRANSPORT DASHBOARD'!$C$4="",ISNUMBER(SEARCH('TRANSPORT DASHBOARD'!$C$4,INDEX(MASTER_ZONES!$B:$B,850)))),849,""),""),""))</f>
        <v/>
      </c>
    </row>
    <row r="851">
      <c r="A851">
        <f>IF('WSF DASHBOARD'!$B$4="Area",IF(850&lt;=$D$3,IF(OR('WSF DASHBOARD'!$C$4="",ISNUMBER(SEARCH('WSF DASHBOARD'!$C$4,INDEX(MASTER_AREAS!$B:$B,851)))),850,""),""),IF('WSF DASHBOARD'!$B$4="Zone",IF(850&lt;=$D$4,IF(OR('WSF DASHBOARD'!$C$4="",ISNUMBER(SEARCH('WSF DASHBOARD'!$C$4,INDEX(MASTER_ZONES!$B:$B,851)))),850,""),""),""))</f>
        <v/>
      </c>
      <c r="F851">
        <f>IF('TRANSPORT DASHBOARD'!$B$4="Area",IF(850&lt;=$I$3,IF(OR('TRANSPORT DASHBOARD'!$C$4="",ISNUMBER(SEARCH('TRANSPORT DASHBOARD'!$C$4,INDEX(MASTER_AREAS!$B:$B,851)))),850,""),""),IF('TRANSPORT DASHBOARD'!$B$4="Zone",IF(850&lt;=$I$4,IF(OR('TRANSPORT DASHBOARD'!$C$4="",ISNUMBER(SEARCH('TRANSPORT DASHBOARD'!$C$4,INDEX(MASTER_ZONES!$B:$B,851)))),850,""),""),""))</f>
        <v/>
      </c>
    </row>
    <row r="852">
      <c r="A852">
        <f>IF('WSF DASHBOARD'!$B$4="Area",IF(851&lt;=$D$3,IF(OR('WSF DASHBOARD'!$C$4="",ISNUMBER(SEARCH('WSF DASHBOARD'!$C$4,INDEX(MASTER_AREAS!$B:$B,852)))),851,""),""),IF('WSF DASHBOARD'!$B$4="Zone",IF(851&lt;=$D$4,IF(OR('WSF DASHBOARD'!$C$4="",ISNUMBER(SEARCH('WSF DASHBOARD'!$C$4,INDEX(MASTER_ZONES!$B:$B,852)))),851,""),""),""))</f>
        <v/>
      </c>
      <c r="F852">
        <f>IF('TRANSPORT DASHBOARD'!$B$4="Area",IF(851&lt;=$I$3,IF(OR('TRANSPORT DASHBOARD'!$C$4="",ISNUMBER(SEARCH('TRANSPORT DASHBOARD'!$C$4,INDEX(MASTER_AREAS!$B:$B,852)))),851,""),""),IF('TRANSPORT DASHBOARD'!$B$4="Zone",IF(851&lt;=$I$4,IF(OR('TRANSPORT DASHBOARD'!$C$4="",ISNUMBER(SEARCH('TRANSPORT DASHBOARD'!$C$4,INDEX(MASTER_ZONES!$B:$B,852)))),851,""),""),""))</f>
        <v/>
      </c>
    </row>
    <row r="853">
      <c r="A853">
        <f>IF('WSF DASHBOARD'!$B$4="Area",IF(852&lt;=$D$3,IF(OR('WSF DASHBOARD'!$C$4="",ISNUMBER(SEARCH('WSF DASHBOARD'!$C$4,INDEX(MASTER_AREAS!$B:$B,853)))),852,""),""),IF('WSF DASHBOARD'!$B$4="Zone",IF(852&lt;=$D$4,IF(OR('WSF DASHBOARD'!$C$4="",ISNUMBER(SEARCH('WSF DASHBOARD'!$C$4,INDEX(MASTER_ZONES!$B:$B,853)))),852,""),""),""))</f>
        <v/>
      </c>
      <c r="F853">
        <f>IF('TRANSPORT DASHBOARD'!$B$4="Area",IF(852&lt;=$I$3,IF(OR('TRANSPORT DASHBOARD'!$C$4="",ISNUMBER(SEARCH('TRANSPORT DASHBOARD'!$C$4,INDEX(MASTER_AREAS!$B:$B,853)))),852,""),""),IF('TRANSPORT DASHBOARD'!$B$4="Zone",IF(852&lt;=$I$4,IF(OR('TRANSPORT DASHBOARD'!$C$4="",ISNUMBER(SEARCH('TRANSPORT DASHBOARD'!$C$4,INDEX(MASTER_ZONES!$B:$B,853)))),852,""),""),""))</f>
        <v/>
      </c>
    </row>
    <row r="854">
      <c r="A854">
        <f>IF('WSF DASHBOARD'!$B$4="Area",IF(853&lt;=$D$3,IF(OR('WSF DASHBOARD'!$C$4="",ISNUMBER(SEARCH('WSF DASHBOARD'!$C$4,INDEX(MASTER_AREAS!$B:$B,854)))),853,""),""),IF('WSF DASHBOARD'!$B$4="Zone",IF(853&lt;=$D$4,IF(OR('WSF DASHBOARD'!$C$4="",ISNUMBER(SEARCH('WSF DASHBOARD'!$C$4,INDEX(MASTER_ZONES!$B:$B,854)))),853,""),""),""))</f>
        <v/>
      </c>
      <c r="F854">
        <f>IF('TRANSPORT DASHBOARD'!$B$4="Area",IF(853&lt;=$I$3,IF(OR('TRANSPORT DASHBOARD'!$C$4="",ISNUMBER(SEARCH('TRANSPORT DASHBOARD'!$C$4,INDEX(MASTER_AREAS!$B:$B,854)))),853,""),""),IF('TRANSPORT DASHBOARD'!$B$4="Zone",IF(853&lt;=$I$4,IF(OR('TRANSPORT DASHBOARD'!$C$4="",ISNUMBER(SEARCH('TRANSPORT DASHBOARD'!$C$4,INDEX(MASTER_ZONES!$B:$B,854)))),853,""),""),""))</f>
        <v/>
      </c>
    </row>
    <row r="855">
      <c r="A855">
        <f>IF('WSF DASHBOARD'!$B$4="Area",IF(854&lt;=$D$3,IF(OR('WSF DASHBOARD'!$C$4="",ISNUMBER(SEARCH('WSF DASHBOARD'!$C$4,INDEX(MASTER_AREAS!$B:$B,855)))),854,""),""),IF('WSF DASHBOARD'!$B$4="Zone",IF(854&lt;=$D$4,IF(OR('WSF DASHBOARD'!$C$4="",ISNUMBER(SEARCH('WSF DASHBOARD'!$C$4,INDEX(MASTER_ZONES!$B:$B,855)))),854,""),""),""))</f>
        <v/>
      </c>
      <c r="F855">
        <f>IF('TRANSPORT DASHBOARD'!$B$4="Area",IF(854&lt;=$I$3,IF(OR('TRANSPORT DASHBOARD'!$C$4="",ISNUMBER(SEARCH('TRANSPORT DASHBOARD'!$C$4,INDEX(MASTER_AREAS!$B:$B,855)))),854,""),""),IF('TRANSPORT DASHBOARD'!$B$4="Zone",IF(854&lt;=$I$4,IF(OR('TRANSPORT DASHBOARD'!$C$4="",ISNUMBER(SEARCH('TRANSPORT DASHBOARD'!$C$4,INDEX(MASTER_ZONES!$B:$B,855)))),854,""),""),""))</f>
        <v/>
      </c>
    </row>
    <row r="856">
      <c r="A856">
        <f>IF('WSF DASHBOARD'!$B$4="Area",IF(855&lt;=$D$3,IF(OR('WSF DASHBOARD'!$C$4="",ISNUMBER(SEARCH('WSF DASHBOARD'!$C$4,INDEX(MASTER_AREAS!$B:$B,856)))),855,""),""),IF('WSF DASHBOARD'!$B$4="Zone",IF(855&lt;=$D$4,IF(OR('WSF DASHBOARD'!$C$4="",ISNUMBER(SEARCH('WSF DASHBOARD'!$C$4,INDEX(MASTER_ZONES!$B:$B,856)))),855,""),""),""))</f>
        <v/>
      </c>
      <c r="F856">
        <f>IF('TRANSPORT DASHBOARD'!$B$4="Area",IF(855&lt;=$I$3,IF(OR('TRANSPORT DASHBOARD'!$C$4="",ISNUMBER(SEARCH('TRANSPORT DASHBOARD'!$C$4,INDEX(MASTER_AREAS!$B:$B,856)))),855,""),""),IF('TRANSPORT DASHBOARD'!$B$4="Zone",IF(855&lt;=$I$4,IF(OR('TRANSPORT DASHBOARD'!$C$4="",ISNUMBER(SEARCH('TRANSPORT DASHBOARD'!$C$4,INDEX(MASTER_ZONES!$B:$B,856)))),855,""),""),""))</f>
        <v/>
      </c>
    </row>
    <row r="857">
      <c r="A857">
        <f>IF('WSF DASHBOARD'!$B$4="Area",IF(856&lt;=$D$3,IF(OR('WSF DASHBOARD'!$C$4="",ISNUMBER(SEARCH('WSF DASHBOARD'!$C$4,INDEX(MASTER_AREAS!$B:$B,857)))),856,""),""),IF('WSF DASHBOARD'!$B$4="Zone",IF(856&lt;=$D$4,IF(OR('WSF DASHBOARD'!$C$4="",ISNUMBER(SEARCH('WSF DASHBOARD'!$C$4,INDEX(MASTER_ZONES!$B:$B,857)))),856,""),""),""))</f>
        <v/>
      </c>
      <c r="F857">
        <f>IF('TRANSPORT DASHBOARD'!$B$4="Area",IF(856&lt;=$I$3,IF(OR('TRANSPORT DASHBOARD'!$C$4="",ISNUMBER(SEARCH('TRANSPORT DASHBOARD'!$C$4,INDEX(MASTER_AREAS!$B:$B,857)))),856,""),""),IF('TRANSPORT DASHBOARD'!$B$4="Zone",IF(856&lt;=$I$4,IF(OR('TRANSPORT DASHBOARD'!$C$4="",ISNUMBER(SEARCH('TRANSPORT DASHBOARD'!$C$4,INDEX(MASTER_ZONES!$B:$B,857)))),856,""),""),""))</f>
        <v/>
      </c>
    </row>
    <row r="858">
      <c r="A858">
        <f>IF('WSF DASHBOARD'!$B$4="Area",IF(857&lt;=$D$3,IF(OR('WSF DASHBOARD'!$C$4="",ISNUMBER(SEARCH('WSF DASHBOARD'!$C$4,INDEX(MASTER_AREAS!$B:$B,858)))),857,""),""),IF('WSF DASHBOARD'!$B$4="Zone",IF(857&lt;=$D$4,IF(OR('WSF DASHBOARD'!$C$4="",ISNUMBER(SEARCH('WSF DASHBOARD'!$C$4,INDEX(MASTER_ZONES!$B:$B,858)))),857,""),""),""))</f>
        <v/>
      </c>
      <c r="F858">
        <f>IF('TRANSPORT DASHBOARD'!$B$4="Area",IF(857&lt;=$I$3,IF(OR('TRANSPORT DASHBOARD'!$C$4="",ISNUMBER(SEARCH('TRANSPORT DASHBOARD'!$C$4,INDEX(MASTER_AREAS!$B:$B,858)))),857,""),""),IF('TRANSPORT DASHBOARD'!$B$4="Zone",IF(857&lt;=$I$4,IF(OR('TRANSPORT DASHBOARD'!$C$4="",ISNUMBER(SEARCH('TRANSPORT DASHBOARD'!$C$4,INDEX(MASTER_ZONES!$B:$B,858)))),857,""),""),""))</f>
        <v/>
      </c>
    </row>
    <row r="859">
      <c r="A859">
        <f>IF('WSF DASHBOARD'!$B$4="Area",IF(858&lt;=$D$3,IF(OR('WSF DASHBOARD'!$C$4="",ISNUMBER(SEARCH('WSF DASHBOARD'!$C$4,INDEX(MASTER_AREAS!$B:$B,859)))),858,""),""),IF('WSF DASHBOARD'!$B$4="Zone",IF(858&lt;=$D$4,IF(OR('WSF DASHBOARD'!$C$4="",ISNUMBER(SEARCH('WSF DASHBOARD'!$C$4,INDEX(MASTER_ZONES!$B:$B,859)))),858,""),""),""))</f>
        <v/>
      </c>
      <c r="F859">
        <f>IF('TRANSPORT DASHBOARD'!$B$4="Area",IF(858&lt;=$I$3,IF(OR('TRANSPORT DASHBOARD'!$C$4="",ISNUMBER(SEARCH('TRANSPORT DASHBOARD'!$C$4,INDEX(MASTER_AREAS!$B:$B,859)))),858,""),""),IF('TRANSPORT DASHBOARD'!$B$4="Zone",IF(858&lt;=$I$4,IF(OR('TRANSPORT DASHBOARD'!$C$4="",ISNUMBER(SEARCH('TRANSPORT DASHBOARD'!$C$4,INDEX(MASTER_ZONES!$B:$B,859)))),858,""),""),""))</f>
        <v/>
      </c>
    </row>
    <row r="860">
      <c r="A860">
        <f>IF('WSF DASHBOARD'!$B$4="Area",IF(859&lt;=$D$3,IF(OR('WSF DASHBOARD'!$C$4="",ISNUMBER(SEARCH('WSF DASHBOARD'!$C$4,INDEX(MASTER_AREAS!$B:$B,860)))),859,""),""),IF('WSF DASHBOARD'!$B$4="Zone",IF(859&lt;=$D$4,IF(OR('WSF DASHBOARD'!$C$4="",ISNUMBER(SEARCH('WSF DASHBOARD'!$C$4,INDEX(MASTER_ZONES!$B:$B,860)))),859,""),""),""))</f>
        <v/>
      </c>
      <c r="F860">
        <f>IF('TRANSPORT DASHBOARD'!$B$4="Area",IF(859&lt;=$I$3,IF(OR('TRANSPORT DASHBOARD'!$C$4="",ISNUMBER(SEARCH('TRANSPORT DASHBOARD'!$C$4,INDEX(MASTER_AREAS!$B:$B,860)))),859,""),""),IF('TRANSPORT DASHBOARD'!$B$4="Zone",IF(859&lt;=$I$4,IF(OR('TRANSPORT DASHBOARD'!$C$4="",ISNUMBER(SEARCH('TRANSPORT DASHBOARD'!$C$4,INDEX(MASTER_ZONES!$B:$B,860)))),859,""),""),""))</f>
        <v/>
      </c>
    </row>
    <row r="861">
      <c r="A861">
        <f>IF('WSF DASHBOARD'!$B$4="Area",IF(860&lt;=$D$3,IF(OR('WSF DASHBOARD'!$C$4="",ISNUMBER(SEARCH('WSF DASHBOARD'!$C$4,INDEX(MASTER_AREAS!$B:$B,861)))),860,""),""),IF('WSF DASHBOARD'!$B$4="Zone",IF(860&lt;=$D$4,IF(OR('WSF DASHBOARD'!$C$4="",ISNUMBER(SEARCH('WSF DASHBOARD'!$C$4,INDEX(MASTER_ZONES!$B:$B,861)))),860,""),""),""))</f>
        <v/>
      </c>
      <c r="F861">
        <f>IF('TRANSPORT DASHBOARD'!$B$4="Area",IF(860&lt;=$I$3,IF(OR('TRANSPORT DASHBOARD'!$C$4="",ISNUMBER(SEARCH('TRANSPORT DASHBOARD'!$C$4,INDEX(MASTER_AREAS!$B:$B,861)))),860,""),""),IF('TRANSPORT DASHBOARD'!$B$4="Zone",IF(860&lt;=$I$4,IF(OR('TRANSPORT DASHBOARD'!$C$4="",ISNUMBER(SEARCH('TRANSPORT DASHBOARD'!$C$4,INDEX(MASTER_ZONES!$B:$B,861)))),860,""),""),""))</f>
        <v/>
      </c>
    </row>
    <row r="862">
      <c r="A862">
        <f>IF('WSF DASHBOARD'!$B$4="Area",IF(861&lt;=$D$3,IF(OR('WSF DASHBOARD'!$C$4="",ISNUMBER(SEARCH('WSF DASHBOARD'!$C$4,INDEX(MASTER_AREAS!$B:$B,862)))),861,""),""),IF('WSF DASHBOARD'!$B$4="Zone",IF(861&lt;=$D$4,IF(OR('WSF DASHBOARD'!$C$4="",ISNUMBER(SEARCH('WSF DASHBOARD'!$C$4,INDEX(MASTER_ZONES!$B:$B,862)))),861,""),""),""))</f>
        <v/>
      </c>
      <c r="F862">
        <f>IF('TRANSPORT DASHBOARD'!$B$4="Area",IF(861&lt;=$I$3,IF(OR('TRANSPORT DASHBOARD'!$C$4="",ISNUMBER(SEARCH('TRANSPORT DASHBOARD'!$C$4,INDEX(MASTER_AREAS!$B:$B,862)))),861,""),""),IF('TRANSPORT DASHBOARD'!$B$4="Zone",IF(861&lt;=$I$4,IF(OR('TRANSPORT DASHBOARD'!$C$4="",ISNUMBER(SEARCH('TRANSPORT DASHBOARD'!$C$4,INDEX(MASTER_ZONES!$B:$B,862)))),861,""),""),""))</f>
        <v/>
      </c>
    </row>
    <row r="863">
      <c r="A863">
        <f>IF('WSF DASHBOARD'!$B$4="Area",IF(862&lt;=$D$3,IF(OR('WSF DASHBOARD'!$C$4="",ISNUMBER(SEARCH('WSF DASHBOARD'!$C$4,INDEX(MASTER_AREAS!$B:$B,863)))),862,""),""),IF('WSF DASHBOARD'!$B$4="Zone",IF(862&lt;=$D$4,IF(OR('WSF DASHBOARD'!$C$4="",ISNUMBER(SEARCH('WSF DASHBOARD'!$C$4,INDEX(MASTER_ZONES!$B:$B,863)))),862,""),""),""))</f>
        <v/>
      </c>
      <c r="F863">
        <f>IF('TRANSPORT DASHBOARD'!$B$4="Area",IF(862&lt;=$I$3,IF(OR('TRANSPORT DASHBOARD'!$C$4="",ISNUMBER(SEARCH('TRANSPORT DASHBOARD'!$C$4,INDEX(MASTER_AREAS!$B:$B,863)))),862,""),""),IF('TRANSPORT DASHBOARD'!$B$4="Zone",IF(862&lt;=$I$4,IF(OR('TRANSPORT DASHBOARD'!$C$4="",ISNUMBER(SEARCH('TRANSPORT DASHBOARD'!$C$4,INDEX(MASTER_ZONES!$B:$B,863)))),862,""),""),""))</f>
        <v/>
      </c>
    </row>
    <row r="864">
      <c r="A864">
        <f>IF('WSF DASHBOARD'!$B$4="Area",IF(863&lt;=$D$3,IF(OR('WSF DASHBOARD'!$C$4="",ISNUMBER(SEARCH('WSF DASHBOARD'!$C$4,INDEX(MASTER_AREAS!$B:$B,864)))),863,""),""),IF('WSF DASHBOARD'!$B$4="Zone",IF(863&lt;=$D$4,IF(OR('WSF DASHBOARD'!$C$4="",ISNUMBER(SEARCH('WSF DASHBOARD'!$C$4,INDEX(MASTER_ZONES!$B:$B,864)))),863,""),""),""))</f>
        <v/>
      </c>
      <c r="F864">
        <f>IF('TRANSPORT DASHBOARD'!$B$4="Area",IF(863&lt;=$I$3,IF(OR('TRANSPORT DASHBOARD'!$C$4="",ISNUMBER(SEARCH('TRANSPORT DASHBOARD'!$C$4,INDEX(MASTER_AREAS!$B:$B,864)))),863,""),""),IF('TRANSPORT DASHBOARD'!$B$4="Zone",IF(863&lt;=$I$4,IF(OR('TRANSPORT DASHBOARD'!$C$4="",ISNUMBER(SEARCH('TRANSPORT DASHBOARD'!$C$4,INDEX(MASTER_ZONES!$B:$B,864)))),863,""),""),""))</f>
        <v/>
      </c>
    </row>
    <row r="865">
      <c r="A865">
        <f>IF('WSF DASHBOARD'!$B$4="Area",IF(864&lt;=$D$3,IF(OR('WSF DASHBOARD'!$C$4="",ISNUMBER(SEARCH('WSF DASHBOARD'!$C$4,INDEX(MASTER_AREAS!$B:$B,865)))),864,""),""),IF('WSF DASHBOARD'!$B$4="Zone",IF(864&lt;=$D$4,IF(OR('WSF DASHBOARD'!$C$4="",ISNUMBER(SEARCH('WSF DASHBOARD'!$C$4,INDEX(MASTER_ZONES!$B:$B,865)))),864,""),""),""))</f>
        <v/>
      </c>
      <c r="F865">
        <f>IF('TRANSPORT DASHBOARD'!$B$4="Area",IF(864&lt;=$I$3,IF(OR('TRANSPORT DASHBOARD'!$C$4="",ISNUMBER(SEARCH('TRANSPORT DASHBOARD'!$C$4,INDEX(MASTER_AREAS!$B:$B,865)))),864,""),""),IF('TRANSPORT DASHBOARD'!$B$4="Zone",IF(864&lt;=$I$4,IF(OR('TRANSPORT DASHBOARD'!$C$4="",ISNUMBER(SEARCH('TRANSPORT DASHBOARD'!$C$4,INDEX(MASTER_ZONES!$B:$B,865)))),864,""),""),""))</f>
        <v/>
      </c>
    </row>
    <row r="866">
      <c r="A866">
        <f>IF('WSF DASHBOARD'!$B$4="Area",IF(865&lt;=$D$3,IF(OR('WSF DASHBOARD'!$C$4="",ISNUMBER(SEARCH('WSF DASHBOARD'!$C$4,INDEX(MASTER_AREAS!$B:$B,866)))),865,""),""),IF('WSF DASHBOARD'!$B$4="Zone",IF(865&lt;=$D$4,IF(OR('WSF DASHBOARD'!$C$4="",ISNUMBER(SEARCH('WSF DASHBOARD'!$C$4,INDEX(MASTER_ZONES!$B:$B,866)))),865,""),""),""))</f>
        <v/>
      </c>
      <c r="F866">
        <f>IF('TRANSPORT DASHBOARD'!$B$4="Area",IF(865&lt;=$I$3,IF(OR('TRANSPORT DASHBOARD'!$C$4="",ISNUMBER(SEARCH('TRANSPORT DASHBOARD'!$C$4,INDEX(MASTER_AREAS!$B:$B,866)))),865,""),""),IF('TRANSPORT DASHBOARD'!$B$4="Zone",IF(865&lt;=$I$4,IF(OR('TRANSPORT DASHBOARD'!$C$4="",ISNUMBER(SEARCH('TRANSPORT DASHBOARD'!$C$4,INDEX(MASTER_ZONES!$B:$B,866)))),865,""),""),""))</f>
        <v/>
      </c>
    </row>
    <row r="867">
      <c r="A867">
        <f>IF('WSF DASHBOARD'!$B$4="Area",IF(866&lt;=$D$3,IF(OR('WSF DASHBOARD'!$C$4="",ISNUMBER(SEARCH('WSF DASHBOARD'!$C$4,INDEX(MASTER_AREAS!$B:$B,867)))),866,""),""),IF('WSF DASHBOARD'!$B$4="Zone",IF(866&lt;=$D$4,IF(OR('WSF DASHBOARD'!$C$4="",ISNUMBER(SEARCH('WSF DASHBOARD'!$C$4,INDEX(MASTER_ZONES!$B:$B,867)))),866,""),""),""))</f>
        <v/>
      </c>
      <c r="F867">
        <f>IF('TRANSPORT DASHBOARD'!$B$4="Area",IF(866&lt;=$I$3,IF(OR('TRANSPORT DASHBOARD'!$C$4="",ISNUMBER(SEARCH('TRANSPORT DASHBOARD'!$C$4,INDEX(MASTER_AREAS!$B:$B,867)))),866,""),""),IF('TRANSPORT DASHBOARD'!$B$4="Zone",IF(866&lt;=$I$4,IF(OR('TRANSPORT DASHBOARD'!$C$4="",ISNUMBER(SEARCH('TRANSPORT DASHBOARD'!$C$4,INDEX(MASTER_ZONES!$B:$B,867)))),866,""),""),""))</f>
        <v/>
      </c>
    </row>
    <row r="868">
      <c r="A868">
        <f>IF('WSF DASHBOARD'!$B$4="Area",IF(867&lt;=$D$3,IF(OR('WSF DASHBOARD'!$C$4="",ISNUMBER(SEARCH('WSF DASHBOARD'!$C$4,INDEX(MASTER_AREAS!$B:$B,868)))),867,""),""),IF('WSF DASHBOARD'!$B$4="Zone",IF(867&lt;=$D$4,IF(OR('WSF DASHBOARD'!$C$4="",ISNUMBER(SEARCH('WSF DASHBOARD'!$C$4,INDEX(MASTER_ZONES!$B:$B,868)))),867,""),""),""))</f>
        <v/>
      </c>
      <c r="F868">
        <f>IF('TRANSPORT DASHBOARD'!$B$4="Area",IF(867&lt;=$I$3,IF(OR('TRANSPORT DASHBOARD'!$C$4="",ISNUMBER(SEARCH('TRANSPORT DASHBOARD'!$C$4,INDEX(MASTER_AREAS!$B:$B,868)))),867,""),""),IF('TRANSPORT DASHBOARD'!$B$4="Zone",IF(867&lt;=$I$4,IF(OR('TRANSPORT DASHBOARD'!$C$4="",ISNUMBER(SEARCH('TRANSPORT DASHBOARD'!$C$4,INDEX(MASTER_ZONES!$B:$B,868)))),867,""),""),""))</f>
        <v/>
      </c>
    </row>
    <row r="869">
      <c r="A869">
        <f>IF('WSF DASHBOARD'!$B$4="Area",IF(868&lt;=$D$3,IF(OR('WSF DASHBOARD'!$C$4="",ISNUMBER(SEARCH('WSF DASHBOARD'!$C$4,INDEX(MASTER_AREAS!$B:$B,869)))),868,""),""),IF('WSF DASHBOARD'!$B$4="Zone",IF(868&lt;=$D$4,IF(OR('WSF DASHBOARD'!$C$4="",ISNUMBER(SEARCH('WSF DASHBOARD'!$C$4,INDEX(MASTER_ZONES!$B:$B,869)))),868,""),""),""))</f>
        <v/>
      </c>
      <c r="F869">
        <f>IF('TRANSPORT DASHBOARD'!$B$4="Area",IF(868&lt;=$I$3,IF(OR('TRANSPORT DASHBOARD'!$C$4="",ISNUMBER(SEARCH('TRANSPORT DASHBOARD'!$C$4,INDEX(MASTER_AREAS!$B:$B,869)))),868,""),""),IF('TRANSPORT DASHBOARD'!$B$4="Zone",IF(868&lt;=$I$4,IF(OR('TRANSPORT DASHBOARD'!$C$4="",ISNUMBER(SEARCH('TRANSPORT DASHBOARD'!$C$4,INDEX(MASTER_ZONES!$B:$B,869)))),868,""),""),""))</f>
        <v/>
      </c>
    </row>
    <row r="870">
      <c r="A870">
        <f>IF('WSF DASHBOARD'!$B$4="Area",IF(869&lt;=$D$3,IF(OR('WSF DASHBOARD'!$C$4="",ISNUMBER(SEARCH('WSF DASHBOARD'!$C$4,INDEX(MASTER_AREAS!$B:$B,870)))),869,""),""),IF('WSF DASHBOARD'!$B$4="Zone",IF(869&lt;=$D$4,IF(OR('WSF DASHBOARD'!$C$4="",ISNUMBER(SEARCH('WSF DASHBOARD'!$C$4,INDEX(MASTER_ZONES!$B:$B,870)))),869,""),""),""))</f>
        <v/>
      </c>
      <c r="F870">
        <f>IF('TRANSPORT DASHBOARD'!$B$4="Area",IF(869&lt;=$I$3,IF(OR('TRANSPORT DASHBOARD'!$C$4="",ISNUMBER(SEARCH('TRANSPORT DASHBOARD'!$C$4,INDEX(MASTER_AREAS!$B:$B,870)))),869,""),""),IF('TRANSPORT DASHBOARD'!$B$4="Zone",IF(869&lt;=$I$4,IF(OR('TRANSPORT DASHBOARD'!$C$4="",ISNUMBER(SEARCH('TRANSPORT DASHBOARD'!$C$4,INDEX(MASTER_ZONES!$B:$B,870)))),869,""),""),""))</f>
        <v/>
      </c>
    </row>
    <row r="871">
      <c r="A871">
        <f>IF('WSF DASHBOARD'!$B$4="Area",IF(870&lt;=$D$3,IF(OR('WSF DASHBOARD'!$C$4="",ISNUMBER(SEARCH('WSF DASHBOARD'!$C$4,INDEX(MASTER_AREAS!$B:$B,871)))),870,""),""),IF('WSF DASHBOARD'!$B$4="Zone",IF(870&lt;=$D$4,IF(OR('WSF DASHBOARD'!$C$4="",ISNUMBER(SEARCH('WSF DASHBOARD'!$C$4,INDEX(MASTER_ZONES!$B:$B,871)))),870,""),""),""))</f>
        <v/>
      </c>
      <c r="F871">
        <f>IF('TRANSPORT DASHBOARD'!$B$4="Area",IF(870&lt;=$I$3,IF(OR('TRANSPORT DASHBOARD'!$C$4="",ISNUMBER(SEARCH('TRANSPORT DASHBOARD'!$C$4,INDEX(MASTER_AREAS!$B:$B,871)))),870,""),""),IF('TRANSPORT DASHBOARD'!$B$4="Zone",IF(870&lt;=$I$4,IF(OR('TRANSPORT DASHBOARD'!$C$4="",ISNUMBER(SEARCH('TRANSPORT DASHBOARD'!$C$4,INDEX(MASTER_ZONES!$B:$B,871)))),870,""),""),""))</f>
        <v/>
      </c>
    </row>
    <row r="872">
      <c r="A872">
        <f>IF('WSF DASHBOARD'!$B$4="Area",IF(871&lt;=$D$3,IF(OR('WSF DASHBOARD'!$C$4="",ISNUMBER(SEARCH('WSF DASHBOARD'!$C$4,INDEX(MASTER_AREAS!$B:$B,872)))),871,""),""),IF('WSF DASHBOARD'!$B$4="Zone",IF(871&lt;=$D$4,IF(OR('WSF DASHBOARD'!$C$4="",ISNUMBER(SEARCH('WSF DASHBOARD'!$C$4,INDEX(MASTER_ZONES!$B:$B,872)))),871,""),""),""))</f>
        <v/>
      </c>
      <c r="F872">
        <f>IF('TRANSPORT DASHBOARD'!$B$4="Area",IF(871&lt;=$I$3,IF(OR('TRANSPORT DASHBOARD'!$C$4="",ISNUMBER(SEARCH('TRANSPORT DASHBOARD'!$C$4,INDEX(MASTER_AREAS!$B:$B,872)))),871,""),""),IF('TRANSPORT DASHBOARD'!$B$4="Zone",IF(871&lt;=$I$4,IF(OR('TRANSPORT DASHBOARD'!$C$4="",ISNUMBER(SEARCH('TRANSPORT DASHBOARD'!$C$4,INDEX(MASTER_ZONES!$B:$B,872)))),871,""),""),""))</f>
        <v/>
      </c>
    </row>
    <row r="873">
      <c r="A873">
        <f>IF('WSF DASHBOARD'!$B$4="Area",IF(872&lt;=$D$3,IF(OR('WSF DASHBOARD'!$C$4="",ISNUMBER(SEARCH('WSF DASHBOARD'!$C$4,INDEX(MASTER_AREAS!$B:$B,873)))),872,""),""),IF('WSF DASHBOARD'!$B$4="Zone",IF(872&lt;=$D$4,IF(OR('WSF DASHBOARD'!$C$4="",ISNUMBER(SEARCH('WSF DASHBOARD'!$C$4,INDEX(MASTER_ZONES!$B:$B,873)))),872,""),""),""))</f>
        <v/>
      </c>
      <c r="F873">
        <f>IF('TRANSPORT DASHBOARD'!$B$4="Area",IF(872&lt;=$I$3,IF(OR('TRANSPORT DASHBOARD'!$C$4="",ISNUMBER(SEARCH('TRANSPORT DASHBOARD'!$C$4,INDEX(MASTER_AREAS!$B:$B,873)))),872,""),""),IF('TRANSPORT DASHBOARD'!$B$4="Zone",IF(872&lt;=$I$4,IF(OR('TRANSPORT DASHBOARD'!$C$4="",ISNUMBER(SEARCH('TRANSPORT DASHBOARD'!$C$4,INDEX(MASTER_ZONES!$B:$B,873)))),872,""),""),""))</f>
        <v/>
      </c>
    </row>
    <row r="874">
      <c r="A874">
        <f>IF('WSF DASHBOARD'!$B$4="Area",IF(873&lt;=$D$3,IF(OR('WSF DASHBOARD'!$C$4="",ISNUMBER(SEARCH('WSF DASHBOARD'!$C$4,INDEX(MASTER_AREAS!$B:$B,874)))),873,""),""),IF('WSF DASHBOARD'!$B$4="Zone",IF(873&lt;=$D$4,IF(OR('WSF DASHBOARD'!$C$4="",ISNUMBER(SEARCH('WSF DASHBOARD'!$C$4,INDEX(MASTER_ZONES!$B:$B,874)))),873,""),""),""))</f>
        <v/>
      </c>
      <c r="F874">
        <f>IF('TRANSPORT DASHBOARD'!$B$4="Area",IF(873&lt;=$I$3,IF(OR('TRANSPORT DASHBOARD'!$C$4="",ISNUMBER(SEARCH('TRANSPORT DASHBOARD'!$C$4,INDEX(MASTER_AREAS!$B:$B,874)))),873,""),""),IF('TRANSPORT DASHBOARD'!$B$4="Zone",IF(873&lt;=$I$4,IF(OR('TRANSPORT DASHBOARD'!$C$4="",ISNUMBER(SEARCH('TRANSPORT DASHBOARD'!$C$4,INDEX(MASTER_ZONES!$B:$B,874)))),873,""),""),""))</f>
        <v/>
      </c>
    </row>
    <row r="875">
      <c r="A875">
        <f>IF('WSF DASHBOARD'!$B$4="Area",IF(874&lt;=$D$3,IF(OR('WSF DASHBOARD'!$C$4="",ISNUMBER(SEARCH('WSF DASHBOARD'!$C$4,INDEX(MASTER_AREAS!$B:$B,875)))),874,""),""),IF('WSF DASHBOARD'!$B$4="Zone",IF(874&lt;=$D$4,IF(OR('WSF DASHBOARD'!$C$4="",ISNUMBER(SEARCH('WSF DASHBOARD'!$C$4,INDEX(MASTER_ZONES!$B:$B,875)))),874,""),""),""))</f>
        <v/>
      </c>
      <c r="F875">
        <f>IF('TRANSPORT DASHBOARD'!$B$4="Area",IF(874&lt;=$I$3,IF(OR('TRANSPORT DASHBOARD'!$C$4="",ISNUMBER(SEARCH('TRANSPORT DASHBOARD'!$C$4,INDEX(MASTER_AREAS!$B:$B,875)))),874,""),""),IF('TRANSPORT DASHBOARD'!$B$4="Zone",IF(874&lt;=$I$4,IF(OR('TRANSPORT DASHBOARD'!$C$4="",ISNUMBER(SEARCH('TRANSPORT DASHBOARD'!$C$4,INDEX(MASTER_ZONES!$B:$B,875)))),874,""),""),""))</f>
        <v/>
      </c>
    </row>
    <row r="876">
      <c r="A876">
        <f>IF('WSF DASHBOARD'!$B$4="Area",IF(875&lt;=$D$3,IF(OR('WSF DASHBOARD'!$C$4="",ISNUMBER(SEARCH('WSF DASHBOARD'!$C$4,INDEX(MASTER_AREAS!$B:$B,876)))),875,""),""),IF('WSF DASHBOARD'!$B$4="Zone",IF(875&lt;=$D$4,IF(OR('WSF DASHBOARD'!$C$4="",ISNUMBER(SEARCH('WSF DASHBOARD'!$C$4,INDEX(MASTER_ZONES!$B:$B,876)))),875,""),""),""))</f>
        <v/>
      </c>
      <c r="F876">
        <f>IF('TRANSPORT DASHBOARD'!$B$4="Area",IF(875&lt;=$I$3,IF(OR('TRANSPORT DASHBOARD'!$C$4="",ISNUMBER(SEARCH('TRANSPORT DASHBOARD'!$C$4,INDEX(MASTER_AREAS!$B:$B,876)))),875,""),""),IF('TRANSPORT DASHBOARD'!$B$4="Zone",IF(875&lt;=$I$4,IF(OR('TRANSPORT DASHBOARD'!$C$4="",ISNUMBER(SEARCH('TRANSPORT DASHBOARD'!$C$4,INDEX(MASTER_ZONES!$B:$B,876)))),875,""),""),""))</f>
        <v/>
      </c>
    </row>
    <row r="877">
      <c r="A877">
        <f>IF('WSF DASHBOARD'!$B$4="Area",IF(876&lt;=$D$3,IF(OR('WSF DASHBOARD'!$C$4="",ISNUMBER(SEARCH('WSF DASHBOARD'!$C$4,INDEX(MASTER_AREAS!$B:$B,877)))),876,""),""),IF('WSF DASHBOARD'!$B$4="Zone",IF(876&lt;=$D$4,IF(OR('WSF DASHBOARD'!$C$4="",ISNUMBER(SEARCH('WSF DASHBOARD'!$C$4,INDEX(MASTER_ZONES!$B:$B,877)))),876,""),""),""))</f>
        <v/>
      </c>
      <c r="F877">
        <f>IF('TRANSPORT DASHBOARD'!$B$4="Area",IF(876&lt;=$I$3,IF(OR('TRANSPORT DASHBOARD'!$C$4="",ISNUMBER(SEARCH('TRANSPORT DASHBOARD'!$C$4,INDEX(MASTER_AREAS!$B:$B,877)))),876,""),""),IF('TRANSPORT DASHBOARD'!$B$4="Zone",IF(876&lt;=$I$4,IF(OR('TRANSPORT DASHBOARD'!$C$4="",ISNUMBER(SEARCH('TRANSPORT DASHBOARD'!$C$4,INDEX(MASTER_ZONES!$B:$B,877)))),876,""),""),""))</f>
        <v/>
      </c>
    </row>
    <row r="878">
      <c r="A878">
        <f>IF('WSF DASHBOARD'!$B$4="Area",IF(877&lt;=$D$3,IF(OR('WSF DASHBOARD'!$C$4="",ISNUMBER(SEARCH('WSF DASHBOARD'!$C$4,INDEX(MASTER_AREAS!$B:$B,878)))),877,""),""),IF('WSF DASHBOARD'!$B$4="Zone",IF(877&lt;=$D$4,IF(OR('WSF DASHBOARD'!$C$4="",ISNUMBER(SEARCH('WSF DASHBOARD'!$C$4,INDEX(MASTER_ZONES!$B:$B,878)))),877,""),""),""))</f>
        <v/>
      </c>
      <c r="F878">
        <f>IF('TRANSPORT DASHBOARD'!$B$4="Area",IF(877&lt;=$I$3,IF(OR('TRANSPORT DASHBOARD'!$C$4="",ISNUMBER(SEARCH('TRANSPORT DASHBOARD'!$C$4,INDEX(MASTER_AREAS!$B:$B,878)))),877,""),""),IF('TRANSPORT DASHBOARD'!$B$4="Zone",IF(877&lt;=$I$4,IF(OR('TRANSPORT DASHBOARD'!$C$4="",ISNUMBER(SEARCH('TRANSPORT DASHBOARD'!$C$4,INDEX(MASTER_ZONES!$B:$B,878)))),877,""),""),""))</f>
        <v/>
      </c>
    </row>
    <row r="879">
      <c r="A879">
        <f>IF('WSF DASHBOARD'!$B$4="Area",IF(878&lt;=$D$3,IF(OR('WSF DASHBOARD'!$C$4="",ISNUMBER(SEARCH('WSF DASHBOARD'!$C$4,INDEX(MASTER_AREAS!$B:$B,879)))),878,""),""),IF('WSF DASHBOARD'!$B$4="Zone",IF(878&lt;=$D$4,IF(OR('WSF DASHBOARD'!$C$4="",ISNUMBER(SEARCH('WSF DASHBOARD'!$C$4,INDEX(MASTER_ZONES!$B:$B,879)))),878,""),""),""))</f>
        <v/>
      </c>
      <c r="F879">
        <f>IF('TRANSPORT DASHBOARD'!$B$4="Area",IF(878&lt;=$I$3,IF(OR('TRANSPORT DASHBOARD'!$C$4="",ISNUMBER(SEARCH('TRANSPORT DASHBOARD'!$C$4,INDEX(MASTER_AREAS!$B:$B,879)))),878,""),""),IF('TRANSPORT DASHBOARD'!$B$4="Zone",IF(878&lt;=$I$4,IF(OR('TRANSPORT DASHBOARD'!$C$4="",ISNUMBER(SEARCH('TRANSPORT DASHBOARD'!$C$4,INDEX(MASTER_ZONES!$B:$B,879)))),878,""),""),""))</f>
        <v/>
      </c>
    </row>
    <row r="880">
      <c r="A880">
        <f>IF('WSF DASHBOARD'!$B$4="Area",IF(879&lt;=$D$3,IF(OR('WSF DASHBOARD'!$C$4="",ISNUMBER(SEARCH('WSF DASHBOARD'!$C$4,INDEX(MASTER_AREAS!$B:$B,880)))),879,""),""),IF('WSF DASHBOARD'!$B$4="Zone",IF(879&lt;=$D$4,IF(OR('WSF DASHBOARD'!$C$4="",ISNUMBER(SEARCH('WSF DASHBOARD'!$C$4,INDEX(MASTER_ZONES!$B:$B,880)))),879,""),""),""))</f>
        <v/>
      </c>
      <c r="F880">
        <f>IF('TRANSPORT DASHBOARD'!$B$4="Area",IF(879&lt;=$I$3,IF(OR('TRANSPORT DASHBOARD'!$C$4="",ISNUMBER(SEARCH('TRANSPORT DASHBOARD'!$C$4,INDEX(MASTER_AREAS!$B:$B,880)))),879,""),""),IF('TRANSPORT DASHBOARD'!$B$4="Zone",IF(879&lt;=$I$4,IF(OR('TRANSPORT DASHBOARD'!$C$4="",ISNUMBER(SEARCH('TRANSPORT DASHBOARD'!$C$4,INDEX(MASTER_ZONES!$B:$B,880)))),879,""),""),""))</f>
        <v/>
      </c>
    </row>
    <row r="881">
      <c r="A881">
        <f>IF('WSF DASHBOARD'!$B$4="Area",IF(880&lt;=$D$3,IF(OR('WSF DASHBOARD'!$C$4="",ISNUMBER(SEARCH('WSF DASHBOARD'!$C$4,INDEX(MASTER_AREAS!$B:$B,881)))),880,""),""),IF('WSF DASHBOARD'!$B$4="Zone",IF(880&lt;=$D$4,IF(OR('WSF DASHBOARD'!$C$4="",ISNUMBER(SEARCH('WSF DASHBOARD'!$C$4,INDEX(MASTER_ZONES!$B:$B,881)))),880,""),""),""))</f>
        <v/>
      </c>
      <c r="F881">
        <f>IF('TRANSPORT DASHBOARD'!$B$4="Area",IF(880&lt;=$I$3,IF(OR('TRANSPORT DASHBOARD'!$C$4="",ISNUMBER(SEARCH('TRANSPORT DASHBOARD'!$C$4,INDEX(MASTER_AREAS!$B:$B,881)))),880,""),""),IF('TRANSPORT DASHBOARD'!$B$4="Zone",IF(880&lt;=$I$4,IF(OR('TRANSPORT DASHBOARD'!$C$4="",ISNUMBER(SEARCH('TRANSPORT DASHBOARD'!$C$4,INDEX(MASTER_ZONES!$B:$B,881)))),880,""),""),""))</f>
        <v/>
      </c>
    </row>
    <row r="882">
      <c r="A882">
        <f>IF('WSF DASHBOARD'!$B$4="Area",IF(881&lt;=$D$3,IF(OR('WSF DASHBOARD'!$C$4="",ISNUMBER(SEARCH('WSF DASHBOARD'!$C$4,INDEX(MASTER_AREAS!$B:$B,882)))),881,""),""),IF('WSF DASHBOARD'!$B$4="Zone",IF(881&lt;=$D$4,IF(OR('WSF DASHBOARD'!$C$4="",ISNUMBER(SEARCH('WSF DASHBOARD'!$C$4,INDEX(MASTER_ZONES!$B:$B,882)))),881,""),""),""))</f>
        <v/>
      </c>
      <c r="F882">
        <f>IF('TRANSPORT DASHBOARD'!$B$4="Area",IF(881&lt;=$I$3,IF(OR('TRANSPORT DASHBOARD'!$C$4="",ISNUMBER(SEARCH('TRANSPORT DASHBOARD'!$C$4,INDEX(MASTER_AREAS!$B:$B,882)))),881,""),""),IF('TRANSPORT DASHBOARD'!$B$4="Zone",IF(881&lt;=$I$4,IF(OR('TRANSPORT DASHBOARD'!$C$4="",ISNUMBER(SEARCH('TRANSPORT DASHBOARD'!$C$4,INDEX(MASTER_ZONES!$B:$B,882)))),881,""),""),""))</f>
        <v/>
      </c>
    </row>
    <row r="883">
      <c r="A883">
        <f>IF('WSF DASHBOARD'!$B$4="Area",IF(882&lt;=$D$3,IF(OR('WSF DASHBOARD'!$C$4="",ISNUMBER(SEARCH('WSF DASHBOARD'!$C$4,INDEX(MASTER_AREAS!$B:$B,883)))),882,""),""),IF('WSF DASHBOARD'!$B$4="Zone",IF(882&lt;=$D$4,IF(OR('WSF DASHBOARD'!$C$4="",ISNUMBER(SEARCH('WSF DASHBOARD'!$C$4,INDEX(MASTER_ZONES!$B:$B,883)))),882,""),""),""))</f>
        <v/>
      </c>
      <c r="F883">
        <f>IF('TRANSPORT DASHBOARD'!$B$4="Area",IF(882&lt;=$I$3,IF(OR('TRANSPORT DASHBOARD'!$C$4="",ISNUMBER(SEARCH('TRANSPORT DASHBOARD'!$C$4,INDEX(MASTER_AREAS!$B:$B,883)))),882,""),""),IF('TRANSPORT DASHBOARD'!$B$4="Zone",IF(882&lt;=$I$4,IF(OR('TRANSPORT DASHBOARD'!$C$4="",ISNUMBER(SEARCH('TRANSPORT DASHBOARD'!$C$4,INDEX(MASTER_ZONES!$B:$B,883)))),882,""),""),""))</f>
        <v/>
      </c>
    </row>
    <row r="884">
      <c r="A884">
        <f>IF('WSF DASHBOARD'!$B$4="Area",IF(883&lt;=$D$3,IF(OR('WSF DASHBOARD'!$C$4="",ISNUMBER(SEARCH('WSF DASHBOARD'!$C$4,INDEX(MASTER_AREAS!$B:$B,884)))),883,""),""),IF('WSF DASHBOARD'!$B$4="Zone",IF(883&lt;=$D$4,IF(OR('WSF DASHBOARD'!$C$4="",ISNUMBER(SEARCH('WSF DASHBOARD'!$C$4,INDEX(MASTER_ZONES!$B:$B,884)))),883,""),""),""))</f>
        <v/>
      </c>
      <c r="F884">
        <f>IF('TRANSPORT DASHBOARD'!$B$4="Area",IF(883&lt;=$I$3,IF(OR('TRANSPORT DASHBOARD'!$C$4="",ISNUMBER(SEARCH('TRANSPORT DASHBOARD'!$C$4,INDEX(MASTER_AREAS!$B:$B,884)))),883,""),""),IF('TRANSPORT DASHBOARD'!$B$4="Zone",IF(883&lt;=$I$4,IF(OR('TRANSPORT DASHBOARD'!$C$4="",ISNUMBER(SEARCH('TRANSPORT DASHBOARD'!$C$4,INDEX(MASTER_ZONES!$B:$B,884)))),883,""),""),""))</f>
        <v/>
      </c>
    </row>
    <row r="885">
      <c r="A885">
        <f>IF('WSF DASHBOARD'!$B$4="Area",IF(884&lt;=$D$3,IF(OR('WSF DASHBOARD'!$C$4="",ISNUMBER(SEARCH('WSF DASHBOARD'!$C$4,INDEX(MASTER_AREAS!$B:$B,885)))),884,""),""),IF('WSF DASHBOARD'!$B$4="Zone",IF(884&lt;=$D$4,IF(OR('WSF DASHBOARD'!$C$4="",ISNUMBER(SEARCH('WSF DASHBOARD'!$C$4,INDEX(MASTER_ZONES!$B:$B,885)))),884,""),""),""))</f>
        <v/>
      </c>
      <c r="F885">
        <f>IF('TRANSPORT DASHBOARD'!$B$4="Area",IF(884&lt;=$I$3,IF(OR('TRANSPORT DASHBOARD'!$C$4="",ISNUMBER(SEARCH('TRANSPORT DASHBOARD'!$C$4,INDEX(MASTER_AREAS!$B:$B,885)))),884,""),""),IF('TRANSPORT DASHBOARD'!$B$4="Zone",IF(884&lt;=$I$4,IF(OR('TRANSPORT DASHBOARD'!$C$4="",ISNUMBER(SEARCH('TRANSPORT DASHBOARD'!$C$4,INDEX(MASTER_ZONES!$B:$B,885)))),884,""),""),""))</f>
        <v/>
      </c>
    </row>
    <row r="886">
      <c r="A886">
        <f>IF('WSF DASHBOARD'!$B$4="Area",IF(885&lt;=$D$3,IF(OR('WSF DASHBOARD'!$C$4="",ISNUMBER(SEARCH('WSF DASHBOARD'!$C$4,INDEX(MASTER_AREAS!$B:$B,886)))),885,""),""),IF('WSF DASHBOARD'!$B$4="Zone",IF(885&lt;=$D$4,IF(OR('WSF DASHBOARD'!$C$4="",ISNUMBER(SEARCH('WSF DASHBOARD'!$C$4,INDEX(MASTER_ZONES!$B:$B,886)))),885,""),""),""))</f>
        <v/>
      </c>
      <c r="F886">
        <f>IF('TRANSPORT DASHBOARD'!$B$4="Area",IF(885&lt;=$I$3,IF(OR('TRANSPORT DASHBOARD'!$C$4="",ISNUMBER(SEARCH('TRANSPORT DASHBOARD'!$C$4,INDEX(MASTER_AREAS!$B:$B,886)))),885,""),""),IF('TRANSPORT DASHBOARD'!$B$4="Zone",IF(885&lt;=$I$4,IF(OR('TRANSPORT DASHBOARD'!$C$4="",ISNUMBER(SEARCH('TRANSPORT DASHBOARD'!$C$4,INDEX(MASTER_ZONES!$B:$B,886)))),885,""),""),""))</f>
        <v/>
      </c>
    </row>
    <row r="887">
      <c r="A887">
        <f>IF('WSF DASHBOARD'!$B$4="Area",IF(886&lt;=$D$3,IF(OR('WSF DASHBOARD'!$C$4="",ISNUMBER(SEARCH('WSF DASHBOARD'!$C$4,INDEX(MASTER_AREAS!$B:$B,887)))),886,""),""),IF('WSF DASHBOARD'!$B$4="Zone",IF(886&lt;=$D$4,IF(OR('WSF DASHBOARD'!$C$4="",ISNUMBER(SEARCH('WSF DASHBOARD'!$C$4,INDEX(MASTER_ZONES!$B:$B,887)))),886,""),""),""))</f>
        <v/>
      </c>
      <c r="F887">
        <f>IF('TRANSPORT DASHBOARD'!$B$4="Area",IF(886&lt;=$I$3,IF(OR('TRANSPORT DASHBOARD'!$C$4="",ISNUMBER(SEARCH('TRANSPORT DASHBOARD'!$C$4,INDEX(MASTER_AREAS!$B:$B,887)))),886,""),""),IF('TRANSPORT DASHBOARD'!$B$4="Zone",IF(886&lt;=$I$4,IF(OR('TRANSPORT DASHBOARD'!$C$4="",ISNUMBER(SEARCH('TRANSPORT DASHBOARD'!$C$4,INDEX(MASTER_ZONES!$B:$B,887)))),886,""),""),""))</f>
        <v/>
      </c>
    </row>
    <row r="888">
      <c r="A888">
        <f>IF('WSF DASHBOARD'!$B$4="Area",IF(887&lt;=$D$3,IF(OR('WSF DASHBOARD'!$C$4="",ISNUMBER(SEARCH('WSF DASHBOARD'!$C$4,INDEX(MASTER_AREAS!$B:$B,888)))),887,""),""),IF('WSF DASHBOARD'!$B$4="Zone",IF(887&lt;=$D$4,IF(OR('WSF DASHBOARD'!$C$4="",ISNUMBER(SEARCH('WSF DASHBOARD'!$C$4,INDEX(MASTER_ZONES!$B:$B,888)))),887,""),""),""))</f>
        <v/>
      </c>
      <c r="F888">
        <f>IF('TRANSPORT DASHBOARD'!$B$4="Area",IF(887&lt;=$I$3,IF(OR('TRANSPORT DASHBOARD'!$C$4="",ISNUMBER(SEARCH('TRANSPORT DASHBOARD'!$C$4,INDEX(MASTER_AREAS!$B:$B,888)))),887,""),""),IF('TRANSPORT DASHBOARD'!$B$4="Zone",IF(887&lt;=$I$4,IF(OR('TRANSPORT DASHBOARD'!$C$4="",ISNUMBER(SEARCH('TRANSPORT DASHBOARD'!$C$4,INDEX(MASTER_ZONES!$B:$B,888)))),887,""),""),""))</f>
        <v/>
      </c>
    </row>
    <row r="889">
      <c r="A889">
        <f>IF('WSF DASHBOARD'!$B$4="Area",IF(888&lt;=$D$3,IF(OR('WSF DASHBOARD'!$C$4="",ISNUMBER(SEARCH('WSF DASHBOARD'!$C$4,INDEX(MASTER_AREAS!$B:$B,889)))),888,""),""),IF('WSF DASHBOARD'!$B$4="Zone",IF(888&lt;=$D$4,IF(OR('WSF DASHBOARD'!$C$4="",ISNUMBER(SEARCH('WSF DASHBOARD'!$C$4,INDEX(MASTER_ZONES!$B:$B,889)))),888,""),""),""))</f>
        <v/>
      </c>
      <c r="F889">
        <f>IF('TRANSPORT DASHBOARD'!$B$4="Area",IF(888&lt;=$I$3,IF(OR('TRANSPORT DASHBOARD'!$C$4="",ISNUMBER(SEARCH('TRANSPORT DASHBOARD'!$C$4,INDEX(MASTER_AREAS!$B:$B,889)))),888,""),""),IF('TRANSPORT DASHBOARD'!$B$4="Zone",IF(888&lt;=$I$4,IF(OR('TRANSPORT DASHBOARD'!$C$4="",ISNUMBER(SEARCH('TRANSPORT DASHBOARD'!$C$4,INDEX(MASTER_ZONES!$B:$B,889)))),888,""),""),""))</f>
        <v/>
      </c>
    </row>
    <row r="890">
      <c r="A890">
        <f>IF('WSF DASHBOARD'!$B$4="Area",IF(889&lt;=$D$3,IF(OR('WSF DASHBOARD'!$C$4="",ISNUMBER(SEARCH('WSF DASHBOARD'!$C$4,INDEX(MASTER_AREAS!$B:$B,890)))),889,""),""),IF('WSF DASHBOARD'!$B$4="Zone",IF(889&lt;=$D$4,IF(OR('WSF DASHBOARD'!$C$4="",ISNUMBER(SEARCH('WSF DASHBOARD'!$C$4,INDEX(MASTER_ZONES!$B:$B,890)))),889,""),""),""))</f>
        <v/>
      </c>
      <c r="F890">
        <f>IF('TRANSPORT DASHBOARD'!$B$4="Area",IF(889&lt;=$I$3,IF(OR('TRANSPORT DASHBOARD'!$C$4="",ISNUMBER(SEARCH('TRANSPORT DASHBOARD'!$C$4,INDEX(MASTER_AREAS!$B:$B,890)))),889,""),""),IF('TRANSPORT DASHBOARD'!$B$4="Zone",IF(889&lt;=$I$4,IF(OR('TRANSPORT DASHBOARD'!$C$4="",ISNUMBER(SEARCH('TRANSPORT DASHBOARD'!$C$4,INDEX(MASTER_ZONES!$B:$B,890)))),889,""),""),""))</f>
        <v/>
      </c>
    </row>
    <row r="891">
      <c r="A891">
        <f>IF('WSF DASHBOARD'!$B$4="Area",IF(890&lt;=$D$3,IF(OR('WSF DASHBOARD'!$C$4="",ISNUMBER(SEARCH('WSF DASHBOARD'!$C$4,INDEX(MASTER_AREAS!$B:$B,891)))),890,""),""),IF('WSF DASHBOARD'!$B$4="Zone",IF(890&lt;=$D$4,IF(OR('WSF DASHBOARD'!$C$4="",ISNUMBER(SEARCH('WSF DASHBOARD'!$C$4,INDEX(MASTER_ZONES!$B:$B,891)))),890,""),""),""))</f>
        <v/>
      </c>
      <c r="F891">
        <f>IF('TRANSPORT DASHBOARD'!$B$4="Area",IF(890&lt;=$I$3,IF(OR('TRANSPORT DASHBOARD'!$C$4="",ISNUMBER(SEARCH('TRANSPORT DASHBOARD'!$C$4,INDEX(MASTER_AREAS!$B:$B,891)))),890,""),""),IF('TRANSPORT DASHBOARD'!$B$4="Zone",IF(890&lt;=$I$4,IF(OR('TRANSPORT DASHBOARD'!$C$4="",ISNUMBER(SEARCH('TRANSPORT DASHBOARD'!$C$4,INDEX(MASTER_ZONES!$B:$B,891)))),890,""),""),""))</f>
        <v/>
      </c>
    </row>
    <row r="892">
      <c r="A892">
        <f>IF('WSF DASHBOARD'!$B$4="Area",IF(891&lt;=$D$3,IF(OR('WSF DASHBOARD'!$C$4="",ISNUMBER(SEARCH('WSF DASHBOARD'!$C$4,INDEX(MASTER_AREAS!$B:$B,892)))),891,""),""),IF('WSF DASHBOARD'!$B$4="Zone",IF(891&lt;=$D$4,IF(OR('WSF DASHBOARD'!$C$4="",ISNUMBER(SEARCH('WSF DASHBOARD'!$C$4,INDEX(MASTER_ZONES!$B:$B,892)))),891,""),""),""))</f>
        <v/>
      </c>
      <c r="F892">
        <f>IF('TRANSPORT DASHBOARD'!$B$4="Area",IF(891&lt;=$I$3,IF(OR('TRANSPORT DASHBOARD'!$C$4="",ISNUMBER(SEARCH('TRANSPORT DASHBOARD'!$C$4,INDEX(MASTER_AREAS!$B:$B,892)))),891,""),""),IF('TRANSPORT DASHBOARD'!$B$4="Zone",IF(891&lt;=$I$4,IF(OR('TRANSPORT DASHBOARD'!$C$4="",ISNUMBER(SEARCH('TRANSPORT DASHBOARD'!$C$4,INDEX(MASTER_ZONES!$B:$B,892)))),891,""),""),""))</f>
        <v/>
      </c>
    </row>
    <row r="893">
      <c r="A893">
        <f>IF('WSF DASHBOARD'!$B$4="Area",IF(892&lt;=$D$3,IF(OR('WSF DASHBOARD'!$C$4="",ISNUMBER(SEARCH('WSF DASHBOARD'!$C$4,INDEX(MASTER_AREAS!$B:$B,893)))),892,""),""),IF('WSF DASHBOARD'!$B$4="Zone",IF(892&lt;=$D$4,IF(OR('WSF DASHBOARD'!$C$4="",ISNUMBER(SEARCH('WSF DASHBOARD'!$C$4,INDEX(MASTER_ZONES!$B:$B,893)))),892,""),""),""))</f>
        <v/>
      </c>
      <c r="F893">
        <f>IF('TRANSPORT DASHBOARD'!$B$4="Area",IF(892&lt;=$I$3,IF(OR('TRANSPORT DASHBOARD'!$C$4="",ISNUMBER(SEARCH('TRANSPORT DASHBOARD'!$C$4,INDEX(MASTER_AREAS!$B:$B,893)))),892,""),""),IF('TRANSPORT DASHBOARD'!$B$4="Zone",IF(892&lt;=$I$4,IF(OR('TRANSPORT DASHBOARD'!$C$4="",ISNUMBER(SEARCH('TRANSPORT DASHBOARD'!$C$4,INDEX(MASTER_ZONES!$B:$B,893)))),892,""),""),""))</f>
        <v/>
      </c>
    </row>
    <row r="894">
      <c r="A894">
        <f>IF('WSF DASHBOARD'!$B$4="Area",IF(893&lt;=$D$3,IF(OR('WSF DASHBOARD'!$C$4="",ISNUMBER(SEARCH('WSF DASHBOARD'!$C$4,INDEX(MASTER_AREAS!$B:$B,894)))),893,""),""),IF('WSF DASHBOARD'!$B$4="Zone",IF(893&lt;=$D$4,IF(OR('WSF DASHBOARD'!$C$4="",ISNUMBER(SEARCH('WSF DASHBOARD'!$C$4,INDEX(MASTER_ZONES!$B:$B,894)))),893,""),""),""))</f>
        <v/>
      </c>
      <c r="F894">
        <f>IF('TRANSPORT DASHBOARD'!$B$4="Area",IF(893&lt;=$I$3,IF(OR('TRANSPORT DASHBOARD'!$C$4="",ISNUMBER(SEARCH('TRANSPORT DASHBOARD'!$C$4,INDEX(MASTER_AREAS!$B:$B,894)))),893,""),""),IF('TRANSPORT DASHBOARD'!$B$4="Zone",IF(893&lt;=$I$4,IF(OR('TRANSPORT DASHBOARD'!$C$4="",ISNUMBER(SEARCH('TRANSPORT DASHBOARD'!$C$4,INDEX(MASTER_ZONES!$B:$B,894)))),893,""),""),""))</f>
        <v/>
      </c>
    </row>
    <row r="895">
      <c r="A895">
        <f>IF('WSF DASHBOARD'!$B$4="Area",IF(894&lt;=$D$3,IF(OR('WSF DASHBOARD'!$C$4="",ISNUMBER(SEARCH('WSF DASHBOARD'!$C$4,INDEX(MASTER_AREAS!$B:$B,895)))),894,""),""),IF('WSF DASHBOARD'!$B$4="Zone",IF(894&lt;=$D$4,IF(OR('WSF DASHBOARD'!$C$4="",ISNUMBER(SEARCH('WSF DASHBOARD'!$C$4,INDEX(MASTER_ZONES!$B:$B,895)))),894,""),""),""))</f>
        <v/>
      </c>
      <c r="F895">
        <f>IF('TRANSPORT DASHBOARD'!$B$4="Area",IF(894&lt;=$I$3,IF(OR('TRANSPORT DASHBOARD'!$C$4="",ISNUMBER(SEARCH('TRANSPORT DASHBOARD'!$C$4,INDEX(MASTER_AREAS!$B:$B,895)))),894,""),""),IF('TRANSPORT DASHBOARD'!$B$4="Zone",IF(894&lt;=$I$4,IF(OR('TRANSPORT DASHBOARD'!$C$4="",ISNUMBER(SEARCH('TRANSPORT DASHBOARD'!$C$4,INDEX(MASTER_ZONES!$B:$B,895)))),894,""),""),""))</f>
        <v/>
      </c>
    </row>
    <row r="896">
      <c r="A896">
        <f>IF('WSF DASHBOARD'!$B$4="Area",IF(895&lt;=$D$3,IF(OR('WSF DASHBOARD'!$C$4="",ISNUMBER(SEARCH('WSF DASHBOARD'!$C$4,INDEX(MASTER_AREAS!$B:$B,896)))),895,""),""),IF('WSF DASHBOARD'!$B$4="Zone",IF(895&lt;=$D$4,IF(OR('WSF DASHBOARD'!$C$4="",ISNUMBER(SEARCH('WSF DASHBOARD'!$C$4,INDEX(MASTER_ZONES!$B:$B,896)))),895,""),""),""))</f>
        <v/>
      </c>
      <c r="F896">
        <f>IF('TRANSPORT DASHBOARD'!$B$4="Area",IF(895&lt;=$I$3,IF(OR('TRANSPORT DASHBOARD'!$C$4="",ISNUMBER(SEARCH('TRANSPORT DASHBOARD'!$C$4,INDEX(MASTER_AREAS!$B:$B,896)))),895,""),""),IF('TRANSPORT DASHBOARD'!$B$4="Zone",IF(895&lt;=$I$4,IF(OR('TRANSPORT DASHBOARD'!$C$4="",ISNUMBER(SEARCH('TRANSPORT DASHBOARD'!$C$4,INDEX(MASTER_ZONES!$B:$B,896)))),895,""),""),""))</f>
        <v/>
      </c>
    </row>
    <row r="897">
      <c r="A897">
        <f>IF('WSF DASHBOARD'!$B$4="Area",IF(896&lt;=$D$3,IF(OR('WSF DASHBOARD'!$C$4="",ISNUMBER(SEARCH('WSF DASHBOARD'!$C$4,INDEX(MASTER_AREAS!$B:$B,897)))),896,""),""),IF('WSF DASHBOARD'!$B$4="Zone",IF(896&lt;=$D$4,IF(OR('WSF DASHBOARD'!$C$4="",ISNUMBER(SEARCH('WSF DASHBOARD'!$C$4,INDEX(MASTER_ZONES!$B:$B,897)))),896,""),""),""))</f>
        <v/>
      </c>
      <c r="F897">
        <f>IF('TRANSPORT DASHBOARD'!$B$4="Area",IF(896&lt;=$I$3,IF(OR('TRANSPORT DASHBOARD'!$C$4="",ISNUMBER(SEARCH('TRANSPORT DASHBOARD'!$C$4,INDEX(MASTER_AREAS!$B:$B,897)))),896,""),""),IF('TRANSPORT DASHBOARD'!$B$4="Zone",IF(896&lt;=$I$4,IF(OR('TRANSPORT DASHBOARD'!$C$4="",ISNUMBER(SEARCH('TRANSPORT DASHBOARD'!$C$4,INDEX(MASTER_ZONES!$B:$B,897)))),896,""),""),""))</f>
        <v/>
      </c>
    </row>
    <row r="898">
      <c r="A898">
        <f>IF('WSF DASHBOARD'!$B$4="Area",IF(897&lt;=$D$3,IF(OR('WSF DASHBOARD'!$C$4="",ISNUMBER(SEARCH('WSF DASHBOARD'!$C$4,INDEX(MASTER_AREAS!$B:$B,898)))),897,""),""),IF('WSF DASHBOARD'!$B$4="Zone",IF(897&lt;=$D$4,IF(OR('WSF DASHBOARD'!$C$4="",ISNUMBER(SEARCH('WSF DASHBOARD'!$C$4,INDEX(MASTER_ZONES!$B:$B,898)))),897,""),""),""))</f>
        <v/>
      </c>
      <c r="F898">
        <f>IF('TRANSPORT DASHBOARD'!$B$4="Area",IF(897&lt;=$I$3,IF(OR('TRANSPORT DASHBOARD'!$C$4="",ISNUMBER(SEARCH('TRANSPORT DASHBOARD'!$C$4,INDEX(MASTER_AREAS!$B:$B,898)))),897,""),""),IF('TRANSPORT DASHBOARD'!$B$4="Zone",IF(897&lt;=$I$4,IF(OR('TRANSPORT DASHBOARD'!$C$4="",ISNUMBER(SEARCH('TRANSPORT DASHBOARD'!$C$4,INDEX(MASTER_ZONES!$B:$B,898)))),897,""),""),""))</f>
        <v/>
      </c>
    </row>
    <row r="899">
      <c r="A899">
        <f>IF('WSF DASHBOARD'!$B$4="Area",IF(898&lt;=$D$3,IF(OR('WSF DASHBOARD'!$C$4="",ISNUMBER(SEARCH('WSF DASHBOARD'!$C$4,INDEX(MASTER_AREAS!$B:$B,899)))),898,""),""),IF('WSF DASHBOARD'!$B$4="Zone",IF(898&lt;=$D$4,IF(OR('WSF DASHBOARD'!$C$4="",ISNUMBER(SEARCH('WSF DASHBOARD'!$C$4,INDEX(MASTER_ZONES!$B:$B,899)))),898,""),""),""))</f>
        <v/>
      </c>
      <c r="F899">
        <f>IF('TRANSPORT DASHBOARD'!$B$4="Area",IF(898&lt;=$I$3,IF(OR('TRANSPORT DASHBOARD'!$C$4="",ISNUMBER(SEARCH('TRANSPORT DASHBOARD'!$C$4,INDEX(MASTER_AREAS!$B:$B,899)))),898,""),""),IF('TRANSPORT DASHBOARD'!$B$4="Zone",IF(898&lt;=$I$4,IF(OR('TRANSPORT DASHBOARD'!$C$4="",ISNUMBER(SEARCH('TRANSPORT DASHBOARD'!$C$4,INDEX(MASTER_ZONES!$B:$B,899)))),898,""),""),""))</f>
        <v/>
      </c>
    </row>
    <row r="900">
      <c r="A900">
        <f>IF('WSF DASHBOARD'!$B$4="Area",IF(899&lt;=$D$3,IF(OR('WSF DASHBOARD'!$C$4="",ISNUMBER(SEARCH('WSF DASHBOARD'!$C$4,INDEX(MASTER_AREAS!$B:$B,900)))),899,""),""),IF('WSF DASHBOARD'!$B$4="Zone",IF(899&lt;=$D$4,IF(OR('WSF DASHBOARD'!$C$4="",ISNUMBER(SEARCH('WSF DASHBOARD'!$C$4,INDEX(MASTER_ZONES!$B:$B,900)))),899,""),""),""))</f>
        <v/>
      </c>
      <c r="F900">
        <f>IF('TRANSPORT DASHBOARD'!$B$4="Area",IF(899&lt;=$I$3,IF(OR('TRANSPORT DASHBOARD'!$C$4="",ISNUMBER(SEARCH('TRANSPORT DASHBOARD'!$C$4,INDEX(MASTER_AREAS!$B:$B,900)))),899,""),""),IF('TRANSPORT DASHBOARD'!$B$4="Zone",IF(899&lt;=$I$4,IF(OR('TRANSPORT DASHBOARD'!$C$4="",ISNUMBER(SEARCH('TRANSPORT DASHBOARD'!$C$4,INDEX(MASTER_ZONES!$B:$B,900)))),899,""),""),""))</f>
        <v/>
      </c>
    </row>
    <row r="901">
      <c r="A901">
        <f>IF('WSF DASHBOARD'!$B$4="Area",IF(900&lt;=$D$3,IF(OR('WSF DASHBOARD'!$C$4="",ISNUMBER(SEARCH('WSF DASHBOARD'!$C$4,INDEX(MASTER_AREAS!$B:$B,901)))),900,""),""),IF('WSF DASHBOARD'!$B$4="Zone",IF(900&lt;=$D$4,IF(OR('WSF DASHBOARD'!$C$4="",ISNUMBER(SEARCH('WSF DASHBOARD'!$C$4,INDEX(MASTER_ZONES!$B:$B,901)))),900,""),""),""))</f>
        <v/>
      </c>
      <c r="F901">
        <f>IF('TRANSPORT DASHBOARD'!$B$4="Area",IF(900&lt;=$I$3,IF(OR('TRANSPORT DASHBOARD'!$C$4="",ISNUMBER(SEARCH('TRANSPORT DASHBOARD'!$C$4,INDEX(MASTER_AREAS!$B:$B,901)))),900,""),""),IF('TRANSPORT DASHBOARD'!$B$4="Zone",IF(900&lt;=$I$4,IF(OR('TRANSPORT DASHBOARD'!$C$4="",ISNUMBER(SEARCH('TRANSPORT DASHBOARD'!$C$4,INDEX(MASTER_ZONES!$B:$B,901)))),900,""),""),""))</f>
        <v/>
      </c>
    </row>
    <row r="902">
      <c r="A902">
        <f>IF('WSF DASHBOARD'!$B$4="Area",IF(901&lt;=$D$3,IF(OR('WSF DASHBOARD'!$C$4="",ISNUMBER(SEARCH('WSF DASHBOARD'!$C$4,INDEX(MASTER_AREAS!$B:$B,902)))),901,""),""),IF('WSF DASHBOARD'!$B$4="Zone",IF(901&lt;=$D$4,IF(OR('WSF DASHBOARD'!$C$4="",ISNUMBER(SEARCH('WSF DASHBOARD'!$C$4,INDEX(MASTER_ZONES!$B:$B,902)))),901,""),""),""))</f>
        <v/>
      </c>
      <c r="F902">
        <f>IF('TRANSPORT DASHBOARD'!$B$4="Area",IF(901&lt;=$I$3,IF(OR('TRANSPORT DASHBOARD'!$C$4="",ISNUMBER(SEARCH('TRANSPORT DASHBOARD'!$C$4,INDEX(MASTER_AREAS!$B:$B,902)))),901,""),""),IF('TRANSPORT DASHBOARD'!$B$4="Zone",IF(901&lt;=$I$4,IF(OR('TRANSPORT DASHBOARD'!$C$4="",ISNUMBER(SEARCH('TRANSPORT DASHBOARD'!$C$4,INDEX(MASTER_ZONES!$B:$B,902)))),901,""),""),""))</f>
        <v/>
      </c>
    </row>
    <row r="903">
      <c r="A903">
        <f>IF('WSF DASHBOARD'!$B$4="Area",IF(902&lt;=$D$3,IF(OR('WSF DASHBOARD'!$C$4="",ISNUMBER(SEARCH('WSF DASHBOARD'!$C$4,INDEX(MASTER_AREAS!$B:$B,903)))),902,""),""),IF('WSF DASHBOARD'!$B$4="Zone",IF(902&lt;=$D$4,IF(OR('WSF DASHBOARD'!$C$4="",ISNUMBER(SEARCH('WSF DASHBOARD'!$C$4,INDEX(MASTER_ZONES!$B:$B,903)))),902,""),""),""))</f>
        <v/>
      </c>
      <c r="F903">
        <f>IF('TRANSPORT DASHBOARD'!$B$4="Area",IF(902&lt;=$I$3,IF(OR('TRANSPORT DASHBOARD'!$C$4="",ISNUMBER(SEARCH('TRANSPORT DASHBOARD'!$C$4,INDEX(MASTER_AREAS!$B:$B,903)))),902,""),""),IF('TRANSPORT DASHBOARD'!$B$4="Zone",IF(902&lt;=$I$4,IF(OR('TRANSPORT DASHBOARD'!$C$4="",ISNUMBER(SEARCH('TRANSPORT DASHBOARD'!$C$4,INDEX(MASTER_ZONES!$B:$B,903)))),902,""),""),""))</f>
        <v/>
      </c>
    </row>
    <row r="904">
      <c r="A904">
        <f>IF('WSF DASHBOARD'!$B$4="Area",IF(903&lt;=$D$3,IF(OR('WSF DASHBOARD'!$C$4="",ISNUMBER(SEARCH('WSF DASHBOARD'!$C$4,INDEX(MASTER_AREAS!$B:$B,904)))),903,""),""),IF('WSF DASHBOARD'!$B$4="Zone",IF(903&lt;=$D$4,IF(OR('WSF DASHBOARD'!$C$4="",ISNUMBER(SEARCH('WSF DASHBOARD'!$C$4,INDEX(MASTER_ZONES!$B:$B,904)))),903,""),""),""))</f>
        <v/>
      </c>
      <c r="F904">
        <f>IF('TRANSPORT DASHBOARD'!$B$4="Area",IF(903&lt;=$I$3,IF(OR('TRANSPORT DASHBOARD'!$C$4="",ISNUMBER(SEARCH('TRANSPORT DASHBOARD'!$C$4,INDEX(MASTER_AREAS!$B:$B,904)))),903,""),""),IF('TRANSPORT DASHBOARD'!$B$4="Zone",IF(903&lt;=$I$4,IF(OR('TRANSPORT DASHBOARD'!$C$4="",ISNUMBER(SEARCH('TRANSPORT DASHBOARD'!$C$4,INDEX(MASTER_ZONES!$B:$B,904)))),903,""),""),""))</f>
        <v/>
      </c>
    </row>
    <row r="905">
      <c r="A905">
        <f>IF('WSF DASHBOARD'!$B$4="Area",IF(904&lt;=$D$3,IF(OR('WSF DASHBOARD'!$C$4="",ISNUMBER(SEARCH('WSF DASHBOARD'!$C$4,INDEX(MASTER_AREAS!$B:$B,905)))),904,""),""),IF('WSF DASHBOARD'!$B$4="Zone",IF(904&lt;=$D$4,IF(OR('WSF DASHBOARD'!$C$4="",ISNUMBER(SEARCH('WSF DASHBOARD'!$C$4,INDEX(MASTER_ZONES!$B:$B,905)))),904,""),""),""))</f>
        <v/>
      </c>
      <c r="F905">
        <f>IF('TRANSPORT DASHBOARD'!$B$4="Area",IF(904&lt;=$I$3,IF(OR('TRANSPORT DASHBOARD'!$C$4="",ISNUMBER(SEARCH('TRANSPORT DASHBOARD'!$C$4,INDEX(MASTER_AREAS!$B:$B,905)))),904,""),""),IF('TRANSPORT DASHBOARD'!$B$4="Zone",IF(904&lt;=$I$4,IF(OR('TRANSPORT DASHBOARD'!$C$4="",ISNUMBER(SEARCH('TRANSPORT DASHBOARD'!$C$4,INDEX(MASTER_ZONES!$B:$B,905)))),904,""),""),""))</f>
        <v/>
      </c>
    </row>
    <row r="906">
      <c r="A906">
        <f>IF('WSF DASHBOARD'!$B$4="Area",IF(905&lt;=$D$3,IF(OR('WSF DASHBOARD'!$C$4="",ISNUMBER(SEARCH('WSF DASHBOARD'!$C$4,INDEX(MASTER_AREAS!$B:$B,906)))),905,""),""),IF('WSF DASHBOARD'!$B$4="Zone",IF(905&lt;=$D$4,IF(OR('WSF DASHBOARD'!$C$4="",ISNUMBER(SEARCH('WSF DASHBOARD'!$C$4,INDEX(MASTER_ZONES!$B:$B,906)))),905,""),""),""))</f>
        <v/>
      </c>
      <c r="F906">
        <f>IF('TRANSPORT DASHBOARD'!$B$4="Area",IF(905&lt;=$I$3,IF(OR('TRANSPORT DASHBOARD'!$C$4="",ISNUMBER(SEARCH('TRANSPORT DASHBOARD'!$C$4,INDEX(MASTER_AREAS!$B:$B,906)))),905,""),""),IF('TRANSPORT DASHBOARD'!$B$4="Zone",IF(905&lt;=$I$4,IF(OR('TRANSPORT DASHBOARD'!$C$4="",ISNUMBER(SEARCH('TRANSPORT DASHBOARD'!$C$4,INDEX(MASTER_ZONES!$B:$B,906)))),905,""),""),""))</f>
        <v/>
      </c>
    </row>
    <row r="907">
      <c r="A907">
        <f>IF('WSF DASHBOARD'!$B$4="Area",IF(906&lt;=$D$3,IF(OR('WSF DASHBOARD'!$C$4="",ISNUMBER(SEARCH('WSF DASHBOARD'!$C$4,INDEX(MASTER_AREAS!$B:$B,907)))),906,""),""),IF('WSF DASHBOARD'!$B$4="Zone",IF(906&lt;=$D$4,IF(OR('WSF DASHBOARD'!$C$4="",ISNUMBER(SEARCH('WSF DASHBOARD'!$C$4,INDEX(MASTER_ZONES!$B:$B,907)))),906,""),""),""))</f>
        <v/>
      </c>
      <c r="F907">
        <f>IF('TRANSPORT DASHBOARD'!$B$4="Area",IF(906&lt;=$I$3,IF(OR('TRANSPORT DASHBOARD'!$C$4="",ISNUMBER(SEARCH('TRANSPORT DASHBOARD'!$C$4,INDEX(MASTER_AREAS!$B:$B,907)))),906,""),""),IF('TRANSPORT DASHBOARD'!$B$4="Zone",IF(906&lt;=$I$4,IF(OR('TRANSPORT DASHBOARD'!$C$4="",ISNUMBER(SEARCH('TRANSPORT DASHBOARD'!$C$4,INDEX(MASTER_ZONES!$B:$B,907)))),906,""),""),""))</f>
        <v/>
      </c>
    </row>
    <row r="908">
      <c r="A908">
        <f>IF('WSF DASHBOARD'!$B$4="Area",IF(907&lt;=$D$3,IF(OR('WSF DASHBOARD'!$C$4="",ISNUMBER(SEARCH('WSF DASHBOARD'!$C$4,INDEX(MASTER_AREAS!$B:$B,908)))),907,""),""),IF('WSF DASHBOARD'!$B$4="Zone",IF(907&lt;=$D$4,IF(OR('WSF DASHBOARD'!$C$4="",ISNUMBER(SEARCH('WSF DASHBOARD'!$C$4,INDEX(MASTER_ZONES!$B:$B,908)))),907,""),""),""))</f>
        <v/>
      </c>
      <c r="F908">
        <f>IF('TRANSPORT DASHBOARD'!$B$4="Area",IF(907&lt;=$I$3,IF(OR('TRANSPORT DASHBOARD'!$C$4="",ISNUMBER(SEARCH('TRANSPORT DASHBOARD'!$C$4,INDEX(MASTER_AREAS!$B:$B,908)))),907,""),""),IF('TRANSPORT DASHBOARD'!$B$4="Zone",IF(907&lt;=$I$4,IF(OR('TRANSPORT DASHBOARD'!$C$4="",ISNUMBER(SEARCH('TRANSPORT DASHBOARD'!$C$4,INDEX(MASTER_ZONES!$B:$B,908)))),907,""),""),""))</f>
        <v/>
      </c>
    </row>
    <row r="909">
      <c r="A909">
        <f>IF('WSF DASHBOARD'!$B$4="Area",IF(908&lt;=$D$3,IF(OR('WSF DASHBOARD'!$C$4="",ISNUMBER(SEARCH('WSF DASHBOARD'!$C$4,INDEX(MASTER_AREAS!$B:$B,909)))),908,""),""),IF('WSF DASHBOARD'!$B$4="Zone",IF(908&lt;=$D$4,IF(OR('WSF DASHBOARD'!$C$4="",ISNUMBER(SEARCH('WSF DASHBOARD'!$C$4,INDEX(MASTER_ZONES!$B:$B,909)))),908,""),""),""))</f>
        <v/>
      </c>
      <c r="F909">
        <f>IF('TRANSPORT DASHBOARD'!$B$4="Area",IF(908&lt;=$I$3,IF(OR('TRANSPORT DASHBOARD'!$C$4="",ISNUMBER(SEARCH('TRANSPORT DASHBOARD'!$C$4,INDEX(MASTER_AREAS!$B:$B,909)))),908,""),""),IF('TRANSPORT DASHBOARD'!$B$4="Zone",IF(908&lt;=$I$4,IF(OR('TRANSPORT DASHBOARD'!$C$4="",ISNUMBER(SEARCH('TRANSPORT DASHBOARD'!$C$4,INDEX(MASTER_ZONES!$B:$B,909)))),908,""),""),""))</f>
        <v/>
      </c>
    </row>
    <row r="910">
      <c r="A910">
        <f>IF('WSF DASHBOARD'!$B$4="Area",IF(909&lt;=$D$3,IF(OR('WSF DASHBOARD'!$C$4="",ISNUMBER(SEARCH('WSF DASHBOARD'!$C$4,INDEX(MASTER_AREAS!$B:$B,910)))),909,""),""),IF('WSF DASHBOARD'!$B$4="Zone",IF(909&lt;=$D$4,IF(OR('WSF DASHBOARD'!$C$4="",ISNUMBER(SEARCH('WSF DASHBOARD'!$C$4,INDEX(MASTER_ZONES!$B:$B,910)))),909,""),""),""))</f>
        <v/>
      </c>
      <c r="F910">
        <f>IF('TRANSPORT DASHBOARD'!$B$4="Area",IF(909&lt;=$I$3,IF(OR('TRANSPORT DASHBOARD'!$C$4="",ISNUMBER(SEARCH('TRANSPORT DASHBOARD'!$C$4,INDEX(MASTER_AREAS!$B:$B,910)))),909,""),""),IF('TRANSPORT DASHBOARD'!$B$4="Zone",IF(909&lt;=$I$4,IF(OR('TRANSPORT DASHBOARD'!$C$4="",ISNUMBER(SEARCH('TRANSPORT DASHBOARD'!$C$4,INDEX(MASTER_ZONES!$B:$B,910)))),909,""),""),""))</f>
        <v/>
      </c>
    </row>
    <row r="911">
      <c r="A911">
        <f>IF('WSF DASHBOARD'!$B$4="Area",IF(910&lt;=$D$3,IF(OR('WSF DASHBOARD'!$C$4="",ISNUMBER(SEARCH('WSF DASHBOARD'!$C$4,INDEX(MASTER_AREAS!$B:$B,911)))),910,""),""),IF('WSF DASHBOARD'!$B$4="Zone",IF(910&lt;=$D$4,IF(OR('WSF DASHBOARD'!$C$4="",ISNUMBER(SEARCH('WSF DASHBOARD'!$C$4,INDEX(MASTER_ZONES!$B:$B,911)))),910,""),""),""))</f>
        <v/>
      </c>
      <c r="F911">
        <f>IF('TRANSPORT DASHBOARD'!$B$4="Area",IF(910&lt;=$I$3,IF(OR('TRANSPORT DASHBOARD'!$C$4="",ISNUMBER(SEARCH('TRANSPORT DASHBOARD'!$C$4,INDEX(MASTER_AREAS!$B:$B,911)))),910,""),""),IF('TRANSPORT DASHBOARD'!$B$4="Zone",IF(910&lt;=$I$4,IF(OR('TRANSPORT DASHBOARD'!$C$4="",ISNUMBER(SEARCH('TRANSPORT DASHBOARD'!$C$4,INDEX(MASTER_ZONES!$B:$B,911)))),910,""),""),""))</f>
        <v/>
      </c>
    </row>
    <row r="912">
      <c r="A912">
        <f>IF('WSF DASHBOARD'!$B$4="Area",IF(911&lt;=$D$3,IF(OR('WSF DASHBOARD'!$C$4="",ISNUMBER(SEARCH('WSF DASHBOARD'!$C$4,INDEX(MASTER_AREAS!$B:$B,912)))),911,""),""),IF('WSF DASHBOARD'!$B$4="Zone",IF(911&lt;=$D$4,IF(OR('WSF DASHBOARD'!$C$4="",ISNUMBER(SEARCH('WSF DASHBOARD'!$C$4,INDEX(MASTER_ZONES!$B:$B,912)))),911,""),""),""))</f>
        <v/>
      </c>
      <c r="F912">
        <f>IF('TRANSPORT DASHBOARD'!$B$4="Area",IF(911&lt;=$I$3,IF(OR('TRANSPORT DASHBOARD'!$C$4="",ISNUMBER(SEARCH('TRANSPORT DASHBOARD'!$C$4,INDEX(MASTER_AREAS!$B:$B,912)))),911,""),""),IF('TRANSPORT DASHBOARD'!$B$4="Zone",IF(911&lt;=$I$4,IF(OR('TRANSPORT DASHBOARD'!$C$4="",ISNUMBER(SEARCH('TRANSPORT DASHBOARD'!$C$4,INDEX(MASTER_ZONES!$B:$B,912)))),911,""),""),""))</f>
        <v/>
      </c>
    </row>
    <row r="913">
      <c r="A913">
        <f>IF('WSF DASHBOARD'!$B$4="Area",IF(912&lt;=$D$3,IF(OR('WSF DASHBOARD'!$C$4="",ISNUMBER(SEARCH('WSF DASHBOARD'!$C$4,INDEX(MASTER_AREAS!$B:$B,913)))),912,""),""),IF('WSF DASHBOARD'!$B$4="Zone",IF(912&lt;=$D$4,IF(OR('WSF DASHBOARD'!$C$4="",ISNUMBER(SEARCH('WSF DASHBOARD'!$C$4,INDEX(MASTER_ZONES!$B:$B,913)))),912,""),""),""))</f>
        <v/>
      </c>
      <c r="F913">
        <f>IF('TRANSPORT DASHBOARD'!$B$4="Area",IF(912&lt;=$I$3,IF(OR('TRANSPORT DASHBOARD'!$C$4="",ISNUMBER(SEARCH('TRANSPORT DASHBOARD'!$C$4,INDEX(MASTER_AREAS!$B:$B,913)))),912,""),""),IF('TRANSPORT DASHBOARD'!$B$4="Zone",IF(912&lt;=$I$4,IF(OR('TRANSPORT DASHBOARD'!$C$4="",ISNUMBER(SEARCH('TRANSPORT DASHBOARD'!$C$4,INDEX(MASTER_ZONES!$B:$B,913)))),912,""),""),""))</f>
        <v/>
      </c>
    </row>
    <row r="914">
      <c r="A914">
        <f>IF('WSF DASHBOARD'!$B$4="Area",IF(913&lt;=$D$3,IF(OR('WSF DASHBOARD'!$C$4="",ISNUMBER(SEARCH('WSF DASHBOARD'!$C$4,INDEX(MASTER_AREAS!$B:$B,914)))),913,""),""),IF('WSF DASHBOARD'!$B$4="Zone",IF(913&lt;=$D$4,IF(OR('WSF DASHBOARD'!$C$4="",ISNUMBER(SEARCH('WSF DASHBOARD'!$C$4,INDEX(MASTER_ZONES!$B:$B,914)))),913,""),""),""))</f>
        <v/>
      </c>
      <c r="F914">
        <f>IF('TRANSPORT DASHBOARD'!$B$4="Area",IF(913&lt;=$I$3,IF(OR('TRANSPORT DASHBOARD'!$C$4="",ISNUMBER(SEARCH('TRANSPORT DASHBOARD'!$C$4,INDEX(MASTER_AREAS!$B:$B,914)))),913,""),""),IF('TRANSPORT DASHBOARD'!$B$4="Zone",IF(913&lt;=$I$4,IF(OR('TRANSPORT DASHBOARD'!$C$4="",ISNUMBER(SEARCH('TRANSPORT DASHBOARD'!$C$4,INDEX(MASTER_ZONES!$B:$B,914)))),913,""),""),""))</f>
        <v/>
      </c>
    </row>
    <row r="915">
      <c r="A915">
        <f>IF('WSF DASHBOARD'!$B$4="Area",IF(914&lt;=$D$3,IF(OR('WSF DASHBOARD'!$C$4="",ISNUMBER(SEARCH('WSF DASHBOARD'!$C$4,INDEX(MASTER_AREAS!$B:$B,915)))),914,""),""),IF('WSF DASHBOARD'!$B$4="Zone",IF(914&lt;=$D$4,IF(OR('WSF DASHBOARD'!$C$4="",ISNUMBER(SEARCH('WSF DASHBOARD'!$C$4,INDEX(MASTER_ZONES!$B:$B,915)))),914,""),""),""))</f>
        <v/>
      </c>
      <c r="F915">
        <f>IF('TRANSPORT DASHBOARD'!$B$4="Area",IF(914&lt;=$I$3,IF(OR('TRANSPORT DASHBOARD'!$C$4="",ISNUMBER(SEARCH('TRANSPORT DASHBOARD'!$C$4,INDEX(MASTER_AREAS!$B:$B,915)))),914,""),""),IF('TRANSPORT DASHBOARD'!$B$4="Zone",IF(914&lt;=$I$4,IF(OR('TRANSPORT DASHBOARD'!$C$4="",ISNUMBER(SEARCH('TRANSPORT DASHBOARD'!$C$4,INDEX(MASTER_ZONES!$B:$B,915)))),914,""),""),""))</f>
        <v/>
      </c>
    </row>
    <row r="916">
      <c r="A916">
        <f>IF('WSF DASHBOARD'!$B$4="Area",IF(915&lt;=$D$3,IF(OR('WSF DASHBOARD'!$C$4="",ISNUMBER(SEARCH('WSF DASHBOARD'!$C$4,INDEX(MASTER_AREAS!$B:$B,916)))),915,""),""),IF('WSF DASHBOARD'!$B$4="Zone",IF(915&lt;=$D$4,IF(OR('WSF DASHBOARD'!$C$4="",ISNUMBER(SEARCH('WSF DASHBOARD'!$C$4,INDEX(MASTER_ZONES!$B:$B,916)))),915,""),""),""))</f>
        <v/>
      </c>
      <c r="F916">
        <f>IF('TRANSPORT DASHBOARD'!$B$4="Area",IF(915&lt;=$I$3,IF(OR('TRANSPORT DASHBOARD'!$C$4="",ISNUMBER(SEARCH('TRANSPORT DASHBOARD'!$C$4,INDEX(MASTER_AREAS!$B:$B,916)))),915,""),""),IF('TRANSPORT DASHBOARD'!$B$4="Zone",IF(915&lt;=$I$4,IF(OR('TRANSPORT DASHBOARD'!$C$4="",ISNUMBER(SEARCH('TRANSPORT DASHBOARD'!$C$4,INDEX(MASTER_ZONES!$B:$B,916)))),915,""),""),""))</f>
        <v/>
      </c>
    </row>
    <row r="917">
      <c r="A917">
        <f>IF('WSF DASHBOARD'!$B$4="Area",IF(916&lt;=$D$3,IF(OR('WSF DASHBOARD'!$C$4="",ISNUMBER(SEARCH('WSF DASHBOARD'!$C$4,INDEX(MASTER_AREAS!$B:$B,917)))),916,""),""),IF('WSF DASHBOARD'!$B$4="Zone",IF(916&lt;=$D$4,IF(OR('WSF DASHBOARD'!$C$4="",ISNUMBER(SEARCH('WSF DASHBOARD'!$C$4,INDEX(MASTER_ZONES!$B:$B,917)))),916,""),""),""))</f>
        <v/>
      </c>
      <c r="F917">
        <f>IF('TRANSPORT DASHBOARD'!$B$4="Area",IF(916&lt;=$I$3,IF(OR('TRANSPORT DASHBOARD'!$C$4="",ISNUMBER(SEARCH('TRANSPORT DASHBOARD'!$C$4,INDEX(MASTER_AREAS!$B:$B,917)))),916,""),""),IF('TRANSPORT DASHBOARD'!$B$4="Zone",IF(916&lt;=$I$4,IF(OR('TRANSPORT DASHBOARD'!$C$4="",ISNUMBER(SEARCH('TRANSPORT DASHBOARD'!$C$4,INDEX(MASTER_ZONES!$B:$B,917)))),916,""),""),""))</f>
        <v/>
      </c>
    </row>
    <row r="918">
      <c r="A918">
        <f>IF('WSF DASHBOARD'!$B$4="Area",IF(917&lt;=$D$3,IF(OR('WSF DASHBOARD'!$C$4="",ISNUMBER(SEARCH('WSF DASHBOARD'!$C$4,INDEX(MASTER_AREAS!$B:$B,918)))),917,""),""),IF('WSF DASHBOARD'!$B$4="Zone",IF(917&lt;=$D$4,IF(OR('WSF DASHBOARD'!$C$4="",ISNUMBER(SEARCH('WSF DASHBOARD'!$C$4,INDEX(MASTER_ZONES!$B:$B,918)))),917,""),""),""))</f>
        <v/>
      </c>
      <c r="F918">
        <f>IF('TRANSPORT DASHBOARD'!$B$4="Area",IF(917&lt;=$I$3,IF(OR('TRANSPORT DASHBOARD'!$C$4="",ISNUMBER(SEARCH('TRANSPORT DASHBOARD'!$C$4,INDEX(MASTER_AREAS!$B:$B,918)))),917,""),""),IF('TRANSPORT DASHBOARD'!$B$4="Zone",IF(917&lt;=$I$4,IF(OR('TRANSPORT DASHBOARD'!$C$4="",ISNUMBER(SEARCH('TRANSPORT DASHBOARD'!$C$4,INDEX(MASTER_ZONES!$B:$B,918)))),917,""),""),""))</f>
        <v/>
      </c>
    </row>
    <row r="919">
      <c r="A919">
        <f>IF('WSF DASHBOARD'!$B$4="Area",IF(918&lt;=$D$3,IF(OR('WSF DASHBOARD'!$C$4="",ISNUMBER(SEARCH('WSF DASHBOARD'!$C$4,INDEX(MASTER_AREAS!$B:$B,919)))),918,""),""),IF('WSF DASHBOARD'!$B$4="Zone",IF(918&lt;=$D$4,IF(OR('WSF DASHBOARD'!$C$4="",ISNUMBER(SEARCH('WSF DASHBOARD'!$C$4,INDEX(MASTER_ZONES!$B:$B,919)))),918,""),""),""))</f>
        <v/>
      </c>
      <c r="F919">
        <f>IF('TRANSPORT DASHBOARD'!$B$4="Area",IF(918&lt;=$I$3,IF(OR('TRANSPORT DASHBOARD'!$C$4="",ISNUMBER(SEARCH('TRANSPORT DASHBOARD'!$C$4,INDEX(MASTER_AREAS!$B:$B,919)))),918,""),""),IF('TRANSPORT DASHBOARD'!$B$4="Zone",IF(918&lt;=$I$4,IF(OR('TRANSPORT DASHBOARD'!$C$4="",ISNUMBER(SEARCH('TRANSPORT DASHBOARD'!$C$4,INDEX(MASTER_ZONES!$B:$B,919)))),918,""),""),""))</f>
        <v/>
      </c>
    </row>
    <row r="920">
      <c r="A920">
        <f>IF('WSF DASHBOARD'!$B$4="Area",IF(919&lt;=$D$3,IF(OR('WSF DASHBOARD'!$C$4="",ISNUMBER(SEARCH('WSF DASHBOARD'!$C$4,INDEX(MASTER_AREAS!$B:$B,920)))),919,""),""),IF('WSF DASHBOARD'!$B$4="Zone",IF(919&lt;=$D$4,IF(OR('WSF DASHBOARD'!$C$4="",ISNUMBER(SEARCH('WSF DASHBOARD'!$C$4,INDEX(MASTER_ZONES!$B:$B,920)))),919,""),""),""))</f>
        <v/>
      </c>
      <c r="F920">
        <f>IF('TRANSPORT DASHBOARD'!$B$4="Area",IF(919&lt;=$I$3,IF(OR('TRANSPORT DASHBOARD'!$C$4="",ISNUMBER(SEARCH('TRANSPORT DASHBOARD'!$C$4,INDEX(MASTER_AREAS!$B:$B,920)))),919,""),""),IF('TRANSPORT DASHBOARD'!$B$4="Zone",IF(919&lt;=$I$4,IF(OR('TRANSPORT DASHBOARD'!$C$4="",ISNUMBER(SEARCH('TRANSPORT DASHBOARD'!$C$4,INDEX(MASTER_ZONES!$B:$B,920)))),919,""),""),""))</f>
        <v/>
      </c>
    </row>
    <row r="921">
      <c r="A921">
        <f>IF('WSF DASHBOARD'!$B$4="Area",IF(920&lt;=$D$3,IF(OR('WSF DASHBOARD'!$C$4="",ISNUMBER(SEARCH('WSF DASHBOARD'!$C$4,INDEX(MASTER_AREAS!$B:$B,921)))),920,""),""),IF('WSF DASHBOARD'!$B$4="Zone",IF(920&lt;=$D$4,IF(OR('WSF DASHBOARD'!$C$4="",ISNUMBER(SEARCH('WSF DASHBOARD'!$C$4,INDEX(MASTER_ZONES!$B:$B,921)))),920,""),""),""))</f>
        <v/>
      </c>
      <c r="F921">
        <f>IF('TRANSPORT DASHBOARD'!$B$4="Area",IF(920&lt;=$I$3,IF(OR('TRANSPORT DASHBOARD'!$C$4="",ISNUMBER(SEARCH('TRANSPORT DASHBOARD'!$C$4,INDEX(MASTER_AREAS!$B:$B,921)))),920,""),""),IF('TRANSPORT DASHBOARD'!$B$4="Zone",IF(920&lt;=$I$4,IF(OR('TRANSPORT DASHBOARD'!$C$4="",ISNUMBER(SEARCH('TRANSPORT DASHBOARD'!$C$4,INDEX(MASTER_ZONES!$B:$B,921)))),920,""),""),""))</f>
        <v/>
      </c>
    </row>
    <row r="922">
      <c r="A922">
        <f>IF('WSF DASHBOARD'!$B$4="Area",IF(921&lt;=$D$3,IF(OR('WSF DASHBOARD'!$C$4="",ISNUMBER(SEARCH('WSF DASHBOARD'!$C$4,INDEX(MASTER_AREAS!$B:$B,922)))),921,""),""),IF('WSF DASHBOARD'!$B$4="Zone",IF(921&lt;=$D$4,IF(OR('WSF DASHBOARD'!$C$4="",ISNUMBER(SEARCH('WSF DASHBOARD'!$C$4,INDEX(MASTER_ZONES!$B:$B,922)))),921,""),""),""))</f>
        <v/>
      </c>
      <c r="F922">
        <f>IF('TRANSPORT DASHBOARD'!$B$4="Area",IF(921&lt;=$I$3,IF(OR('TRANSPORT DASHBOARD'!$C$4="",ISNUMBER(SEARCH('TRANSPORT DASHBOARD'!$C$4,INDEX(MASTER_AREAS!$B:$B,922)))),921,""),""),IF('TRANSPORT DASHBOARD'!$B$4="Zone",IF(921&lt;=$I$4,IF(OR('TRANSPORT DASHBOARD'!$C$4="",ISNUMBER(SEARCH('TRANSPORT DASHBOARD'!$C$4,INDEX(MASTER_ZONES!$B:$B,922)))),921,""),""),""))</f>
        <v/>
      </c>
    </row>
    <row r="923">
      <c r="A923">
        <f>IF('WSF DASHBOARD'!$B$4="Area",IF(922&lt;=$D$3,IF(OR('WSF DASHBOARD'!$C$4="",ISNUMBER(SEARCH('WSF DASHBOARD'!$C$4,INDEX(MASTER_AREAS!$B:$B,923)))),922,""),""),IF('WSF DASHBOARD'!$B$4="Zone",IF(922&lt;=$D$4,IF(OR('WSF DASHBOARD'!$C$4="",ISNUMBER(SEARCH('WSF DASHBOARD'!$C$4,INDEX(MASTER_ZONES!$B:$B,923)))),922,""),""),""))</f>
        <v/>
      </c>
      <c r="F923">
        <f>IF('TRANSPORT DASHBOARD'!$B$4="Area",IF(922&lt;=$I$3,IF(OR('TRANSPORT DASHBOARD'!$C$4="",ISNUMBER(SEARCH('TRANSPORT DASHBOARD'!$C$4,INDEX(MASTER_AREAS!$B:$B,923)))),922,""),""),IF('TRANSPORT DASHBOARD'!$B$4="Zone",IF(922&lt;=$I$4,IF(OR('TRANSPORT DASHBOARD'!$C$4="",ISNUMBER(SEARCH('TRANSPORT DASHBOARD'!$C$4,INDEX(MASTER_ZONES!$B:$B,923)))),922,""),""),""))</f>
        <v/>
      </c>
    </row>
    <row r="924">
      <c r="A924">
        <f>IF('WSF DASHBOARD'!$B$4="Area",IF(923&lt;=$D$3,IF(OR('WSF DASHBOARD'!$C$4="",ISNUMBER(SEARCH('WSF DASHBOARD'!$C$4,INDEX(MASTER_AREAS!$B:$B,924)))),923,""),""),IF('WSF DASHBOARD'!$B$4="Zone",IF(923&lt;=$D$4,IF(OR('WSF DASHBOARD'!$C$4="",ISNUMBER(SEARCH('WSF DASHBOARD'!$C$4,INDEX(MASTER_ZONES!$B:$B,924)))),923,""),""),""))</f>
        <v/>
      </c>
      <c r="F924">
        <f>IF('TRANSPORT DASHBOARD'!$B$4="Area",IF(923&lt;=$I$3,IF(OR('TRANSPORT DASHBOARD'!$C$4="",ISNUMBER(SEARCH('TRANSPORT DASHBOARD'!$C$4,INDEX(MASTER_AREAS!$B:$B,924)))),923,""),""),IF('TRANSPORT DASHBOARD'!$B$4="Zone",IF(923&lt;=$I$4,IF(OR('TRANSPORT DASHBOARD'!$C$4="",ISNUMBER(SEARCH('TRANSPORT DASHBOARD'!$C$4,INDEX(MASTER_ZONES!$B:$B,924)))),923,""),""),""))</f>
        <v/>
      </c>
    </row>
    <row r="925">
      <c r="A925">
        <f>IF('WSF DASHBOARD'!$B$4="Area",IF(924&lt;=$D$3,IF(OR('WSF DASHBOARD'!$C$4="",ISNUMBER(SEARCH('WSF DASHBOARD'!$C$4,INDEX(MASTER_AREAS!$B:$B,925)))),924,""),""),IF('WSF DASHBOARD'!$B$4="Zone",IF(924&lt;=$D$4,IF(OR('WSF DASHBOARD'!$C$4="",ISNUMBER(SEARCH('WSF DASHBOARD'!$C$4,INDEX(MASTER_ZONES!$B:$B,925)))),924,""),""),""))</f>
        <v/>
      </c>
      <c r="F925">
        <f>IF('TRANSPORT DASHBOARD'!$B$4="Area",IF(924&lt;=$I$3,IF(OR('TRANSPORT DASHBOARD'!$C$4="",ISNUMBER(SEARCH('TRANSPORT DASHBOARD'!$C$4,INDEX(MASTER_AREAS!$B:$B,925)))),924,""),""),IF('TRANSPORT DASHBOARD'!$B$4="Zone",IF(924&lt;=$I$4,IF(OR('TRANSPORT DASHBOARD'!$C$4="",ISNUMBER(SEARCH('TRANSPORT DASHBOARD'!$C$4,INDEX(MASTER_ZONES!$B:$B,925)))),924,""),""),""))</f>
        <v/>
      </c>
    </row>
    <row r="926">
      <c r="A926">
        <f>IF('WSF DASHBOARD'!$B$4="Area",IF(925&lt;=$D$3,IF(OR('WSF DASHBOARD'!$C$4="",ISNUMBER(SEARCH('WSF DASHBOARD'!$C$4,INDEX(MASTER_AREAS!$B:$B,926)))),925,""),""),IF('WSF DASHBOARD'!$B$4="Zone",IF(925&lt;=$D$4,IF(OR('WSF DASHBOARD'!$C$4="",ISNUMBER(SEARCH('WSF DASHBOARD'!$C$4,INDEX(MASTER_ZONES!$B:$B,926)))),925,""),""),""))</f>
        <v/>
      </c>
      <c r="F926">
        <f>IF('TRANSPORT DASHBOARD'!$B$4="Area",IF(925&lt;=$I$3,IF(OR('TRANSPORT DASHBOARD'!$C$4="",ISNUMBER(SEARCH('TRANSPORT DASHBOARD'!$C$4,INDEX(MASTER_AREAS!$B:$B,926)))),925,""),""),IF('TRANSPORT DASHBOARD'!$B$4="Zone",IF(925&lt;=$I$4,IF(OR('TRANSPORT DASHBOARD'!$C$4="",ISNUMBER(SEARCH('TRANSPORT DASHBOARD'!$C$4,INDEX(MASTER_ZONES!$B:$B,926)))),925,""),""),""))</f>
        <v/>
      </c>
    </row>
    <row r="927">
      <c r="A927">
        <f>IF('WSF DASHBOARD'!$B$4="Area",IF(926&lt;=$D$3,IF(OR('WSF DASHBOARD'!$C$4="",ISNUMBER(SEARCH('WSF DASHBOARD'!$C$4,INDEX(MASTER_AREAS!$B:$B,927)))),926,""),""),IF('WSF DASHBOARD'!$B$4="Zone",IF(926&lt;=$D$4,IF(OR('WSF DASHBOARD'!$C$4="",ISNUMBER(SEARCH('WSF DASHBOARD'!$C$4,INDEX(MASTER_ZONES!$B:$B,927)))),926,""),""),""))</f>
        <v/>
      </c>
      <c r="F927">
        <f>IF('TRANSPORT DASHBOARD'!$B$4="Area",IF(926&lt;=$I$3,IF(OR('TRANSPORT DASHBOARD'!$C$4="",ISNUMBER(SEARCH('TRANSPORT DASHBOARD'!$C$4,INDEX(MASTER_AREAS!$B:$B,927)))),926,""),""),IF('TRANSPORT DASHBOARD'!$B$4="Zone",IF(926&lt;=$I$4,IF(OR('TRANSPORT DASHBOARD'!$C$4="",ISNUMBER(SEARCH('TRANSPORT DASHBOARD'!$C$4,INDEX(MASTER_ZONES!$B:$B,927)))),926,""),""),""))</f>
        <v/>
      </c>
    </row>
    <row r="928">
      <c r="A928">
        <f>IF('WSF DASHBOARD'!$B$4="Area",IF(927&lt;=$D$3,IF(OR('WSF DASHBOARD'!$C$4="",ISNUMBER(SEARCH('WSF DASHBOARD'!$C$4,INDEX(MASTER_AREAS!$B:$B,928)))),927,""),""),IF('WSF DASHBOARD'!$B$4="Zone",IF(927&lt;=$D$4,IF(OR('WSF DASHBOARD'!$C$4="",ISNUMBER(SEARCH('WSF DASHBOARD'!$C$4,INDEX(MASTER_ZONES!$B:$B,928)))),927,""),""),""))</f>
        <v/>
      </c>
      <c r="F928">
        <f>IF('TRANSPORT DASHBOARD'!$B$4="Area",IF(927&lt;=$I$3,IF(OR('TRANSPORT DASHBOARD'!$C$4="",ISNUMBER(SEARCH('TRANSPORT DASHBOARD'!$C$4,INDEX(MASTER_AREAS!$B:$B,928)))),927,""),""),IF('TRANSPORT DASHBOARD'!$B$4="Zone",IF(927&lt;=$I$4,IF(OR('TRANSPORT DASHBOARD'!$C$4="",ISNUMBER(SEARCH('TRANSPORT DASHBOARD'!$C$4,INDEX(MASTER_ZONES!$B:$B,928)))),927,""),""),""))</f>
        <v/>
      </c>
    </row>
    <row r="929">
      <c r="A929">
        <f>IF('WSF DASHBOARD'!$B$4="Area",IF(928&lt;=$D$3,IF(OR('WSF DASHBOARD'!$C$4="",ISNUMBER(SEARCH('WSF DASHBOARD'!$C$4,INDEX(MASTER_AREAS!$B:$B,929)))),928,""),""),IF('WSF DASHBOARD'!$B$4="Zone",IF(928&lt;=$D$4,IF(OR('WSF DASHBOARD'!$C$4="",ISNUMBER(SEARCH('WSF DASHBOARD'!$C$4,INDEX(MASTER_ZONES!$B:$B,929)))),928,""),""),""))</f>
        <v/>
      </c>
      <c r="F929">
        <f>IF('TRANSPORT DASHBOARD'!$B$4="Area",IF(928&lt;=$I$3,IF(OR('TRANSPORT DASHBOARD'!$C$4="",ISNUMBER(SEARCH('TRANSPORT DASHBOARD'!$C$4,INDEX(MASTER_AREAS!$B:$B,929)))),928,""),""),IF('TRANSPORT DASHBOARD'!$B$4="Zone",IF(928&lt;=$I$4,IF(OR('TRANSPORT DASHBOARD'!$C$4="",ISNUMBER(SEARCH('TRANSPORT DASHBOARD'!$C$4,INDEX(MASTER_ZONES!$B:$B,929)))),928,""),""),""))</f>
        <v/>
      </c>
    </row>
    <row r="930">
      <c r="A930">
        <f>IF('WSF DASHBOARD'!$B$4="Area",IF(929&lt;=$D$3,IF(OR('WSF DASHBOARD'!$C$4="",ISNUMBER(SEARCH('WSF DASHBOARD'!$C$4,INDEX(MASTER_AREAS!$B:$B,930)))),929,""),""),IF('WSF DASHBOARD'!$B$4="Zone",IF(929&lt;=$D$4,IF(OR('WSF DASHBOARD'!$C$4="",ISNUMBER(SEARCH('WSF DASHBOARD'!$C$4,INDEX(MASTER_ZONES!$B:$B,930)))),929,""),""),""))</f>
        <v/>
      </c>
      <c r="F930">
        <f>IF('TRANSPORT DASHBOARD'!$B$4="Area",IF(929&lt;=$I$3,IF(OR('TRANSPORT DASHBOARD'!$C$4="",ISNUMBER(SEARCH('TRANSPORT DASHBOARD'!$C$4,INDEX(MASTER_AREAS!$B:$B,930)))),929,""),""),IF('TRANSPORT DASHBOARD'!$B$4="Zone",IF(929&lt;=$I$4,IF(OR('TRANSPORT DASHBOARD'!$C$4="",ISNUMBER(SEARCH('TRANSPORT DASHBOARD'!$C$4,INDEX(MASTER_ZONES!$B:$B,930)))),929,""),""),""))</f>
        <v/>
      </c>
    </row>
    <row r="931">
      <c r="A931">
        <f>IF('WSF DASHBOARD'!$B$4="Area",IF(930&lt;=$D$3,IF(OR('WSF DASHBOARD'!$C$4="",ISNUMBER(SEARCH('WSF DASHBOARD'!$C$4,INDEX(MASTER_AREAS!$B:$B,931)))),930,""),""),IF('WSF DASHBOARD'!$B$4="Zone",IF(930&lt;=$D$4,IF(OR('WSF DASHBOARD'!$C$4="",ISNUMBER(SEARCH('WSF DASHBOARD'!$C$4,INDEX(MASTER_ZONES!$B:$B,931)))),930,""),""),""))</f>
        <v/>
      </c>
      <c r="F931">
        <f>IF('TRANSPORT DASHBOARD'!$B$4="Area",IF(930&lt;=$I$3,IF(OR('TRANSPORT DASHBOARD'!$C$4="",ISNUMBER(SEARCH('TRANSPORT DASHBOARD'!$C$4,INDEX(MASTER_AREAS!$B:$B,931)))),930,""),""),IF('TRANSPORT DASHBOARD'!$B$4="Zone",IF(930&lt;=$I$4,IF(OR('TRANSPORT DASHBOARD'!$C$4="",ISNUMBER(SEARCH('TRANSPORT DASHBOARD'!$C$4,INDEX(MASTER_ZONES!$B:$B,931)))),930,""),""),""))</f>
        <v/>
      </c>
    </row>
    <row r="932">
      <c r="A932">
        <f>IF('WSF DASHBOARD'!$B$4="Area",IF(931&lt;=$D$3,IF(OR('WSF DASHBOARD'!$C$4="",ISNUMBER(SEARCH('WSF DASHBOARD'!$C$4,INDEX(MASTER_AREAS!$B:$B,932)))),931,""),""),IF('WSF DASHBOARD'!$B$4="Zone",IF(931&lt;=$D$4,IF(OR('WSF DASHBOARD'!$C$4="",ISNUMBER(SEARCH('WSF DASHBOARD'!$C$4,INDEX(MASTER_ZONES!$B:$B,932)))),931,""),""),""))</f>
        <v/>
      </c>
      <c r="F932">
        <f>IF('TRANSPORT DASHBOARD'!$B$4="Area",IF(931&lt;=$I$3,IF(OR('TRANSPORT DASHBOARD'!$C$4="",ISNUMBER(SEARCH('TRANSPORT DASHBOARD'!$C$4,INDEX(MASTER_AREAS!$B:$B,932)))),931,""),""),IF('TRANSPORT DASHBOARD'!$B$4="Zone",IF(931&lt;=$I$4,IF(OR('TRANSPORT DASHBOARD'!$C$4="",ISNUMBER(SEARCH('TRANSPORT DASHBOARD'!$C$4,INDEX(MASTER_ZONES!$B:$B,932)))),931,""),""),""))</f>
        <v/>
      </c>
    </row>
    <row r="933">
      <c r="A933">
        <f>IF('WSF DASHBOARD'!$B$4="Area",IF(932&lt;=$D$3,IF(OR('WSF DASHBOARD'!$C$4="",ISNUMBER(SEARCH('WSF DASHBOARD'!$C$4,INDEX(MASTER_AREAS!$B:$B,933)))),932,""),""),IF('WSF DASHBOARD'!$B$4="Zone",IF(932&lt;=$D$4,IF(OR('WSF DASHBOARD'!$C$4="",ISNUMBER(SEARCH('WSF DASHBOARD'!$C$4,INDEX(MASTER_ZONES!$B:$B,933)))),932,""),""),""))</f>
        <v/>
      </c>
      <c r="F933">
        <f>IF('TRANSPORT DASHBOARD'!$B$4="Area",IF(932&lt;=$I$3,IF(OR('TRANSPORT DASHBOARD'!$C$4="",ISNUMBER(SEARCH('TRANSPORT DASHBOARD'!$C$4,INDEX(MASTER_AREAS!$B:$B,933)))),932,""),""),IF('TRANSPORT DASHBOARD'!$B$4="Zone",IF(932&lt;=$I$4,IF(OR('TRANSPORT DASHBOARD'!$C$4="",ISNUMBER(SEARCH('TRANSPORT DASHBOARD'!$C$4,INDEX(MASTER_ZONES!$B:$B,933)))),932,""),""),""))</f>
        <v/>
      </c>
    </row>
    <row r="934">
      <c r="A934">
        <f>IF('WSF DASHBOARD'!$B$4="Area",IF(933&lt;=$D$3,IF(OR('WSF DASHBOARD'!$C$4="",ISNUMBER(SEARCH('WSF DASHBOARD'!$C$4,INDEX(MASTER_AREAS!$B:$B,934)))),933,""),""),IF('WSF DASHBOARD'!$B$4="Zone",IF(933&lt;=$D$4,IF(OR('WSF DASHBOARD'!$C$4="",ISNUMBER(SEARCH('WSF DASHBOARD'!$C$4,INDEX(MASTER_ZONES!$B:$B,934)))),933,""),""),""))</f>
        <v/>
      </c>
      <c r="F934">
        <f>IF('TRANSPORT DASHBOARD'!$B$4="Area",IF(933&lt;=$I$3,IF(OR('TRANSPORT DASHBOARD'!$C$4="",ISNUMBER(SEARCH('TRANSPORT DASHBOARD'!$C$4,INDEX(MASTER_AREAS!$B:$B,934)))),933,""),""),IF('TRANSPORT DASHBOARD'!$B$4="Zone",IF(933&lt;=$I$4,IF(OR('TRANSPORT DASHBOARD'!$C$4="",ISNUMBER(SEARCH('TRANSPORT DASHBOARD'!$C$4,INDEX(MASTER_ZONES!$B:$B,934)))),933,""),""),""))</f>
        <v/>
      </c>
    </row>
    <row r="935">
      <c r="A935">
        <f>IF('WSF DASHBOARD'!$B$4="Area",IF(934&lt;=$D$3,IF(OR('WSF DASHBOARD'!$C$4="",ISNUMBER(SEARCH('WSF DASHBOARD'!$C$4,INDEX(MASTER_AREAS!$B:$B,935)))),934,""),""),IF('WSF DASHBOARD'!$B$4="Zone",IF(934&lt;=$D$4,IF(OR('WSF DASHBOARD'!$C$4="",ISNUMBER(SEARCH('WSF DASHBOARD'!$C$4,INDEX(MASTER_ZONES!$B:$B,935)))),934,""),""),""))</f>
        <v/>
      </c>
      <c r="F935">
        <f>IF('TRANSPORT DASHBOARD'!$B$4="Area",IF(934&lt;=$I$3,IF(OR('TRANSPORT DASHBOARD'!$C$4="",ISNUMBER(SEARCH('TRANSPORT DASHBOARD'!$C$4,INDEX(MASTER_AREAS!$B:$B,935)))),934,""),""),IF('TRANSPORT DASHBOARD'!$B$4="Zone",IF(934&lt;=$I$4,IF(OR('TRANSPORT DASHBOARD'!$C$4="",ISNUMBER(SEARCH('TRANSPORT DASHBOARD'!$C$4,INDEX(MASTER_ZONES!$B:$B,935)))),934,""),""),""))</f>
        <v/>
      </c>
    </row>
    <row r="936">
      <c r="A936">
        <f>IF('WSF DASHBOARD'!$B$4="Area",IF(935&lt;=$D$3,IF(OR('WSF DASHBOARD'!$C$4="",ISNUMBER(SEARCH('WSF DASHBOARD'!$C$4,INDEX(MASTER_AREAS!$B:$B,936)))),935,""),""),IF('WSF DASHBOARD'!$B$4="Zone",IF(935&lt;=$D$4,IF(OR('WSF DASHBOARD'!$C$4="",ISNUMBER(SEARCH('WSF DASHBOARD'!$C$4,INDEX(MASTER_ZONES!$B:$B,936)))),935,""),""),""))</f>
        <v/>
      </c>
      <c r="F936">
        <f>IF('TRANSPORT DASHBOARD'!$B$4="Area",IF(935&lt;=$I$3,IF(OR('TRANSPORT DASHBOARD'!$C$4="",ISNUMBER(SEARCH('TRANSPORT DASHBOARD'!$C$4,INDEX(MASTER_AREAS!$B:$B,936)))),935,""),""),IF('TRANSPORT DASHBOARD'!$B$4="Zone",IF(935&lt;=$I$4,IF(OR('TRANSPORT DASHBOARD'!$C$4="",ISNUMBER(SEARCH('TRANSPORT DASHBOARD'!$C$4,INDEX(MASTER_ZONES!$B:$B,936)))),935,""),""),""))</f>
        <v/>
      </c>
    </row>
    <row r="937">
      <c r="A937">
        <f>IF('WSF DASHBOARD'!$B$4="Area",IF(936&lt;=$D$3,IF(OR('WSF DASHBOARD'!$C$4="",ISNUMBER(SEARCH('WSF DASHBOARD'!$C$4,INDEX(MASTER_AREAS!$B:$B,937)))),936,""),""),IF('WSF DASHBOARD'!$B$4="Zone",IF(936&lt;=$D$4,IF(OR('WSF DASHBOARD'!$C$4="",ISNUMBER(SEARCH('WSF DASHBOARD'!$C$4,INDEX(MASTER_ZONES!$B:$B,937)))),936,""),""),""))</f>
        <v/>
      </c>
      <c r="F937">
        <f>IF('TRANSPORT DASHBOARD'!$B$4="Area",IF(936&lt;=$I$3,IF(OR('TRANSPORT DASHBOARD'!$C$4="",ISNUMBER(SEARCH('TRANSPORT DASHBOARD'!$C$4,INDEX(MASTER_AREAS!$B:$B,937)))),936,""),""),IF('TRANSPORT DASHBOARD'!$B$4="Zone",IF(936&lt;=$I$4,IF(OR('TRANSPORT DASHBOARD'!$C$4="",ISNUMBER(SEARCH('TRANSPORT DASHBOARD'!$C$4,INDEX(MASTER_ZONES!$B:$B,937)))),936,""),""),""))</f>
        <v/>
      </c>
    </row>
    <row r="938">
      <c r="A938">
        <f>IF('WSF DASHBOARD'!$B$4="Area",IF(937&lt;=$D$3,IF(OR('WSF DASHBOARD'!$C$4="",ISNUMBER(SEARCH('WSF DASHBOARD'!$C$4,INDEX(MASTER_AREAS!$B:$B,938)))),937,""),""),IF('WSF DASHBOARD'!$B$4="Zone",IF(937&lt;=$D$4,IF(OR('WSF DASHBOARD'!$C$4="",ISNUMBER(SEARCH('WSF DASHBOARD'!$C$4,INDEX(MASTER_ZONES!$B:$B,938)))),937,""),""),""))</f>
        <v/>
      </c>
      <c r="F938">
        <f>IF('TRANSPORT DASHBOARD'!$B$4="Area",IF(937&lt;=$I$3,IF(OR('TRANSPORT DASHBOARD'!$C$4="",ISNUMBER(SEARCH('TRANSPORT DASHBOARD'!$C$4,INDEX(MASTER_AREAS!$B:$B,938)))),937,""),""),IF('TRANSPORT DASHBOARD'!$B$4="Zone",IF(937&lt;=$I$4,IF(OR('TRANSPORT DASHBOARD'!$C$4="",ISNUMBER(SEARCH('TRANSPORT DASHBOARD'!$C$4,INDEX(MASTER_ZONES!$B:$B,938)))),937,""),""),""))</f>
        <v/>
      </c>
    </row>
    <row r="939">
      <c r="A939">
        <f>IF('WSF DASHBOARD'!$B$4="Area",IF(938&lt;=$D$3,IF(OR('WSF DASHBOARD'!$C$4="",ISNUMBER(SEARCH('WSF DASHBOARD'!$C$4,INDEX(MASTER_AREAS!$B:$B,939)))),938,""),""),IF('WSF DASHBOARD'!$B$4="Zone",IF(938&lt;=$D$4,IF(OR('WSF DASHBOARD'!$C$4="",ISNUMBER(SEARCH('WSF DASHBOARD'!$C$4,INDEX(MASTER_ZONES!$B:$B,939)))),938,""),""),""))</f>
        <v/>
      </c>
      <c r="F939">
        <f>IF('TRANSPORT DASHBOARD'!$B$4="Area",IF(938&lt;=$I$3,IF(OR('TRANSPORT DASHBOARD'!$C$4="",ISNUMBER(SEARCH('TRANSPORT DASHBOARD'!$C$4,INDEX(MASTER_AREAS!$B:$B,939)))),938,""),""),IF('TRANSPORT DASHBOARD'!$B$4="Zone",IF(938&lt;=$I$4,IF(OR('TRANSPORT DASHBOARD'!$C$4="",ISNUMBER(SEARCH('TRANSPORT DASHBOARD'!$C$4,INDEX(MASTER_ZONES!$B:$B,939)))),938,""),""),""))</f>
        <v/>
      </c>
    </row>
    <row r="940">
      <c r="A940">
        <f>IF('WSF DASHBOARD'!$B$4="Area",IF(939&lt;=$D$3,IF(OR('WSF DASHBOARD'!$C$4="",ISNUMBER(SEARCH('WSF DASHBOARD'!$C$4,INDEX(MASTER_AREAS!$B:$B,940)))),939,""),""),IF('WSF DASHBOARD'!$B$4="Zone",IF(939&lt;=$D$4,IF(OR('WSF DASHBOARD'!$C$4="",ISNUMBER(SEARCH('WSF DASHBOARD'!$C$4,INDEX(MASTER_ZONES!$B:$B,940)))),939,""),""),""))</f>
        <v/>
      </c>
      <c r="F940">
        <f>IF('TRANSPORT DASHBOARD'!$B$4="Area",IF(939&lt;=$I$3,IF(OR('TRANSPORT DASHBOARD'!$C$4="",ISNUMBER(SEARCH('TRANSPORT DASHBOARD'!$C$4,INDEX(MASTER_AREAS!$B:$B,940)))),939,""),""),IF('TRANSPORT DASHBOARD'!$B$4="Zone",IF(939&lt;=$I$4,IF(OR('TRANSPORT DASHBOARD'!$C$4="",ISNUMBER(SEARCH('TRANSPORT DASHBOARD'!$C$4,INDEX(MASTER_ZONES!$B:$B,940)))),939,""),""),""))</f>
        <v/>
      </c>
    </row>
    <row r="941">
      <c r="A941">
        <f>IF('WSF DASHBOARD'!$B$4="Area",IF(940&lt;=$D$3,IF(OR('WSF DASHBOARD'!$C$4="",ISNUMBER(SEARCH('WSF DASHBOARD'!$C$4,INDEX(MASTER_AREAS!$B:$B,941)))),940,""),""),IF('WSF DASHBOARD'!$B$4="Zone",IF(940&lt;=$D$4,IF(OR('WSF DASHBOARD'!$C$4="",ISNUMBER(SEARCH('WSF DASHBOARD'!$C$4,INDEX(MASTER_ZONES!$B:$B,941)))),940,""),""),""))</f>
        <v/>
      </c>
      <c r="F941">
        <f>IF('TRANSPORT DASHBOARD'!$B$4="Area",IF(940&lt;=$I$3,IF(OR('TRANSPORT DASHBOARD'!$C$4="",ISNUMBER(SEARCH('TRANSPORT DASHBOARD'!$C$4,INDEX(MASTER_AREAS!$B:$B,941)))),940,""),""),IF('TRANSPORT DASHBOARD'!$B$4="Zone",IF(940&lt;=$I$4,IF(OR('TRANSPORT DASHBOARD'!$C$4="",ISNUMBER(SEARCH('TRANSPORT DASHBOARD'!$C$4,INDEX(MASTER_ZONES!$B:$B,941)))),940,""),""),""))</f>
        <v/>
      </c>
    </row>
    <row r="942">
      <c r="A942">
        <f>IF('WSF DASHBOARD'!$B$4="Area",IF(941&lt;=$D$3,IF(OR('WSF DASHBOARD'!$C$4="",ISNUMBER(SEARCH('WSF DASHBOARD'!$C$4,INDEX(MASTER_AREAS!$B:$B,942)))),941,""),""),IF('WSF DASHBOARD'!$B$4="Zone",IF(941&lt;=$D$4,IF(OR('WSF DASHBOARD'!$C$4="",ISNUMBER(SEARCH('WSF DASHBOARD'!$C$4,INDEX(MASTER_ZONES!$B:$B,942)))),941,""),""),""))</f>
        <v/>
      </c>
      <c r="F942">
        <f>IF('TRANSPORT DASHBOARD'!$B$4="Area",IF(941&lt;=$I$3,IF(OR('TRANSPORT DASHBOARD'!$C$4="",ISNUMBER(SEARCH('TRANSPORT DASHBOARD'!$C$4,INDEX(MASTER_AREAS!$B:$B,942)))),941,""),""),IF('TRANSPORT DASHBOARD'!$B$4="Zone",IF(941&lt;=$I$4,IF(OR('TRANSPORT DASHBOARD'!$C$4="",ISNUMBER(SEARCH('TRANSPORT DASHBOARD'!$C$4,INDEX(MASTER_ZONES!$B:$B,942)))),941,""),""),""))</f>
        <v/>
      </c>
    </row>
    <row r="943">
      <c r="A943">
        <f>IF('WSF DASHBOARD'!$B$4="Area",IF(942&lt;=$D$3,IF(OR('WSF DASHBOARD'!$C$4="",ISNUMBER(SEARCH('WSF DASHBOARD'!$C$4,INDEX(MASTER_AREAS!$B:$B,943)))),942,""),""),IF('WSF DASHBOARD'!$B$4="Zone",IF(942&lt;=$D$4,IF(OR('WSF DASHBOARD'!$C$4="",ISNUMBER(SEARCH('WSF DASHBOARD'!$C$4,INDEX(MASTER_ZONES!$B:$B,943)))),942,""),""),""))</f>
        <v/>
      </c>
      <c r="F943">
        <f>IF('TRANSPORT DASHBOARD'!$B$4="Area",IF(942&lt;=$I$3,IF(OR('TRANSPORT DASHBOARD'!$C$4="",ISNUMBER(SEARCH('TRANSPORT DASHBOARD'!$C$4,INDEX(MASTER_AREAS!$B:$B,943)))),942,""),""),IF('TRANSPORT DASHBOARD'!$B$4="Zone",IF(942&lt;=$I$4,IF(OR('TRANSPORT DASHBOARD'!$C$4="",ISNUMBER(SEARCH('TRANSPORT DASHBOARD'!$C$4,INDEX(MASTER_ZONES!$B:$B,943)))),942,""),""),""))</f>
        <v/>
      </c>
    </row>
    <row r="944">
      <c r="A944">
        <f>IF('WSF DASHBOARD'!$B$4="Area",IF(943&lt;=$D$3,IF(OR('WSF DASHBOARD'!$C$4="",ISNUMBER(SEARCH('WSF DASHBOARD'!$C$4,INDEX(MASTER_AREAS!$B:$B,944)))),943,""),""),IF('WSF DASHBOARD'!$B$4="Zone",IF(943&lt;=$D$4,IF(OR('WSF DASHBOARD'!$C$4="",ISNUMBER(SEARCH('WSF DASHBOARD'!$C$4,INDEX(MASTER_ZONES!$B:$B,944)))),943,""),""),""))</f>
        <v/>
      </c>
      <c r="F944">
        <f>IF('TRANSPORT DASHBOARD'!$B$4="Area",IF(943&lt;=$I$3,IF(OR('TRANSPORT DASHBOARD'!$C$4="",ISNUMBER(SEARCH('TRANSPORT DASHBOARD'!$C$4,INDEX(MASTER_AREAS!$B:$B,944)))),943,""),""),IF('TRANSPORT DASHBOARD'!$B$4="Zone",IF(943&lt;=$I$4,IF(OR('TRANSPORT DASHBOARD'!$C$4="",ISNUMBER(SEARCH('TRANSPORT DASHBOARD'!$C$4,INDEX(MASTER_ZONES!$B:$B,944)))),943,""),""),""))</f>
        <v/>
      </c>
    </row>
    <row r="945">
      <c r="A945">
        <f>IF('WSF DASHBOARD'!$B$4="Area",IF(944&lt;=$D$3,IF(OR('WSF DASHBOARD'!$C$4="",ISNUMBER(SEARCH('WSF DASHBOARD'!$C$4,INDEX(MASTER_AREAS!$B:$B,945)))),944,""),""),IF('WSF DASHBOARD'!$B$4="Zone",IF(944&lt;=$D$4,IF(OR('WSF DASHBOARD'!$C$4="",ISNUMBER(SEARCH('WSF DASHBOARD'!$C$4,INDEX(MASTER_ZONES!$B:$B,945)))),944,""),""),""))</f>
        <v/>
      </c>
      <c r="F945">
        <f>IF('TRANSPORT DASHBOARD'!$B$4="Area",IF(944&lt;=$I$3,IF(OR('TRANSPORT DASHBOARD'!$C$4="",ISNUMBER(SEARCH('TRANSPORT DASHBOARD'!$C$4,INDEX(MASTER_AREAS!$B:$B,945)))),944,""),""),IF('TRANSPORT DASHBOARD'!$B$4="Zone",IF(944&lt;=$I$4,IF(OR('TRANSPORT DASHBOARD'!$C$4="",ISNUMBER(SEARCH('TRANSPORT DASHBOARD'!$C$4,INDEX(MASTER_ZONES!$B:$B,945)))),944,""),""),""))</f>
        <v/>
      </c>
    </row>
    <row r="946">
      <c r="A946">
        <f>IF('WSF DASHBOARD'!$B$4="Area",IF(945&lt;=$D$3,IF(OR('WSF DASHBOARD'!$C$4="",ISNUMBER(SEARCH('WSF DASHBOARD'!$C$4,INDEX(MASTER_AREAS!$B:$B,946)))),945,""),""),IF('WSF DASHBOARD'!$B$4="Zone",IF(945&lt;=$D$4,IF(OR('WSF DASHBOARD'!$C$4="",ISNUMBER(SEARCH('WSF DASHBOARD'!$C$4,INDEX(MASTER_ZONES!$B:$B,946)))),945,""),""),""))</f>
        <v/>
      </c>
      <c r="F946">
        <f>IF('TRANSPORT DASHBOARD'!$B$4="Area",IF(945&lt;=$I$3,IF(OR('TRANSPORT DASHBOARD'!$C$4="",ISNUMBER(SEARCH('TRANSPORT DASHBOARD'!$C$4,INDEX(MASTER_AREAS!$B:$B,946)))),945,""),""),IF('TRANSPORT DASHBOARD'!$B$4="Zone",IF(945&lt;=$I$4,IF(OR('TRANSPORT DASHBOARD'!$C$4="",ISNUMBER(SEARCH('TRANSPORT DASHBOARD'!$C$4,INDEX(MASTER_ZONES!$B:$B,946)))),945,""),""),""))</f>
        <v/>
      </c>
    </row>
    <row r="947">
      <c r="A947">
        <f>IF('WSF DASHBOARD'!$B$4="Area",IF(946&lt;=$D$3,IF(OR('WSF DASHBOARD'!$C$4="",ISNUMBER(SEARCH('WSF DASHBOARD'!$C$4,INDEX(MASTER_AREAS!$B:$B,947)))),946,""),""),IF('WSF DASHBOARD'!$B$4="Zone",IF(946&lt;=$D$4,IF(OR('WSF DASHBOARD'!$C$4="",ISNUMBER(SEARCH('WSF DASHBOARD'!$C$4,INDEX(MASTER_ZONES!$B:$B,947)))),946,""),""),""))</f>
        <v/>
      </c>
      <c r="F947">
        <f>IF('TRANSPORT DASHBOARD'!$B$4="Area",IF(946&lt;=$I$3,IF(OR('TRANSPORT DASHBOARD'!$C$4="",ISNUMBER(SEARCH('TRANSPORT DASHBOARD'!$C$4,INDEX(MASTER_AREAS!$B:$B,947)))),946,""),""),IF('TRANSPORT DASHBOARD'!$B$4="Zone",IF(946&lt;=$I$4,IF(OR('TRANSPORT DASHBOARD'!$C$4="",ISNUMBER(SEARCH('TRANSPORT DASHBOARD'!$C$4,INDEX(MASTER_ZONES!$B:$B,947)))),946,""),""),""))</f>
        <v/>
      </c>
    </row>
    <row r="948">
      <c r="A948">
        <f>IF('WSF DASHBOARD'!$B$4="Area",IF(947&lt;=$D$3,IF(OR('WSF DASHBOARD'!$C$4="",ISNUMBER(SEARCH('WSF DASHBOARD'!$C$4,INDEX(MASTER_AREAS!$B:$B,948)))),947,""),""),IF('WSF DASHBOARD'!$B$4="Zone",IF(947&lt;=$D$4,IF(OR('WSF DASHBOARD'!$C$4="",ISNUMBER(SEARCH('WSF DASHBOARD'!$C$4,INDEX(MASTER_ZONES!$B:$B,948)))),947,""),""),""))</f>
        <v/>
      </c>
      <c r="F948">
        <f>IF('TRANSPORT DASHBOARD'!$B$4="Area",IF(947&lt;=$I$3,IF(OR('TRANSPORT DASHBOARD'!$C$4="",ISNUMBER(SEARCH('TRANSPORT DASHBOARD'!$C$4,INDEX(MASTER_AREAS!$B:$B,948)))),947,""),""),IF('TRANSPORT DASHBOARD'!$B$4="Zone",IF(947&lt;=$I$4,IF(OR('TRANSPORT DASHBOARD'!$C$4="",ISNUMBER(SEARCH('TRANSPORT DASHBOARD'!$C$4,INDEX(MASTER_ZONES!$B:$B,948)))),947,""),""),""))</f>
        <v/>
      </c>
    </row>
    <row r="949">
      <c r="A949">
        <f>IF('WSF DASHBOARD'!$B$4="Area",IF(948&lt;=$D$3,IF(OR('WSF DASHBOARD'!$C$4="",ISNUMBER(SEARCH('WSF DASHBOARD'!$C$4,INDEX(MASTER_AREAS!$B:$B,949)))),948,""),""),IF('WSF DASHBOARD'!$B$4="Zone",IF(948&lt;=$D$4,IF(OR('WSF DASHBOARD'!$C$4="",ISNUMBER(SEARCH('WSF DASHBOARD'!$C$4,INDEX(MASTER_ZONES!$B:$B,949)))),948,""),""),""))</f>
        <v/>
      </c>
      <c r="F949">
        <f>IF('TRANSPORT DASHBOARD'!$B$4="Area",IF(948&lt;=$I$3,IF(OR('TRANSPORT DASHBOARD'!$C$4="",ISNUMBER(SEARCH('TRANSPORT DASHBOARD'!$C$4,INDEX(MASTER_AREAS!$B:$B,949)))),948,""),""),IF('TRANSPORT DASHBOARD'!$B$4="Zone",IF(948&lt;=$I$4,IF(OR('TRANSPORT DASHBOARD'!$C$4="",ISNUMBER(SEARCH('TRANSPORT DASHBOARD'!$C$4,INDEX(MASTER_ZONES!$B:$B,949)))),948,""),""),""))</f>
        <v/>
      </c>
    </row>
    <row r="950">
      <c r="A950">
        <f>IF('WSF DASHBOARD'!$B$4="Area",IF(949&lt;=$D$3,IF(OR('WSF DASHBOARD'!$C$4="",ISNUMBER(SEARCH('WSF DASHBOARD'!$C$4,INDEX(MASTER_AREAS!$B:$B,950)))),949,""),""),IF('WSF DASHBOARD'!$B$4="Zone",IF(949&lt;=$D$4,IF(OR('WSF DASHBOARD'!$C$4="",ISNUMBER(SEARCH('WSF DASHBOARD'!$C$4,INDEX(MASTER_ZONES!$B:$B,950)))),949,""),""),""))</f>
        <v/>
      </c>
      <c r="F950">
        <f>IF('TRANSPORT DASHBOARD'!$B$4="Area",IF(949&lt;=$I$3,IF(OR('TRANSPORT DASHBOARD'!$C$4="",ISNUMBER(SEARCH('TRANSPORT DASHBOARD'!$C$4,INDEX(MASTER_AREAS!$B:$B,950)))),949,""),""),IF('TRANSPORT DASHBOARD'!$B$4="Zone",IF(949&lt;=$I$4,IF(OR('TRANSPORT DASHBOARD'!$C$4="",ISNUMBER(SEARCH('TRANSPORT DASHBOARD'!$C$4,INDEX(MASTER_ZONES!$B:$B,950)))),949,""),""),""))</f>
        <v/>
      </c>
    </row>
    <row r="951">
      <c r="A951">
        <f>IF('WSF DASHBOARD'!$B$4="Area",IF(950&lt;=$D$3,IF(OR('WSF DASHBOARD'!$C$4="",ISNUMBER(SEARCH('WSF DASHBOARD'!$C$4,INDEX(MASTER_AREAS!$B:$B,951)))),950,""),""),IF('WSF DASHBOARD'!$B$4="Zone",IF(950&lt;=$D$4,IF(OR('WSF DASHBOARD'!$C$4="",ISNUMBER(SEARCH('WSF DASHBOARD'!$C$4,INDEX(MASTER_ZONES!$B:$B,951)))),950,""),""),""))</f>
        <v/>
      </c>
      <c r="F951">
        <f>IF('TRANSPORT DASHBOARD'!$B$4="Area",IF(950&lt;=$I$3,IF(OR('TRANSPORT DASHBOARD'!$C$4="",ISNUMBER(SEARCH('TRANSPORT DASHBOARD'!$C$4,INDEX(MASTER_AREAS!$B:$B,951)))),950,""),""),IF('TRANSPORT DASHBOARD'!$B$4="Zone",IF(950&lt;=$I$4,IF(OR('TRANSPORT DASHBOARD'!$C$4="",ISNUMBER(SEARCH('TRANSPORT DASHBOARD'!$C$4,INDEX(MASTER_ZONES!$B:$B,951)))),950,""),""),""))</f>
        <v/>
      </c>
    </row>
    <row r="952">
      <c r="A952">
        <f>IF('WSF DASHBOARD'!$B$4="Area",IF(951&lt;=$D$3,IF(OR('WSF DASHBOARD'!$C$4="",ISNUMBER(SEARCH('WSF DASHBOARD'!$C$4,INDEX(MASTER_AREAS!$B:$B,952)))),951,""),""),IF('WSF DASHBOARD'!$B$4="Zone",IF(951&lt;=$D$4,IF(OR('WSF DASHBOARD'!$C$4="",ISNUMBER(SEARCH('WSF DASHBOARD'!$C$4,INDEX(MASTER_ZONES!$B:$B,952)))),951,""),""),""))</f>
        <v/>
      </c>
      <c r="F952">
        <f>IF('TRANSPORT DASHBOARD'!$B$4="Area",IF(951&lt;=$I$3,IF(OR('TRANSPORT DASHBOARD'!$C$4="",ISNUMBER(SEARCH('TRANSPORT DASHBOARD'!$C$4,INDEX(MASTER_AREAS!$B:$B,952)))),951,""),""),IF('TRANSPORT DASHBOARD'!$B$4="Zone",IF(951&lt;=$I$4,IF(OR('TRANSPORT DASHBOARD'!$C$4="",ISNUMBER(SEARCH('TRANSPORT DASHBOARD'!$C$4,INDEX(MASTER_ZONES!$B:$B,952)))),951,""),""),""))</f>
        <v/>
      </c>
    </row>
    <row r="953">
      <c r="A953">
        <f>IF('WSF DASHBOARD'!$B$4="Area",IF(952&lt;=$D$3,IF(OR('WSF DASHBOARD'!$C$4="",ISNUMBER(SEARCH('WSF DASHBOARD'!$C$4,INDEX(MASTER_AREAS!$B:$B,953)))),952,""),""),IF('WSF DASHBOARD'!$B$4="Zone",IF(952&lt;=$D$4,IF(OR('WSF DASHBOARD'!$C$4="",ISNUMBER(SEARCH('WSF DASHBOARD'!$C$4,INDEX(MASTER_ZONES!$B:$B,953)))),952,""),""),""))</f>
        <v/>
      </c>
      <c r="F953">
        <f>IF('TRANSPORT DASHBOARD'!$B$4="Area",IF(952&lt;=$I$3,IF(OR('TRANSPORT DASHBOARD'!$C$4="",ISNUMBER(SEARCH('TRANSPORT DASHBOARD'!$C$4,INDEX(MASTER_AREAS!$B:$B,953)))),952,""),""),IF('TRANSPORT DASHBOARD'!$B$4="Zone",IF(952&lt;=$I$4,IF(OR('TRANSPORT DASHBOARD'!$C$4="",ISNUMBER(SEARCH('TRANSPORT DASHBOARD'!$C$4,INDEX(MASTER_ZONES!$B:$B,953)))),952,""),""),""))</f>
        <v/>
      </c>
    </row>
    <row r="954">
      <c r="A954">
        <f>IF('WSF DASHBOARD'!$B$4="Area",IF(953&lt;=$D$3,IF(OR('WSF DASHBOARD'!$C$4="",ISNUMBER(SEARCH('WSF DASHBOARD'!$C$4,INDEX(MASTER_AREAS!$B:$B,954)))),953,""),""),IF('WSF DASHBOARD'!$B$4="Zone",IF(953&lt;=$D$4,IF(OR('WSF DASHBOARD'!$C$4="",ISNUMBER(SEARCH('WSF DASHBOARD'!$C$4,INDEX(MASTER_ZONES!$B:$B,954)))),953,""),""),""))</f>
        <v/>
      </c>
      <c r="F954">
        <f>IF('TRANSPORT DASHBOARD'!$B$4="Area",IF(953&lt;=$I$3,IF(OR('TRANSPORT DASHBOARD'!$C$4="",ISNUMBER(SEARCH('TRANSPORT DASHBOARD'!$C$4,INDEX(MASTER_AREAS!$B:$B,954)))),953,""),""),IF('TRANSPORT DASHBOARD'!$B$4="Zone",IF(953&lt;=$I$4,IF(OR('TRANSPORT DASHBOARD'!$C$4="",ISNUMBER(SEARCH('TRANSPORT DASHBOARD'!$C$4,INDEX(MASTER_ZONES!$B:$B,954)))),953,""),""),""))</f>
        <v/>
      </c>
    </row>
    <row r="955">
      <c r="A955">
        <f>IF('WSF DASHBOARD'!$B$4="Area",IF(954&lt;=$D$3,IF(OR('WSF DASHBOARD'!$C$4="",ISNUMBER(SEARCH('WSF DASHBOARD'!$C$4,INDEX(MASTER_AREAS!$B:$B,955)))),954,""),""),IF('WSF DASHBOARD'!$B$4="Zone",IF(954&lt;=$D$4,IF(OR('WSF DASHBOARD'!$C$4="",ISNUMBER(SEARCH('WSF DASHBOARD'!$C$4,INDEX(MASTER_ZONES!$B:$B,955)))),954,""),""),""))</f>
        <v/>
      </c>
      <c r="F955">
        <f>IF('TRANSPORT DASHBOARD'!$B$4="Area",IF(954&lt;=$I$3,IF(OR('TRANSPORT DASHBOARD'!$C$4="",ISNUMBER(SEARCH('TRANSPORT DASHBOARD'!$C$4,INDEX(MASTER_AREAS!$B:$B,955)))),954,""),""),IF('TRANSPORT DASHBOARD'!$B$4="Zone",IF(954&lt;=$I$4,IF(OR('TRANSPORT DASHBOARD'!$C$4="",ISNUMBER(SEARCH('TRANSPORT DASHBOARD'!$C$4,INDEX(MASTER_ZONES!$B:$B,955)))),954,""),""),""))</f>
        <v/>
      </c>
    </row>
    <row r="956">
      <c r="A956">
        <f>IF('WSF DASHBOARD'!$B$4="Area",IF(955&lt;=$D$3,IF(OR('WSF DASHBOARD'!$C$4="",ISNUMBER(SEARCH('WSF DASHBOARD'!$C$4,INDEX(MASTER_AREAS!$B:$B,956)))),955,""),""),IF('WSF DASHBOARD'!$B$4="Zone",IF(955&lt;=$D$4,IF(OR('WSF DASHBOARD'!$C$4="",ISNUMBER(SEARCH('WSF DASHBOARD'!$C$4,INDEX(MASTER_ZONES!$B:$B,956)))),955,""),""),""))</f>
        <v/>
      </c>
      <c r="F956">
        <f>IF('TRANSPORT DASHBOARD'!$B$4="Area",IF(955&lt;=$I$3,IF(OR('TRANSPORT DASHBOARD'!$C$4="",ISNUMBER(SEARCH('TRANSPORT DASHBOARD'!$C$4,INDEX(MASTER_AREAS!$B:$B,956)))),955,""),""),IF('TRANSPORT DASHBOARD'!$B$4="Zone",IF(955&lt;=$I$4,IF(OR('TRANSPORT DASHBOARD'!$C$4="",ISNUMBER(SEARCH('TRANSPORT DASHBOARD'!$C$4,INDEX(MASTER_ZONES!$B:$B,956)))),955,""),""),""))</f>
        <v/>
      </c>
    </row>
    <row r="957">
      <c r="A957">
        <f>IF('WSF DASHBOARD'!$B$4="Area",IF(956&lt;=$D$3,IF(OR('WSF DASHBOARD'!$C$4="",ISNUMBER(SEARCH('WSF DASHBOARD'!$C$4,INDEX(MASTER_AREAS!$B:$B,957)))),956,""),""),IF('WSF DASHBOARD'!$B$4="Zone",IF(956&lt;=$D$4,IF(OR('WSF DASHBOARD'!$C$4="",ISNUMBER(SEARCH('WSF DASHBOARD'!$C$4,INDEX(MASTER_ZONES!$B:$B,957)))),956,""),""),""))</f>
        <v/>
      </c>
      <c r="F957">
        <f>IF('TRANSPORT DASHBOARD'!$B$4="Area",IF(956&lt;=$I$3,IF(OR('TRANSPORT DASHBOARD'!$C$4="",ISNUMBER(SEARCH('TRANSPORT DASHBOARD'!$C$4,INDEX(MASTER_AREAS!$B:$B,957)))),956,""),""),IF('TRANSPORT DASHBOARD'!$B$4="Zone",IF(956&lt;=$I$4,IF(OR('TRANSPORT DASHBOARD'!$C$4="",ISNUMBER(SEARCH('TRANSPORT DASHBOARD'!$C$4,INDEX(MASTER_ZONES!$B:$B,957)))),956,""),""),""))</f>
        <v/>
      </c>
    </row>
    <row r="958">
      <c r="A958">
        <f>IF('WSF DASHBOARD'!$B$4="Area",IF(957&lt;=$D$3,IF(OR('WSF DASHBOARD'!$C$4="",ISNUMBER(SEARCH('WSF DASHBOARD'!$C$4,INDEX(MASTER_AREAS!$B:$B,958)))),957,""),""),IF('WSF DASHBOARD'!$B$4="Zone",IF(957&lt;=$D$4,IF(OR('WSF DASHBOARD'!$C$4="",ISNUMBER(SEARCH('WSF DASHBOARD'!$C$4,INDEX(MASTER_ZONES!$B:$B,958)))),957,""),""),""))</f>
        <v/>
      </c>
      <c r="F958">
        <f>IF('TRANSPORT DASHBOARD'!$B$4="Area",IF(957&lt;=$I$3,IF(OR('TRANSPORT DASHBOARD'!$C$4="",ISNUMBER(SEARCH('TRANSPORT DASHBOARD'!$C$4,INDEX(MASTER_AREAS!$B:$B,958)))),957,""),""),IF('TRANSPORT DASHBOARD'!$B$4="Zone",IF(957&lt;=$I$4,IF(OR('TRANSPORT DASHBOARD'!$C$4="",ISNUMBER(SEARCH('TRANSPORT DASHBOARD'!$C$4,INDEX(MASTER_ZONES!$B:$B,958)))),957,""),""),""))</f>
        <v/>
      </c>
    </row>
    <row r="959">
      <c r="A959">
        <f>IF('WSF DASHBOARD'!$B$4="Area",IF(958&lt;=$D$3,IF(OR('WSF DASHBOARD'!$C$4="",ISNUMBER(SEARCH('WSF DASHBOARD'!$C$4,INDEX(MASTER_AREAS!$B:$B,959)))),958,""),""),IF('WSF DASHBOARD'!$B$4="Zone",IF(958&lt;=$D$4,IF(OR('WSF DASHBOARD'!$C$4="",ISNUMBER(SEARCH('WSF DASHBOARD'!$C$4,INDEX(MASTER_ZONES!$B:$B,959)))),958,""),""),""))</f>
        <v/>
      </c>
      <c r="F959">
        <f>IF('TRANSPORT DASHBOARD'!$B$4="Area",IF(958&lt;=$I$3,IF(OR('TRANSPORT DASHBOARD'!$C$4="",ISNUMBER(SEARCH('TRANSPORT DASHBOARD'!$C$4,INDEX(MASTER_AREAS!$B:$B,959)))),958,""),""),IF('TRANSPORT DASHBOARD'!$B$4="Zone",IF(958&lt;=$I$4,IF(OR('TRANSPORT DASHBOARD'!$C$4="",ISNUMBER(SEARCH('TRANSPORT DASHBOARD'!$C$4,INDEX(MASTER_ZONES!$B:$B,959)))),958,""),""),""))</f>
        <v/>
      </c>
    </row>
    <row r="960">
      <c r="A960">
        <f>IF('WSF DASHBOARD'!$B$4="Area",IF(959&lt;=$D$3,IF(OR('WSF DASHBOARD'!$C$4="",ISNUMBER(SEARCH('WSF DASHBOARD'!$C$4,INDEX(MASTER_AREAS!$B:$B,960)))),959,""),""),IF('WSF DASHBOARD'!$B$4="Zone",IF(959&lt;=$D$4,IF(OR('WSF DASHBOARD'!$C$4="",ISNUMBER(SEARCH('WSF DASHBOARD'!$C$4,INDEX(MASTER_ZONES!$B:$B,960)))),959,""),""),""))</f>
        <v/>
      </c>
      <c r="F960">
        <f>IF('TRANSPORT DASHBOARD'!$B$4="Area",IF(959&lt;=$I$3,IF(OR('TRANSPORT DASHBOARD'!$C$4="",ISNUMBER(SEARCH('TRANSPORT DASHBOARD'!$C$4,INDEX(MASTER_AREAS!$B:$B,960)))),959,""),""),IF('TRANSPORT DASHBOARD'!$B$4="Zone",IF(959&lt;=$I$4,IF(OR('TRANSPORT DASHBOARD'!$C$4="",ISNUMBER(SEARCH('TRANSPORT DASHBOARD'!$C$4,INDEX(MASTER_ZONES!$B:$B,960)))),959,""),""),""))</f>
        <v/>
      </c>
    </row>
    <row r="961">
      <c r="A961">
        <f>IF('WSF DASHBOARD'!$B$4="Area",IF(960&lt;=$D$3,IF(OR('WSF DASHBOARD'!$C$4="",ISNUMBER(SEARCH('WSF DASHBOARD'!$C$4,INDEX(MASTER_AREAS!$B:$B,961)))),960,""),""),IF('WSF DASHBOARD'!$B$4="Zone",IF(960&lt;=$D$4,IF(OR('WSF DASHBOARD'!$C$4="",ISNUMBER(SEARCH('WSF DASHBOARD'!$C$4,INDEX(MASTER_ZONES!$B:$B,961)))),960,""),""),""))</f>
        <v/>
      </c>
      <c r="F961">
        <f>IF('TRANSPORT DASHBOARD'!$B$4="Area",IF(960&lt;=$I$3,IF(OR('TRANSPORT DASHBOARD'!$C$4="",ISNUMBER(SEARCH('TRANSPORT DASHBOARD'!$C$4,INDEX(MASTER_AREAS!$B:$B,961)))),960,""),""),IF('TRANSPORT DASHBOARD'!$B$4="Zone",IF(960&lt;=$I$4,IF(OR('TRANSPORT DASHBOARD'!$C$4="",ISNUMBER(SEARCH('TRANSPORT DASHBOARD'!$C$4,INDEX(MASTER_ZONES!$B:$B,961)))),960,""),""),""))</f>
        <v/>
      </c>
    </row>
    <row r="962">
      <c r="A962">
        <f>IF('WSF DASHBOARD'!$B$4="Area",IF(961&lt;=$D$3,IF(OR('WSF DASHBOARD'!$C$4="",ISNUMBER(SEARCH('WSF DASHBOARD'!$C$4,INDEX(MASTER_AREAS!$B:$B,962)))),961,""),""),IF('WSF DASHBOARD'!$B$4="Zone",IF(961&lt;=$D$4,IF(OR('WSF DASHBOARD'!$C$4="",ISNUMBER(SEARCH('WSF DASHBOARD'!$C$4,INDEX(MASTER_ZONES!$B:$B,962)))),961,""),""),""))</f>
        <v/>
      </c>
      <c r="F962">
        <f>IF('TRANSPORT DASHBOARD'!$B$4="Area",IF(961&lt;=$I$3,IF(OR('TRANSPORT DASHBOARD'!$C$4="",ISNUMBER(SEARCH('TRANSPORT DASHBOARD'!$C$4,INDEX(MASTER_AREAS!$B:$B,962)))),961,""),""),IF('TRANSPORT DASHBOARD'!$B$4="Zone",IF(961&lt;=$I$4,IF(OR('TRANSPORT DASHBOARD'!$C$4="",ISNUMBER(SEARCH('TRANSPORT DASHBOARD'!$C$4,INDEX(MASTER_ZONES!$B:$B,962)))),961,""),""),""))</f>
        <v/>
      </c>
    </row>
    <row r="963">
      <c r="A963">
        <f>IF('WSF DASHBOARD'!$B$4="Area",IF(962&lt;=$D$3,IF(OR('WSF DASHBOARD'!$C$4="",ISNUMBER(SEARCH('WSF DASHBOARD'!$C$4,INDEX(MASTER_AREAS!$B:$B,963)))),962,""),""),IF('WSF DASHBOARD'!$B$4="Zone",IF(962&lt;=$D$4,IF(OR('WSF DASHBOARD'!$C$4="",ISNUMBER(SEARCH('WSF DASHBOARD'!$C$4,INDEX(MASTER_ZONES!$B:$B,963)))),962,""),""),""))</f>
        <v/>
      </c>
      <c r="F963">
        <f>IF('TRANSPORT DASHBOARD'!$B$4="Area",IF(962&lt;=$I$3,IF(OR('TRANSPORT DASHBOARD'!$C$4="",ISNUMBER(SEARCH('TRANSPORT DASHBOARD'!$C$4,INDEX(MASTER_AREAS!$B:$B,963)))),962,""),""),IF('TRANSPORT DASHBOARD'!$B$4="Zone",IF(962&lt;=$I$4,IF(OR('TRANSPORT DASHBOARD'!$C$4="",ISNUMBER(SEARCH('TRANSPORT DASHBOARD'!$C$4,INDEX(MASTER_ZONES!$B:$B,963)))),962,""),""),""))</f>
        <v/>
      </c>
    </row>
    <row r="964">
      <c r="A964">
        <f>IF('WSF DASHBOARD'!$B$4="Area",IF(963&lt;=$D$3,IF(OR('WSF DASHBOARD'!$C$4="",ISNUMBER(SEARCH('WSF DASHBOARD'!$C$4,INDEX(MASTER_AREAS!$B:$B,964)))),963,""),""),IF('WSF DASHBOARD'!$B$4="Zone",IF(963&lt;=$D$4,IF(OR('WSF DASHBOARD'!$C$4="",ISNUMBER(SEARCH('WSF DASHBOARD'!$C$4,INDEX(MASTER_ZONES!$B:$B,964)))),963,""),""),""))</f>
        <v/>
      </c>
      <c r="F964">
        <f>IF('TRANSPORT DASHBOARD'!$B$4="Area",IF(963&lt;=$I$3,IF(OR('TRANSPORT DASHBOARD'!$C$4="",ISNUMBER(SEARCH('TRANSPORT DASHBOARD'!$C$4,INDEX(MASTER_AREAS!$B:$B,964)))),963,""),""),IF('TRANSPORT DASHBOARD'!$B$4="Zone",IF(963&lt;=$I$4,IF(OR('TRANSPORT DASHBOARD'!$C$4="",ISNUMBER(SEARCH('TRANSPORT DASHBOARD'!$C$4,INDEX(MASTER_ZONES!$B:$B,964)))),963,""),""),""))</f>
        <v/>
      </c>
    </row>
    <row r="965">
      <c r="A965">
        <f>IF('WSF DASHBOARD'!$B$4="Area",IF(964&lt;=$D$3,IF(OR('WSF DASHBOARD'!$C$4="",ISNUMBER(SEARCH('WSF DASHBOARD'!$C$4,INDEX(MASTER_AREAS!$B:$B,965)))),964,""),""),IF('WSF DASHBOARD'!$B$4="Zone",IF(964&lt;=$D$4,IF(OR('WSF DASHBOARD'!$C$4="",ISNUMBER(SEARCH('WSF DASHBOARD'!$C$4,INDEX(MASTER_ZONES!$B:$B,965)))),964,""),""),""))</f>
        <v/>
      </c>
      <c r="F965">
        <f>IF('TRANSPORT DASHBOARD'!$B$4="Area",IF(964&lt;=$I$3,IF(OR('TRANSPORT DASHBOARD'!$C$4="",ISNUMBER(SEARCH('TRANSPORT DASHBOARD'!$C$4,INDEX(MASTER_AREAS!$B:$B,965)))),964,""),""),IF('TRANSPORT DASHBOARD'!$B$4="Zone",IF(964&lt;=$I$4,IF(OR('TRANSPORT DASHBOARD'!$C$4="",ISNUMBER(SEARCH('TRANSPORT DASHBOARD'!$C$4,INDEX(MASTER_ZONES!$B:$B,965)))),964,""),""),""))</f>
        <v/>
      </c>
    </row>
    <row r="966">
      <c r="A966">
        <f>IF('WSF DASHBOARD'!$B$4="Area",IF(965&lt;=$D$3,IF(OR('WSF DASHBOARD'!$C$4="",ISNUMBER(SEARCH('WSF DASHBOARD'!$C$4,INDEX(MASTER_AREAS!$B:$B,966)))),965,""),""),IF('WSF DASHBOARD'!$B$4="Zone",IF(965&lt;=$D$4,IF(OR('WSF DASHBOARD'!$C$4="",ISNUMBER(SEARCH('WSF DASHBOARD'!$C$4,INDEX(MASTER_ZONES!$B:$B,966)))),965,""),""),""))</f>
        <v/>
      </c>
      <c r="F966">
        <f>IF('TRANSPORT DASHBOARD'!$B$4="Area",IF(965&lt;=$I$3,IF(OR('TRANSPORT DASHBOARD'!$C$4="",ISNUMBER(SEARCH('TRANSPORT DASHBOARD'!$C$4,INDEX(MASTER_AREAS!$B:$B,966)))),965,""),""),IF('TRANSPORT DASHBOARD'!$B$4="Zone",IF(965&lt;=$I$4,IF(OR('TRANSPORT DASHBOARD'!$C$4="",ISNUMBER(SEARCH('TRANSPORT DASHBOARD'!$C$4,INDEX(MASTER_ZONES!$B:$B,966)))),965,""),""),""))</f>
        <v/>
      </c>
    </row>
    <row r="967">
      <c r="A967">
        <f>IF('WSF DASHBOARD'!$B$4="Area",IF(966&lt;=$D$3,IF(OR('WSF DASHBOARD'!$C$4="",ISNUMBER(SEARCH('WSF DASHBOARD'!$C$4,INDEX(MASTER_AREAS!$B:$B,967)))),966,""),""),IF('WSF DASHBOARD'!$B$4="Zone",IF(966&lt;=$D$4,IF(OR('WSF DASHBOARD'!$C$4="",ISNUMBER(SEARCH('WSF DASHBOARD'!$C$4,INDEX(MASTER_ZONES!$B:$B,967)))),966,""),""),""))</f>
        <v/>
      </c>
      <c r="F967">
        <f>IF('TRANSPORT DASHBOARD'!$B$4="Area",IF(966&lt;=$I$3,IF(OR('TRANSPORT DASHBOARD'!$C$4="",ISNUMBER(SEARCH('TRANSPORT DASHBOARD'!$C$4,INDEX(MASTER_AREAS!$B:$B,967)))),966,""),""),IF('TRANSPORT DASHBOARD'!$B$4="Zone",IF(966&lt;=$I$4,IF(OR('TRANSPORT DASHBOARD'!$C$4="",ISNUMBER(SEARCH('TRANSPORT DASHBOARD'!$C$4,INDEX(MASTER_ZONES!$B:$B,967)))),966,""),""),""))</f>
        <v/>
      </c>
    </row>
    <row r="968">
      <c r="A968">
        <f>IF('WSF DASHBOARD'!$B$4="Area",IF(967&lt;=$D$3,IF(OR('WSF DASHBOARD'!$C$4="",ISNUMBER(SEARCH('WSF DASHBOARD'!$C$4,INDEX(MASTER_AREAS!$B:$B,968)))),967,""),""),IF('WSF DASHBOARD'!$B$4="Zone",IF(967&lt;=$D$4,IF(OR('WSF DASHBOARD'!$C$4="",ISNUMBER(SEARCH('WSF DASHBOARD'!$C$4,INDEX(MASTER_ZONES!$B:$B,968)))),967,""),""),""))</f>
        <v/>
      </c>
      <c r="F968">
        <f>IF('TRANSPORT DASHBOARD'!$B$4="Area",IF(967&lt;=$I$3,IF(OR('TRANSPORT DASHBOARD'!$C$4="",ISNUMBER(SEARCH('TRANSPORT DASHBOARD'!$C$4,INDEX(MASTER_AREAS!$B:$B,968)))),967,""),""),IF('TRANSPORT DASHBOARD'!$B$4="Zone",IF(967&lt;=$I$4,IF(OR('TRANSPORT DASHBOARD'!$C$4="",ISNUMBER(SEARCH('TRANSPORT DASHBOARD'!$C$4,INDEX(MASTER_ZONES!$B:$B,968)))),967,""),""),""))</f>
        <v/>
      </c>
    </row>
    <row r="969">
      <c r="A969">
        <f>IF('WSF DASHBOARD'!$B$4="Area",IF(968&lt;=$D$3,IF(OR('WSF DASHBOARD'!$C$4="",ISNUMBER(SEARCH('WSF DASHBOARD'!$C$4,INDEX(MASTER_AREAS!$B:$B,969)))),968,""),""),IF('WSF DASHBOARD'!$B$4="Zone",IF(968&lt;=$D$4,IF(OR('WSF DASHBOARD'!$C$4="",ISNUMBER(SEARCH('WSF DASHBOARD'!$C$4,INDEX(MASTER_ZONES!$B:$B,969)))),968,""),""),""))</f>
        <v/>
      </c>
      <c r="F969">
        <f>IF('TRANSPORT DASHBOARD'!$B$4="Area",IF(968&lt;=$I$3,IF(OR('TRANSPORT DASHBOARD'!$C$4="",ISNUMBER(SEARCH('TRANSPORT DASHBOARD'!$C$4,INDEX(MASTER_AREAS!$B:$B,969)))),968,""),""),IF('TRANSPORT DASHBOARD'!$B$4="Zone",IF(968&lt;=$I$4,IF(OR('TRANSPORT DASHBOARD'!$C$4="",ISNUMBER(SEARCH('TRANSPORT DASHBOARD'!$C$4,INDEX(MASTER_ZONES!$B:$B,969)))),968,""),""),""))</f>
        <v/>
      </c>
    </row>
    <row r="970">
      <c r="A970">
        <f>IF('WSF DASHBOARD'!$B$4="Area",IF(969&lt;=$D$3,IF(OR('WSF DASHBOARD'!$C$4="",ISNUMBER(SEARCH('WSF DASHBOARD'!$C$4,INDEX(MASTER_AREAS!$B:$B,970)))),969,""),""),IF('WSF DASHBOARD'!$B$4="Zone",IF(969&lt;=$D$4,IF(OR('WSF DASHBOARD'!$C$4="",ISNUMBER(SEARCH('WSF DASHBOARD'!$C$4,INDEX(MASTER_ZONES!$B:$B,970)))),969,""),""),""))</f>
        <v/>
      </c>
      <c r="F970">
        <f>IF('TRANSPORT DASHBOARD'!$B$4="Area",IF(969&lt;=$I$3,IF(OR('TRANSPORT DASHBOARD'!$C$4="",ISNUMBER(SEARCH('TRANSPORT DASHBOARD'!$C$4,INDEX(MASTER_AREAS!$B:$B,970)))),969,""),""),IF('TRANSPORT DASHBOARD'!$B$4="Zone",IF(969&lt;=$I$4,IF(OR('TRANSPORT DASHBOARD'!$C$4="",ISNUMBER(SEARCH('TRANSPORT DASHBOARD'!$C$4,INDEX(MASTER_ZONES!$B:$B,970)))),969,""),""),""))</f>
        <v/>
      </c>
    </row>
    <row r="971">
      <c r="A971">
        <f>IF('WSF DASHBOARD'!$B$4="Area",IF(970&lt;=$D$3,IF(OR('WSF DASHBOARD'!$C$4="",ISNUMBER(SEARCH('WSF DASHBOARD'!$C$4,INDEX(MASTER_AREAS!$B:$B,971)))),970,""),""),IF('WSF DASHBOARD'!$B$4="Zone",IF(970&lt;=$D$4,IF(OR('WSF DASHBOARD'!$C$4="",ISNUMBER(SEARCH('WSF DASHBOARD'!$C$4,INDEX(MASTER_ZONES!$B:$B,971)))),970,""),""),""))</f>
        <v/>
      </c>
      <c r="F971">
        <f>IF('TRANSPORT DASHBOARD'!$B$4="Area",IF(970&lt;=$I$3,IF(OR('TRANSPORT DASHBOARD'!$C$4="",ISNUMBER(SEARCH('TRANSPORT DASHBOARD'!$C$4,INDEX(MASTER_AREAS!$B:$B,971)))),970,""),""),IF('TRANSPORT DASHBOARD'!$B$4="Zone",IF(970&lt;=$I$4,IF(OR('TRANSPORT DASHBOARD'!$C$4="",ISNUMBER(SEARCH('TRANSPORT DASHBOARD'!$C$4,INDEX(MASTER_ZONES!$B:$B,971)))),970,""),""),""))</f>
        <v/>
      </c>
    </row>
    <row r="972">
      <c r="A972">
        <f>IF('WSF DASHBOARD'!$B$4="Area",IF(971&lt;=$D$3,IF(OR('WSF DASHBOARD'!$C$4="",ISNUMBER(SEARCH('WSF DASHBOARD'!$C$4,INDEX(MASTER_AREAS!$B:$B,972)))),971,""),""),IF('WSF DASHBOARD'!$B$4="Zone",IF(971&lt;=$D$4,IF(OR('WSF DASHBOARD'!$C$4="",ISNUMBER(SEARCH('WSF DASHBOARD'!$C$4,INDEX(MASTER_ZONES!$B:$B,972)))),971,""),""),""))</f>
        <v/>
      </c>
      <c r="F972">
        <f>IF('TRANSPORT DASHBOARD'!$B$4="Area",IF(971&lt;=$I$3,IF(OR('TRANSPORT DASHBOARD'!$C$4="",ISNUMBER(SEARCH('TRANSPORT DASHBOARD'!$C$4,INDEX(MASTER_AREAS!$B:$B,972)))),971,""),""),IF('TRANSPORT DASHBOARD'!$B$4="Zone",IF(971&lt;=$I$4,IF(OR('TRANSPORT DASHBOARD'!$C$4="",ISNUMBER(SEARCH('TRANSPORT DASHBOARD'!$C$4,INDEX(MASTER_ZONES!$B:$B,972)))),971,""),""),""))</f>
        <v/>
      </c>
    </row>
    <row r="973">
      <c r="A973">
        <f>IF('WSF DASHBOARD'!$B$4="Area",IF(972&lt;=$D$3,IF(OR('WSF DASHBOARD'!$C$4="",ISNUMBER(SEARCH('WSF DASHBOARD'!$C$4,INDEX(MASTER_AREAS!$B:$B,973)))),972,""),""),IF('WSF DASHBOARD'!$B$4="Zone",IF(972&lt;=$D$4,IF(OR('WSF DASHBOARD'!$C$4="",ISNUMBER(SEARCH('WSF DASHBOARD'!$C$4,INDEX(MASTER_ZONES!$B:$B,973)))),972,""),""),""))</f>
        <v/>
      </c>
      <c r="F973">
        <f>IF('TRANSPORT DASHBOARD'!$B$4="Area",IF(972&lt;=$I$3,IF(OR('TRANSPORT DASHBOARD'!$C$4="",ISNUMBER(SEARCH('TRANSPORT DASHBOARD'!$C$4,INDEX(MASTER_AREAS!$B:$B,973)))),972,""),""),IF('TRANSPORT DASHBOARD'!$B$4="Zone",IF(972&lt;=$I$4,IF(OR('TRANSPORT DASHBOARD'!$C$4="",ISNUMBER(SEARCH('TRANSPORT DASHBOARD'!$C$4,INDEX(MASTER_ZONES!$B:$B,973)))),972,""),""),""))</f>
        <v/>
      </c>
    </row>
    <row r="974">
      <c r="A974">
        <f>IF('WSF DASHBOARD'!$B$4="Area",IF(973&lt;=$D$3,IF(OR('WSF DASHBOARD'!$C$4="",ISNUMBER(SEARCH('WSF DASHBOARD'!$C$4,INDEX(MASTER_AREAS!$B:$B,974)))),973,""),""),IF('WSF DASHBOARD'!$B$4="Zone",IF(973&lt;=$D$4,IF(OR('WSF DASHBOARD'!$C$4="",ISNUMBER(SEARCH('WSF DASHBOARD'!$C$4,INDEX(MASTER_ZONES!$B:$B,974)))),973,""),""),""))</f>
        <v/>
      </c>
      <c r="F974">
        <f>IF('TRANSPORT DASHBOARD'!$B$4="Area",IF(973&lt;=$I$3,IF(OR('TRANSPORT DASHBOARD'!$C$4="",ISNUMBER(SEARCH('TRANSPORT DASHBOARD'!$C$4,INDEX(MASTER_AREAS!$B:$B,974)))),973,""),""),IF('TRANSPORT DASHBOARD'!$B$4="Zone",IF(973&lt;=$I$4,IF(OR('TRANSPORT DASHBOARD'!$C$4="",ISNUMBER(SEARCH('TRANSPORT DASHBOARD'!$C$4,INDEX(MASTER_ZONES!$B:$B,974)))),973,""),""),""))</f>
        <v/>
      </c>
    </row>
    <row r="975">
      <c r="A975">
        <f>IF('WSF DASHBOARD'!$B$4="Area",IF(974&lt;=$D$3,IF(OR('WSF DASHBOARD'!$C$4="",ISNUMBER(SEARCH('WSF DASHBOARD'!$C$4,INDEX(MASTER_AREAS!$B:$B,975)))),974,""),""),IF('WSF DASHBOARD'!$B$4="Zone",IF(974&lt;=$D$4,IF(OR('WSF DASHBOARD'!$C$4="",ISNUMBER(SEARCH('WSF DASHBOARD'!$C$4,INDEX(MASTER_ZONES!$B:$B,975)))),974,""),""),""))</f>
        <v/>
      </c>
      <c r="F975">
        <f>IF('TRANSPORT DASHBOARD'!$B$4="Area",IF(974&lt;=$I$3,IF(OR('TRANSPORT DASHBOARD'!$C$4="",ISNUMBER(SEARCH('TRANSPORT DASHBOARD'!$C$4,INDEX(MASTER_AREAS!$B:$B,975)))),974,""),""),IF('TRANSPORT DASHBOARD'!$B$4="Zone",IF(974&lt;=$I$4,IF(OR('TRANSPORT DASHBOARD'!$C$4="",ISNUMBER(SEARCH('TRANSPORT DASHBOARD'!$C$4,INDEX(MASTER_ZONES!$B:$B,975)))),974,""),""),""))</f>
        <v/>
      </c>
    </row>
    <row r="976">
      <c r="A976">
        <f>IF('WSF DASHBOARD'!$B$4="Area",IF(975&lt;=$D$3,IF(OR('WSF DASHBOARD'!$C$4="",ISNUMBER(SEARCH('WSF DASHBOARD'!$C$4,INDEX(MASTER_AREAS!$B:$B,976)))),975,""),""),IF('WSF DASHBOARD'!$B$4="Zone",IF(975&lt;=$D$4,IF(OR('WSF DASHBOARD'!$C$4="",ISNUMBER(SEARCH('WSF DASHBOARD'!$C$4,INDEX(MASTER_ZONES!$B:$B,976)))),975,""),""),""))</f>
        <v/>
      </c>
      <c r="F976">
        <f>IF('TRANSPORT DASHBOARD'!$B$4="Area",IF(975&lt;=$I$3,IF(OR('TRANSPORT DASHBOARD'!$C$4="",ISNUMBER(SEARCH('TRANSPORT DASHBOARD'!$C$4,INDEX(MASTER_AREAS!$B:$B,976)))),975,""),""),IF('TRANSPORT DASHBOARD'!$B$4="Zone",IF(975&lt;=$I$4,IF(OR('TRANSPORT DASHBOARD'!$C$4="",ISNUMBER(SEARCH('TRANSPORT DASHBOARD'!$C$4,INDEX(MASTER_ZONES!$B:$B,976)))),975,""),""),""))</f>
        <v/>
      </c>
    </row>
    <row r="977">
      <c r="A977">
        <f>IF('WSF DASHBOARD'!$B$4="Area",IF(976&lt;=$D$3,IF(OR('WSF DASHBOARD'!$C$4="",ISNUMBER(SEARCH('WSF DASHBOARD'!$C$4,INDEX(MASTER_AREAS!$B:$B,977)))),976,""),""),IF('WSF DASHBOARD'!$B$4="Zone",IF(976&lt;=$D$4,IF(OR('WSF DASHBOARD'!$C$4="",ISNUMBER(SEARCH('WSF DASHBOARD'!$C$4,INDEX(MASTER_ZONES!$B:$B,977)))),976,""),""),""))</f>
        <v/>
      </c>
      <c r="F977">
        <f>IF('TRANSPORT DASHBOARD'!$B$4="Area",IF(976&lt;=$I$3,IF(OR('TRANSPORT DASHBOARD'!$C$4="",ISNUMBER(SEARCH('TRANSPORT DASHBOARD'!$C$4,INDEX(MASTER_AREAS!$B:$B,977)))),976,""),""),IF('TRANSPORT DASHBOARD'!$B$4="Zone",IF(976&lt;=$I$4,IF(OR('TRANSPORT DASHBOARD'!$C$4="",ISNUMBER(SEARCH('TRANSPORT DASHBOARD'!$C$4,INDEX(MASTER_ZONES!$B:$B,977)))),976,""),""),""))</f>
        <v/>
      </c>
    </row>
    <row r="978">
      <c r="A978">
        <f>IF('WSF DASHBOARD'!$B$4="Area",IF(977&lt;=$D$3,IF(OR('WSF DASHBOARD'!$C$4="",ISNUMBER(SEARCH('WSF DASHBOARD'!$C$4,INDEX(MASTER_AREAS!$B:$B,978)))),977,""),""),IF('WSF DASHBOARD'!$B$4="Zone",IF(977&lt;=$D$4,IF(OR('WSF DASHBOARD'!$C$4="",ISNUMBER(SEARCH('WSF DASHBOARD'!$C$4,INDEX(MASTER_ZONES!$B:$B,978)))),977,""),""),""))</f>
        <v/>
      </c>
      <c r="F978">
        <f>IF('TRANSPORT DASHBOARD'!$B$4="Area",IF(977&lt;=$I$3,IF(OR('TRANSPORT DASHBOARD'!$C$4="",ISNUMBER(SEARCH('TRANSPORT DASHBOARD'!$C$4,INDEX(MASTER_AREAS!$B:$B,978)))),977,""),""),IF('TRANSPORT DASHBOARD'!$B$4="Zone",IF(977&lt;=$I$4,IF(OR('TRANSPORT DASHBOARD'!$C$4="",ISNUMBER(SEARCH('TRANSPORT DASHBOARD'!$C$4,INDEX(MASTER_ZONES!$B:$B,978)))),977,""),""),""))</f>
        <v/>
      </c>
    </row>
    <row r="979">
      <c r="A979">
        <f>IF('WSF DASHBOARD'!$B$4="Area",IF(978&lt;=$D$3,IF(OR('WSF DASHBOARD'!$C$4="",ISNUMBER(SEARCH('WSF DASHBOARD'!$C$4,INDEX(MASTER_AREAS!$B:$B,979)))),978,""),""),IF('WSF DASHBOARD'!$B$4="Zone",IF(978&lt;=$D$4,IF(OR('WSF DASHBOARD'!$C$4="",ISNUMBER(SEARCH('WSF DASHBOARD'!$C$4,INDEX(MASTER_ZONES!$B:$B,979)))),978,""),""),""))</f>
        <v/>
      </c>
      <c r="F979">
        <f>IF('TRANSPORT DASHBOARD'!$B$4="Area",IF(978&lt;=$I$3,IF(OR('TRANSPORT DASHBOARD'!$C$4="",ISNUMBER(SEARCH('TRANSPORT DASHBOARD'!$C$4,INDEX(MASTER_AREAS!$B:$B,979)))),978,""),""),IF('TRANSPORT DASHBOARD'!$B$4="Zone",IF(978&lt;=$I$4,IF(OR('TRANSPORT DASHBOARD'!$C$4="",ISNUMBER(SEARCH('TRANSPORT DASHBOARD'!$C$4,INDEX(MASTER_ZONES!$B:$B,979)))),978,""),""),""))</f>
        <v/>
      </c>
    </row>
    <row r="980">
      <c r="A980">
        <f>IF('WSF DASHBOARD'!$B$4="Area",IF(979&lt;=$D$3,IF(OR('WSF DASHBOARD'!$C$4="",ISNUMBER(SEARCH('WSF DASHBOARD'!$C$4,INDEX(MASTER_AREAS!$B:$B,980)))),979,""),""),IF('WSF DASHBOARD'!$B$4="Zone",IF(979&lt;=$D$4,IF(OR('WSF DASHBOARD'!$C$4="",ISNUMBER(SEARCH('WSF DASHBOARD'!$C$4,INDEX(MASTER_ZONES!$B:$B,980)))),979,""),""),""))</f>
        <v/>
      </c>
      <c r="F980">
        <f>IF('TRANSPORT DASHBOARD'!$B$4="Area",IF(979&lt;=$I$3,IF(OR('TRANSPORT DASHBOARD'!$C$4="",ISNUMBER(SEARCH('TRANSPORT DASHBOARD'!$C$4,INDEX(MASTER_AREAS!$B:$B,980)))),979,""),""),IF('TRANSPORT DASHBOARD'!$B$4="Zone",IF(979&lt;=$I$4,IF(OR('TRANSPORT DASHBOARD'!$C$4="",ISNUMBER(SEARCH('TRANSPORT DASHBOARD'!$C$4,INDEX(MASTER_ZONES!$B:$B,980)))),979,""),""),""))</f>
        <v/>
      </c>
    </row>
    <row r="981">
      <c r="A981">
        <f>IF('WSF DASHBOARD'!$B$4="Area",IF(980&lt;=$D$3,IF(OR('WSF DASHBOARD'!$C$4="",ISNUMBER(SEARCH('WSF DASHBOARD'!$C$4,INDEX(MASTER_AREAS!$B:$B,981)))),980,""),""),IF('WSF DASHBOARD'!$B$4="Zone",IF(980&lt;=$D$4,IF(OR('WSF DASHBOARD'!$C$4="",ISNUMBER(SEARCH('WSF DASHBOARD'!$C$4,INDEX(MASTER_ZONES!$B:$B,981)))),980,""),""),""))</f>
        <v/>
      </c>
      <c r="F981">
        <f>IF('TRANSPORT DASHBOARD'!$B$4="Area",IF(980&lt;=$I$3,IF(OR('TRANSPORT DASHBOARD'!$C$4="",ISNUMBER(SEARCH('TRANSPORT DASHBOARD'!$C$4,INDEX(MASTER_AREAS!$B:$B,981)))),980,""),""),IF('TRANSPORT DASHBOARD'!$B$4="Zone",IF(980&lt;=$I$4,IF(OR('TRANSPORT DASHBOARD'!$C$4="",ISNUMBER(SEARCH('TRANSPORT DASHBOARD'!$C$4,INDEX(MASTER_ZONES!$B:$B,981)))),980,""),""),""))</f>
        <v/>
      </c>
    </row>
    <row r="982">
      <c r="A982">
        <f>IF('WSF DASHBOARD'!$B$4="Area",IF(981&lt;=$D$3,IF(OR('WSF DASHBOARD'!$C$4="",ISNUMBER(SEARCH('WSF DASHBOARD'!$C$4,INDEX(MASTER_AREAS!$B:$B,982)))),981,""),""),IF('WSF DASHBOARD'!$B$4="Zone",IF(981&lt;=$D$4,IF(OR('WSF DASHBOARD'!$C$4="",ISNUMBER(SEARCH('WSF DASHBOARD'!$C$4,INDEX(MASTER_ZONES!$B:$B,982)))),981,""),""),""))</f>
        <v/>
      </c>
      <c r="F982">
        <f>IF('TRANSPORT DASHBOARD'!$B$4="Area",IF(981&lt;=$I$3,IF(OR('TRANSPORT DASHBOARD'!$C$4="",ISNUMBER(SEARCH('TRANSPORT DASHBOARD'!$C$4,INDEX(MASTER_AREAS!$B:$B,982)))),981,""),""),IF('TRANSPORT DASHBOARD'!$B$4="Zone",IF(981&lt;=$I$4,IF(OR('TRANSPORT DASHBOARD'!$C$4="",ISNUMBER(SEARCH('TRANSPORT DASHBOARD'!$C$4,INDEX(MASTER_ZONES!$B:$B,982)))),981,""),""),""))</f>
        <v/>
      </c>
    </row>
    <row r="983">
      <c r="A983">
        <f>IF('WSF DASHBOARD'!$B$4="Area",IF(982&lt;=$D$3,IF(OR('WSF DASHBOARD'!$C$4="",ISNUMBER(SEARCH('WSF DASHBOARD'!$C$4,INDEX(MASTER_AREAS!$B:$B,983)))),982,""),""),IF('WSF DASHBOARD'!$B$4="Zone",IF(982&lt;=$D$4,IF(OR('WSF DASHBOARD'!$C$4="",ISNUMBER(SEARCH('WSF DASHBOARD'!$C$4,INDEX(MASTER_ZONES!$B:$B,983)))),982,""),""),""))</f>
        <v/>
      </c>
      <c r="F983">
        <f>IF('TRANSPORT DASHBOARD'!$B$4="Area",IF(982&lt;=$I$3,IF(OR('TRANSPORT DASHBOARD'!$C$4="",ISNUMBER(SEARCH('TRANSPORT DASHBOARD'!$C$4,INDEX(MASTER_AREAS!$B:$B,983)))),982,""),""),IF('TRANSPORT DASHBOARD'!$B$4="Zone",IF(982&lt;=$I$4,IF(OR('TRANSPORT DASHBOARD'!$C$4="",ISNUMBER(SEARCH('TRANSPORT DASHBOARD'!$C$4,INDEX(MASTER_ZONES!$B:$B,983)))),982,""),""),""))</f>
        <v/>
      </c>
    </row>
    <row r="984">
      <c r="A984">
        <f>IF('WSF DASHBOARD'!$B$4="Area",IF(983&lt;=$D$3,IF(OR('WSF DASHBOARD'!$C$4="",ISNUMBER(SEARCH('WSF DASHBOARD'!$C$4,INDEX(MASTER_AREAS!$B:$B,984)))),983,""),""),IF('WSF DASHBOARD'!$B$4="Zone",IF(983&lt;=$D$4,IF(OR('WSF DASHBOARD'!$C$4="",ISNUMBER(SEARCH('WSF DASHBOARD'!$C$4,INDEX(MASTER_ZONES!$B:$B,984)))),983,""),""),""))</f>
        <v/>
      </c>
      <c r="F984">
        <f>IF('TRANSPORT DASHBOARD'!$B$4="Area",IF(983&lt;=$I$3,IF(OR('TRANSPORT DASHBOARD'!$C$4="",ISNUMBER(SEARCH('TRANSPORT DASHBOARD'!$C$4,INDEX(MASTER_AREAS!$B:$B,984)))),983,""),""),IF('TRANSPORT DASHBOARD'!$B$4="Zone",IF(983&lt;=$I$4,IF(OR('TRANSPORT DASHBOARD'!$C$4="",ISNUMBER(SEARCH('TRANSPORT DASHBOARD'!$C$4,INDEX(MASTER_ZONES!$B:$B,984)))),983,""),""),""))</f>
        <v/>
      </c>
    </row>
    <row r="985">
      <c r="A985">
        <f>IF('WSF DASHBOARD'!$B$4="Area",IF(984&lt;=$D$3,IF(OR('WSF DASHBOARD'!$C$4="",ISNUMBER(SEARCH('WSF DASHBOARD'!$C$4,INDEX(MASTER_AREAS!$B:$B,985)))),984,""),""),IF('WSF DASHBOARD'!$B$4="Zone",IF(984&lt;=$D$4,IF(OR('WSF DASHBOARD'!$C$4="",ISNUMBER(SEARCH('WSF DASHBOARD'!$C$4,INDEX(MASTER_ZONES!$B:$B,985)))),984,""),""),""))</f>
        <v/>
      </c>
      <c r="F985">
        <f>IF('TRANSPORT DASHBOARD'!$B$4="Area",IF(984&lt;=$I$3,IF(OR('TRANSPORT DASHBOARD'!$C$4="",ISNUMBER(SEARCH('TRANSPORT DASHBOARD'!$C$4,INDEX(MASTER_AREAS!$B:$B,985)))),984,""),""),IF('TRANSPORT DASHBOARD'!$B$4="Zone",IF(984&lt;=$I$4,IF(OR('TRANSPORT DASHBOARD'!$C$4="",ISNUMBER(SEARCH('TRANSPORT DASHBOARD'!$C$4,INDEX(MASTER_ZONES!$B:$B,985)))),984,""),""),""))</f>
        <v/>
      </c>
    </row>
    <row r="986">
      <c r="A986">
        <f>IF('WSF DASHBOARD'!$B$4="Area",IF(985&lt;=$D$3,IF(OR('WSF DASHBOARD'!$C$4="",ISNUMBER(SEARCH('WSF DASHBOARD'!$C$4,INDEX(MASTER_AREAS!$B:$B,986)))),985,""),""),IF('WSF DASHBOARD'!$B$4="Zone",IF(985&lt;=$D$4,IF(OR('WSF DASHBOARD'!$C$4="",ISNUMBER(SEARCH('WSF DASHBOARD'!$C$4,INDEX(MASTER_ZONES!$B:$B,986)))),985,""),""),""))</f>
        <v/>
      </c>
      <c r="F986">
        <f>IF('TRANSPORT DASHBOARD'!$B$4="Area",IF(985&lt;=$I$3,IF(OR('TRANSPORT DASHBOARD'!$C$4="",ISNUMBER(SEARCH('TRANSPORT DASHBOARD'!$C$4,INDEX(MASTER_AREAS!$B:$B,986)))),985,""),""),IF('TRANSPORT DASHBOARD'!$B$4="Zone",IF(985&lt;=$I$4,IF(OR('TRANSPORT DASHBOARD'!$C$4="",ISNUMBER(SEARCH('TRANSPORT DASHBOARD'!$C$4,INDEX(MASTER_ZONES!$B:$B,986)))),985,""),""),""))</f>
        <v/>
      </c>
    </row>
    <row r="987">
      <c r="A987">
        <f>IF('WSF DASHBOARD'!$B$4="Area",IF(986&lt;=$D$3,IF(OR('WSF DASHBOARD'!$C$4="",ISNUMBER(SEARCH('WSF DASHBOARD'!$C$4,INDEX(MASTER_AREAS!$B:$B,987)))),986,""),""),IF('WSF DASHBOARD'!$B$4="Zone",IF(986&lt;=$D$4,IF(OR('WSF DASHBOARD'!$C$4="",ISNUMBER(SEARCH('WSF DASHBOARD'!$C$4,INDEX(MASTER_ZONES!$B:$B,987)))),986,""),""),""))</f>
        <v/>
      </c>
      <c r="F987">
        <f>IF('TRANSPORT DASHBOARD'!$B$4="Area",IF(986&lt;=$I$3,IF(OR('TRANSPORT DASHBOARD'!$C$4="",ISNUMBER(SEARCH('TRANSPORT DASHBOARD'!$C$4,INDEX(MASTER_AREAS!$B:$B,987)))),986,""),""),IF('TRANSPORT DASHBOARD'!$B$4="Zone",IF(986&lt;=$I$4,IF(OR('TRANSPORT DASHBOARD'!$C$4="",ISNUMBER(SEARCH('TRANSPORT DASHBOARD'!$C$4,INDEX(MASTER_ZONES!$B:$B,987)))),986,""),""),""))</f>
        <v/>
      </c>
    </row>
    <row r="988">
      <c r="A988">
        <f>IF('WSF DASHBOARD'!$B$4="Area",IF(987&lt;=$D$3,IF(OR('WSF DASHBOARD'!$C$4="",ISNUMBER(SEARCH('WSF DASHBOARD'!$C$4,INDEX(MASTER_AREAS!$B:$B,988)))),987,""),""),IF('WSF DASHBOARD'!$B$4="Zone",IF(987&lt;=$D$4,IF(OR('WSF DASHBOARD'!$C$4="",ISNUMBER(SEARCH('WSF DASHBOARD'!$C$4,INDEX(MASTER_ZONES!$B:$B,988)))),987,""),""),""))</f>
        <v/>
      </c>
      <c r="F988">
        <f>IF('TRANSPORT DASHBOARD'!$B$4="Area",IF(987&lt;=$I$3,IF(OR('TRANSPORT DASHBOARD'!$C$4="",ISNUMBER(SEARCH('TRANSPORT DASHBOARD'!$C$4,INDEX(MASTER_AREAS!$B:$B,988)))),987,""),""),IF('TRANSPORT DASHBOARD'!$B$4="Zone",IF(987&lt;=$I$4,IF(OR('TRANSPORT DASHBOARD'!$C$4="",ISNUMBER(SEARCH('TRANSPORT DASHBOARD'!$C$4,INDEX(MASTER_ZONES!$B:$B,988)))),987,""),""),""))</f>
        <v/>
      </c>
    </row>
    <row r="989">
      <c r="A989">
        <f>IF('WSF DASHBOARD'!$B$4="Area",IF(988&lt;=$D$3,IF(OR('WSF DASHBOARD'!$C$4="",ISNUMBER(SEARCH('WSF DASHBOARD'!$C$4,INDEX(MASTER_AREAS!$B:$B,989)))),988,""),""),IF('WSF DASHBOARD'!$B$4="Zone",IF(988&lt;=$D$4,IF(OR('WSF DASHBOARD'!$C$4="",ISNUMBER(SEARCH('WSF DASHBOARD'!$C$4,INDEX(MASTER_ZONES!$B:$B,989)))),988,""),""),""))</f>
        <v/>
      </c>
      <c r="F989">
        <f>IF('TRANSPORT DASHBOARD'!$B$4="Area",IF(988&lt;=$I$3,IF(OR('TRANSPORT DASHBOARD'!$C$4="",ISNUMBER(SEARCH('TRANSPORT DASHBOARD'!$C$4,INDEX(MASTER_AREAS!$B:$B,989)))),988,""),""),IF('TRANSPORT DASHBOARD'!$B$4="Zone",IF(988&lt;=$I$4,IF(OR('TRANSPORT DASHBOARD'!$C$4="",ISNUMBER(SEARCH('TRANSPORT DASHBOARD'!$C$4,INDEX(MASTER_ZONES!$B:$B,989)))),988,""),""),""))</f>
        <v/>
      </c>
    </row>
    <row r="990">
      <c r="A990">
        <f>IF('WSF DASHBOARD'!$B$4="Area",IF(989&lt;=$D$3,IF(OR('WSF DASHBOARD'!$C$4="",ISNUMBER(SEARCH('WSF DASHBOARD'!$C$4,INDEX(MASTER_AREAS!$B:$B,990)))),989,""),""),IF('WSF DASHBOARD'!$B$4="Zone",IF(989&lt;=$D$4,IF(OR('WSF DASHBOARD'!$C$4="",ISNUMBER(SEARCH('WSF DASHBOARD'!$C$4,INDEX(MASTER_ZONES!$B:$B,990)))),989,""),""),""))</f>
        <v/>
      </c>
      <c r="F990">
        <f>IF('TRANSPORT DASHBOARD'!$B$4="Area",IF(989&lt;=$I$3,IF(OR('TRANSPORT DASHBOARD'!$C$4="",ISNUMBER(SEARCH('TRANSPORT DASHBOARD'!$C$4,INDEX(MASTER_AREAS!$B:$B,990)))),989,""),""),IF('TRANSPORT DASHBOARD'!$B$4="Zone",IF(989&lt;=$I$4,IF(OR('TRANSPORT DASHBOARD'!$C$4="",ISNUMBER(SEARCH('TRANSPORT DASHBOARD'!$C$4,INDEX(MASTER_ZONES!$B:$B,990)))),989,""),""),""))</f>
        <v/>
      </c>
    </row>
    <row r="991">
      <c r="A991">
        <f>IF('WSF DASHBOARD'!$B$4="Area",IF(990&lt;=$D$3,IF(OR('WSF DASHBOARD'!$C$4="",ISNUMBER(SEARCH('WSF DASHBOARD'!$C$4,INDEX(MASTER_AREAS!$B:$B,991)))),990,""),""),IF('WSF DASHBOARD'!$B$4="Zone",IF(990&lt;=$D$4,IF(OR('WSF DASHBOARD'!$C$4="",ISNUMBER(SEARCH('WSF DASHBOARD'!$C$4,INDEX(MASTER_ZONES!$B:$B,991)))),990,""),""),""))</f>
        <v/>
      </c>
      <c r="F991">
        <f>IF('TRANSPORT DASHBOARD'!$B$4="Area",IF(990&lt;=$I$3,IF(OR('TRANSPORT DASHBOARD'!$C$4="",ISNUMBER(SEARCH('TRANSPORT DASHBOARD'!$C$4,INDEX(MASTER_AREAS!$B:$B,991)))),990,""),""),IF('TRANSPORT DASHBOARD'!$B$4="Zone",IF(990&lt;=$I$4,IF(OR('TRANSPORT DASHBOARD'!$C$4="",ISNUMBER(SEARCH('TRANSPORT DASHBOARD'!$C$4,INDEX(MASTER_ZONES!$B:$B,991)))),990,""),""),""))</f>
        <v/>
      </c>
    </row>
    <row r="992">
      <c r="A992">
        <f>IF('WSF DASHBOARD'!$B$4="Area",IF(991&lt;=$D$3,IF(OR('WSF DASHBOARD'!$C$4="",ISNUMBER(SEARCH('WSF DASHBOARD'!$C$4,INDEX(MASTER_AREAS!$B:$B,992)))),991,""),""),IF('WSF DASHBOARD'!$B$4="Zone",IF(991&lt;=$D$4,IF(OR('WSF DASHBOARD'!$C$4="",ISNUMBER(SEARCH('WSF DASHBOARD'!$C$4,INDEX(MASTER_ZONES!$B:$B,992)))),991,""),""),""))</f>
        <v/>
      </c>
      <c r="F992">
        <f>IF('TRANSPORT DASHBOARD'!$B$4="Area",IF(991&lt;=$I$3,IF(OR('TRANSPORT DASHBOARD'!$C$4="",ISNUMBER(SEARCH('TRANSPORT DASHBOARD'!$C$4,INDEX(MASTER_AREAS!$B:$B,992)))),991,""),""),IF('TRANSPORT DASHBOARD'!$B$4="Zone",IF(991&lt;=$I$4,IF(OR('TRANSPORT DASHBOARD'!$C$4="",ISNUMBER(SEARCH('TRANSPORT DASHBOARD'!$C$4,INDEX(MASTER_ZONES!$B:$B,992)))),991,""),""),""))</f>
        <v/>
      </c>
    </row>
    <row r="993">
      <c r="A993">
        <f>IF('WSF DASHBOARD'!$B$4="Area",IF(992&lt;=$D$3,IF(OR('WSF DASHBOARD'!$C$4="",ISNUMBER(SEARCH('WSF DASHBOARD'!$C$4,INDEX(MASTER_AREAS!$B:$B,993)))),992,""),""),IF('WSF DASHBOARD'!$B$4="Zone",IF(992&lt;=$D$4,IF(OR('WSF DASHBOARD'!$C$4="",ISNUMBER(SEARCH('WSF DASHBOARD'!$C$4,INDEX(MASTER_ZONES!$B:$B,993)))),992,""),""),""))</f>
        <v/>
      </c>
      <c r="F993">
        <f>IF('TRANSPORT DASHBOARD'!$B$4="Area",IF(992&lt;=$I$3,IF(OR('TRANSPORT DASHBOARD'!$C$4="",ISNUMBER(SEARCH('TRANSPORT DASHBOARD'!$C$4,INDEX(MASTER_AREAS!$B:$B,993)))),992,""),""),IF('TRANSPORT DASHBOARD'!$B$4="Zone",IF(992&lt;=$I$4,IF(OR('TRANSPORT DASHBOARD'!$C$4="",ISNUMBER(SEARCH('TRANSPORT DASHBOARD'!$C$4,INDEX(MASTER_ZONES!$B:$B,993)))),992,""),""),""))</f>
        <v/>
      </c>
    </row>
    <row r="994">
      <c r="A994">
        <f>IF('WSF DASHBOARD'!$B$4="Area",IF(993&lt;=$D$3,IF(OR('WSF DASHBOARD'!$C$4="",ISNUMBER(SEARCH('WSF DASHBOARD'!$C$4,INDEX(MASTER_AREAS!$B:$B,994)))),993,""),""),IF('WSF DASHBOARD'!$B$4="Zone",IF(993&lt;=$D$4,IF(OR('WSF DASHBOARD'!$C$4="",ISNUMBER(SEARCH('WSF DASHBOARD'!$C$4,INDEX(MASTER_ZONES!$B:$B,994)))),993,""),""),""))</f>
        <v/>
      </c>
      <c r="F994">
        <f>IF('TRANSPORT DASHBOARD'!$B$4="Area",IF(993&lt;=$I$3,IF(OR('TRANSPORT DASHBOARD'!$C$4="",ISNUMBER(SEARCH('TRANSPORT DASHBOARD'!$C$4,INDEX(MASTER_AREAS!$B:$B,994)))),993,""),""),IF('TRANSPORT DASHBOARD'!$B$4="Zone",IF(993&lt;=$I$4,IF(OR('TRANSPORT DASHBOARD'!$C$4="",ISNUMBER(SEARCH('TRANSPORT DASHBOARD'!$C$4,INDEX(MASTER_ZONES!$B:$B,994)))),993,""),""),""))</f>
        <v/>
      </c>
    </row>
    <row r="995">
      <c r="A995">
        <f>IF('WSF DASHBOARD'!$B$4="Area",IF(994&lt;=$D$3,IF(OR('WSF DASHBOARD'!$C$4="",ISNUMBER(SEARCH('WSF DASHBOARD'!$C$4,INDEX(MASTER_AREAS!$B:$B,995)))),994,""),""),IF('WSF DASHBOARD'!$B$4="Zone",IF(994&lt;=$D$4,IF(OR('WSF DASHBOARD'!$C$4="",ISNUMBER(SEARCH('WSF DASHBOARD'!$C$4,INDEX(MASTER_ZONES!$B:$B,995)))),994,""),""),""))</f>
        <v/>
      </c>
      <c r="F995">
        <f>IF('TRANSPORT DASHBOARD'!$B$4="Area",IF(994&lt;=$I$3,IF(OR('TRANSPORT DASHBOARD'!$C$4="",ISNUMBER(SEARCH('TRANSPORT DASHBOARD'!$C$4,INDEX(MASTER_AREAS!$B:$B,995)))),994,""),""),IF('TRANSPORT DASHBOARD'!$B$4="Zone",IF(994&lt;=$I$4,IF(OR('TRANSPORT DASHBOARD'!$C$4="",ISNUMBER(SEARCH('TRANSPORT DASHBOARD'!$C$4,INDEX(MASTER_ZONES!$B:$B,995)))),994,""),""),""))</f>
        <v/>
      </c>
    </row>
    <row r="996">
      <c r="A996">
        <f>IF('WSF DASHBOARD'!$B$4="Area",IF(995&lt;=$D$3,IF(OR('WSF DASHBOARD'!$C$4="",ISNUMBER(SEARCH('WSF DASHBOARD'!$C$4,INDEX(MASTER_AREAS!$B:$B,996)))),995,""),""),IF('WSF DASHBOARD'!$B$4="Zone",IF(995&lt;=$D$4,IF(OR('WSF DASHBOARD'!$C$4="",ISNUMBER(SEARCH('WSF DASHBOARD'!$C$4,INDEX(MASTER_ZONES!$B:$B,996)))),995,""),""),""))</f>
        <v/>
      </c>
      <c r="F996">
        <f>IF('TRANSPORT DASHBOARD'!$B$4="Area",IF(995&lt;=$I$3,IF(OR('TRANSPORT DASHBOARD'!$C$4="",ISNUMBER(SEARCH('TRANSPORT DASHBOARD'!$C$4,INDEX(MASTER_AREAS!$B:$B,996)))),995,""),""),IF('TRANSPORT DASHBOARD'!$B$4="Zone",IF(995&lt;=$I$4,IF(OR('TRANSPORT DASHBOARD'!$C$4="",ISNUMBER(SEARCH('TRANSPORT DASHBOARD'!$C$4,INDEX(MASTER_ZONES!$B:$B,996)))),995,""),""),""))</f>
        <v/>
      </c>
    </row>
    <row r="997">
      <c r="A997">
        <f>IF('WSF DASHBOARD'!$B$4="Area",IF(996&lt;=$D$3,IF(OR('WSF DASHBOARD'!$C$4="",ISNUMBER(SEARCH('WSF DASHBOARD'!$C$4,INDEX(MASTER_AREAS!$B:$B,997)))),996,""),""),IF('WSF DASHBOARD'!$B$4="Zone",IF(996&lt;=$D$4,IF(OR('WSF DASHBOARD'!$C$4="",ISNUMBER(SEARCH('WSF DASHBOARD'!$C$4,INDEX(MASTER_ZONES!$B:$B,997)))),996,""),""),""))</f>
        <v/>
      </c>
      <c r="F997">
        <f>IF('TRANSPORT DASHBOARD'!$B$4="Area",IF(996&lt;=$I$3,IF(OR('TRANSPORT DASHBOARD'!$C$4="",ISNUMBER(SEARCH('TRANSPORT DASHBOARD'!$C$4,INDEX(MASTER_AREAS!$B:$B,997)))),996,""),""),IF('TRANSPORT DASHBOARD'!$B$4="Zone",IF(996&lt;=$I$4,IF(OR('TRANSPORT DASHBOARD'!$C$4="",ISNUMBER(SEARCH('TRANSPORT DASHBOARD'!$C$4,INDEX(MASTER_ZONES!$B:$B,997)))),996,""),""),""))</f>
        <v/>
      </c>
    </row>
    <row r="998">
      <c r="A998">
        <f>IF('WSF DASHBOARD'!$B$4="Area",IF(997&lt;=$D$3,IF(OR('WSF DASHBOARD'!$C$4="",ISNUMBER(SEARCH('WSF DASHBOARD'!$C$4,INDEX(MASTER_AREAS!$B:$B,998)))),997,""),""),IF('WSF DASHBOARD'!$B$4="Zone",IF(997&lt;=$D$4,IF(OR('WSF DASHBOARD'!$C$4="",ISNUMBER(SEARCH('WSF DASHBOARD'!$C$4,INDEX(MASTER_ZONES!$B:$B,998)))),997,""),""),""))</f>
        <v/>
      </c>
      <c r="F998">
        <f>IF('TRANSPORT DASHBOARD'!$B$4="Area",IF(997&lt;=$I$3,IF(OR('TRANSPORT DASHBOARD'!$C$4="",ISNUMBER(SEARCH('TRANSPORT DASHBOARD'!$C$4,INDEX(MASTER_AREAS!$B:$B,998)))),997,""),""),IF('TRANSPORT DASHBOARD'!$B$4="Zone",IF(997&lt;=$I$4,IF(OR('TRANSPORT DASHBOARD'!$C$4="",ISNUMBER(SEARCH('TRANSPORT DASHBOARD'!$C$4,INDEX(MASTER_ZONES!$B:$B,998)))),997,""),""),""))</f>
        <v/>
      </c>
    </row>
    <row r="999">
      <c r="A999">
        <f>IF('WSF DASHBOARD'!$B$4="Area",IF(998&lt;=$D$3,IF(OR('WSF DASHBOARD'!$C$4="",ISNUMBER(SEARCH('WSF DASHBOARD'!$C$4,INDEX(MASTER_AREAS!$B:$B,999)))),998,""),""),IF('WSF DASHBOARD'!$B$4="Zone",IF(998&lt;=$D$4,IF(OR('WSF DASHBOARD'!$C$4="",ISNUMBER(SEARCH('WSF DASHBOARD'!$C$4,INDEX(MASTER_ZONES!$B:$B,999)))),998,""),""),""))</f>
        <v/>
      </c>
      <c r="F999">
        <f>IF('TRANSPORT DASHBOARD'!$B$4="Area",IF(998&lt;=$I$3,IF(OR('TRANSPORT DASHBOARD'!$C$4="",ISNUMBER(SEARCH('TRANSPORT DASHBOARD'!$C$4,INDEX(MASTER_AREAS!$B:$B,999)))),998,""),""),IF('TRANSPORT DASHBOARD'!$B$4="Zone",IF(998&lt;=$I$4,IF(OR('TRANSPORT DASHBOARD'!$C$4="",ISNUMBER(SEARCH('TRANSPORT DASHBOARD'!$C$4,INDEX(MASTER_ZONES!$B:$B,999)))),998,""),""),""))</f>
        <v/>
      </c>
    </row>
    <row r="1000">
      <c r="A1000">
        <f>IF('WSF DASHBOARD'!$B$4="Area",IF(999&lt;=$D$3,IF(OR('WSF DASHBOARD'!$C$4="",ISNUMBER(SEARCH('WSF DASHBOARD'!$C$4,INDEX(MASTER_AREAS!$B:$B,1000)))),999,""),""),IF('WSF DASHBOARD'!$B$4="Zone",IF(999&lt;=$D$4,IF(OR('WSF DASHBOARD'!$C$4="",ISNUMBER(SEARCH('WSF DASHBOARD'!$C$4,INDEX(MASTER_ZONES!$B:$B,1000)))),999,""),""),""))</f>
        <v/>
      </c>
      <c r="F1000">
        <f>IF('TRANSPORT DASHBOARD'!$B$4="Area",IF(999&lt;=$I$3,IF(OR('TRANSPORT DASHBOARD'!$C$4="",ISNUMBER(SEARCH('TRANSPORT DASHBOARD'!$C$4,INDEX(MASTER_AREAS!$B:$B,1000)))),999,""),""),IF('TRANSPORT DASHBOARD'!$B$4="Zone",IF(999&lt;=$I$4,IF(OR('TRANSPORT DASHBOARD'!$C$4="",ISNUMBER(SEARCH('TRANSPORT DASHBOARD'!$C$4,INDEX(MASTER_ZONES!$B:$B,1000)))),999,""),""),""))</f>
        <v/>
      </c>
    </row>
    <row r="1001">
      <c r="A1001">
        <f>IF('WSF DASHBOARD'!$B$4="Area",IF(1000&lt;=$D$3,IF(OR('WSF DASHBOARD'!$C$4="",ISNUMBER(SEARCH('WSF DASHBOARD'!$C$4,INDEX(MASTER_AREAS!$B:$B,1001)))),1000,""),""),IF('WSF DASHBOARD'!$B$4="Zone",IF(1000&lt;=$D$4,IF(OR('WSF DASHBOARD'!$C$4="",ISNUMBER(SEARCH('WSF DASHBOARD'!$C$4,INDEX(MASTER_ZONES!$B:$B,1001)))),1000,""),""),""))</f>
        <v/>
      </c>
      <c r="F1001">
        <f>IF('TRANSPORT DASHBOARD'!$B$4="Area",IF(1000&lt;=$I$3,IF(OR('TRANSPORT DASHBOARD'!$C$4="",ISNUMBER(SEARCH('TRANSPORT DASHBOARD'!$C$4,INDEX(MASTER_AREAS!$B:$B,1001)))),1000,""),""),IF('TRANSPORT DASHBOARD'!$B$4="Zone",IF(1000&lt;=$I$4,IF(OR('TRANSPORT DASHBOARD'!$C$4="",ISNUMBER(SEARCH('TRANSPORT DASHBOARD'!$C$4,INDEX(MASTER_ZONES!$B:$B,1001)))),1000,""),""),""))</f>
        <v/>
      </c>
    </row>
    <row r="1002">
      <c r="A1002">
        <f>IF('WSF DASHBOARD'!$B$4="Area",IF(1001&lt;=$D$3,IF(OR('WSF DASHBOARD'!$C$4="",ISNUMBER(SEARCH('WSF DASHBOARD'!$C$4,INDEX(MASTER_AREAS!$B:$B,1002)))),1001,""),""),IF('WSF DASHBOARD'!$B$4="Zone",IF(1001&lt;=$D$4,IF(OR('WSF DASHBOARD'!$C$4="",ISNUMBER(SEARCH('WSF DASHBOARD'!$C$4,INDEX(MASTER_ZONES!$B:$B,1002)))),1001,""),""),""))</f>
        <v/>
      </c>
      <c r="F1002">
        <f>IF('TRANSPORT DASHBOARD'!$B$4="Area",IF(1001&lt;=$I$3,IF(OR('TRANSPORT DASHBOARD'!$C$4="",ISNUMBER(SEARCH('TRANSPORT DASHBOARD'!$C$4,INDEX(MASTER_AREAS!$B:$B,1002)))),1001,""),""),IF('TRANSPORT DASHBOARD'!$B$4="Zone",IF(1001&lt;=$I$4,IF(OR('TRANSPORT DASHBOARD'!$C$4="",ISNUMBER(SEARCH('TRANSPORT DASHBOARD'!$C$4,INDEX(MASTER_ZONES!$B:$B,1002)))),1001,""),""),""))</f>
        <v/>
      </c>
    </row>
    <row r="1003">
      <c r="A1003">
        <f>IF('WSF DASHBOARD'!$B$4="Area",IF(1002&lt;=$D$3,IF(OR('WSF DASHBOARD'!$C$4="",ISNUMBER(SEARCH('WSF DASHBOARD'!$C$4,INDEX(MASTER_AREAS!$B:$B,1003)))),1002,""),""),IF('WSF DASHBOARD'!$B$4="Zone",IF(1002&lt;=$D$4,IF(OR('WSF DASHBOARD'!$C$4="",ISNUMBER(SEARCH('WSF DASHBOARD'!$C$4,INDEX(MASTER_ZONES!$B:$B,1003)))),1002,""),""),""))</f>
        <v/>
      </c>
      <c r="F1003">
        <f>IF('TRANSPORT DASHBOARD'!$B$4="Area",IF(1002&lt;=$I$3,IF(OR('TRANSPORT DASHBOARD'!$C$4="",ISNUMBER(SEARCH('TRANSPORT DASHBOARD'!$C$4,INDEX(MASTER_AREAS!$B:$B,1003)))),1002,""),""),IF('TRANSPORT DASHBOARD'!$B$4="Zone",IF(1002&lt;=$I$4,IF(OR('TRANSPORT DASHBOARD'!$C$4="",ISNUMBER(SEARCH('TRANSPORT DASHBOARD'!$C$4,INDEX(MASTER_ZONES!$B:$B,1003)))),1002,""),""),""))</f>
        <v/>
      </c>
    </row>
    <row r="1004">
      <c r="A1004">
        <f>IF('WSF DASHBOARD'!$B$4="Area",IF(1003&lt;=$D$3,IF(OR('WSF DASHBOARD'!$C$4="",ISNUMBER(SEARCH('WSF DASHBOARD'!$C$4,INDEX(MASTER_AREAS!$B:$B,1004)))),1003,""),""),IF('WSF DASHBOARD'!$B$4="Zone",IF(1003&lt;=$D$4,IF(OR('WSF DASHBOARD'!$C$4="",ISNUMBER(SEARCH('WSF DASHBOARD'!$C$4,INDEX(MASTER_ZONES!$B:$B,1004)))),1003,""),""),""))</f>
        <v/>
      </c>
      <c r="F1004">
        <f>IF('TRANSPORT DASHBOARD'!$B$4="Area",IF(1003&lt;=$I$3,IF(OR('TRANSPORT DASHBOARD'!$C$4="",ISNUMBER(SEARCH('TRANSPORT DASHBOARD'!$C$4,INDEX(MASTER_AREAS!$B:$B,1004)))),1003,""),""),IF('TRANSPORT DASHBOARD'!$B$4="Zone",IF(1003&lt;=$I$4,IF(OR('TRANSPORT DASHBOARD'!$C$4="",ISNUMBER(SEARCH('TRANSPORT DASHBOARD'!$C$4,INDEX(MASTER_ZONES!$B:$B,1004)))),1003,""),""),""))</f>
        <v/>
      </c>
    </row>
    <row r="1005">
      <c r="A1005">
        <f>IF('WSF DASHBOARD'!$B$4="Area",IF(1004&lt;=$D$3,IF(OR('WSF DASHBOARD'!$C$4="",ISNUMBER(SEARCH('WSF DASHBOARD'!$C$4,INDEX(MASTER_AREAS!$B:$B,1005)))),1004,""),""),IF('WSF DASHBOARD'!$B$4="Zone",IF(1004&lt;=$D$4,IF(OR('WSF DASHBOARD'!$C$4="",ISNUMBER(SEARCH('WSF DASHBOARD'!$C$4,INDEX(MASTER_ZONES!$B:$B,1005)))),1004,""),""),""))</f>
        <v/>
      </c>
      <c r="F1005">
        <f>IF('TRANSPORT DASHBOARD'!$B$4="Area",IF(1004&lt;=$I$3,IF(OR('TRANSPORT DASHBOARD'!$C$4="",ISNUMBER(SEARCH('TRANSPORT DASHBOARD'!$C$4,INDEX(MASTER_AREAS!$B:$B,1005)))),1004,""),""),IF('TRANSPORT DASHBOARD'!$B$4="Zone",IF(1004&lt;=$I$4,IF(OR('TRANSPORT DASHBOARD'!$C$4="",ISNUMBER(SEARCH('TRANSPORT DASHBOARD'!$C$4,INDEX(MASTER_ZONES!$B:$B,1005)))),1004,""),""),""))</f>
        <v/>
      </c>
    </row>
    <row r="1006">
      <c r="A1006">
        <f>IF('WSF DASHBOARD'!$B$4="Area",IF(1005&lt;=$D$3,IF(OR('WSF DASHBOARD'!$C$4="",ISNUMBER(SEARCH('WSF DASHBOARD'!$C$4,INDEX(MASTER_AREAS!$B:$B,1006)))),1005,""),""),IF('WSF DASHBOARD'!$B$4="Zone",IF(1005&lt;=$D$4,IF(OR('WSF DASHBOARD'!$C$4="",ISNUMBER(SEARCH('WSF DASHBOARD'!$C$4,INDEX(MASTER_ZONES!$B:$B,1006)))),1005,""),""),""))</f>
        <v/>
      </c>
      <c r="F1006">
        <f>IF('TRANSPORT DASHBOARD'!$B$4="Area",IF(1005&lt;=$I$3,IF(OR('TRANSPORT DASHBOARD'!$C$4="",ISNUMBER(SEARCH('TRANSPORT DASHBOARD'!$C$4,INDEX(MASTER_AREAS!$B:$B,1006)))),1005,""),""),IF('TRANSPORT DASHBOARD'!$B$4="Zone",IF(1005&lt;=$I$4,IF(OR('TRANSPORT DASHBOARD'!$C$4="",ISNUMBER(SEARCH('TRANSPORT DASHBOARD'!$C$4,INDEX(MASTER_ZONES!$B:$B,1006)))),1005,""),""),""))</f>
        <v/>
      </c>
    </row>
    <row r="1007">
      <c r="A1007">
        <f>IF('WSF DASHBOARD'!$B$4="Area",IF(1006&lt;=$D$3,IF(OR('WSF DASHBOARD'!$C$4="",ISNUMBER(SEARCH('WSF DASHBOARD'!$C$4,INDEX(MASTER_AREAS!$B:$B,1007)))),1006,""),""),IF('WSF DASHBOARD'!$B$4="Zone",IF(1006&lt;=$D$4,IF(OR('WSF DASHBOARD'!$C$4="",ISNUMBER(SEARCH('WSF DASHBOARD'!$C$4,INDEX(MASTER_ZONES!$B:$B,1007)))),1006,""),""),""))</f>
        <v/>
      </c>
      <c r="F1007">
        <f>IF('TRANSPORT DASHBOARD'!$B$4="Area",IF(1006&lt;=$I$3,IF(OR('TRANSPORT DASHBOARD'!$C$4="",ISNUMBER(SEARCH('TRANSPORT DASHBOARD'!$C$4,INDEX(MASTER_AREAS!$B:$B,1007)))),1006,""),""),IF('TRANSPORT DASHBOARD'!$B$4="Zone",IF(1006&lt;=$I$4,IF(OR('TRANSPORT DASHBOARD'!$C$4="",ISNUMBER(SEARCH('TRANSPORT DASHBOARD'!$C$4,INDEX(MASTER_ZONES!$B:$B,1007)))),1006,""),""),""))</f>
        <v/>
      </c>
    </row>
    <row r="1008">
      <c r="A1008">
        <f>IF('WSF DASHBOARD'!$B$4="Area",IF(1007&lt;=$D$3,IF(OR('WSF DASHBOARD'!$C$4="",ISNUMBER(SEARCH('WSF DASHBOARD'!$C$4,INDEX(MASTER_AREAS!$B:$B,1008)))),1007,""),""),IF('WSF DASHBOARD'!$B$4="Zone",IF(1007&lt;=$D$4,IF(OR('WSF DASHBOARD'!$C$4="",ISNUMBER(SEARCH('WSF DASHBOARD'!$C$4,INDEX(MASTER_ZONES!$B:$B,1008)))),1007,""),""),""))</f>
        <v/>
      </c>
      <c r="F1008">
        <f>IF('TRANSPORT DASHBOARD'!$B$4="Area",IF(1007&lt;=$I$3,IF(OR('TRANSPORT DASHBOARD'!$C$4="",ISNUMBER(SEARCH('TRANSPORT DASHBOARD'!$C$4,INDEX(MASTER_AREAS!$B:$B,1008)))),1007,""),""),IF('TRANSPORT DASHBOARD'!$B$4="Zone",IF(1007&lt;=$I$4,IF(OR('TRANSPORT DASHBOARD'!$C$4="",ISNUMBER(SEARCH('TRANSPORT DASHBOARD'!$C$4,INDEX(MASTER_ZONES!$B:$B,1008)))),1007,""),""),""))</f>
        <v/>
      </c>
    </row>
    <row r="1009">
      <c r="A1009">
        <f>IF('WSF DASHBOARD'!$B$4="Area",IF(1008&lt;=$D$3,IF(OR('WSF DASHBOARD'!$C$4="",ISNUMBER(SEARCH('WSF DASHBOARD'!$C$4,INDEX(MASTER_AREAS!$B:$B,1009)))),1008,""),""),IF('WSF DASHBOARD'!$B$4="Zone",IF(1008&lt;=$D$4,IF(OR('WSF DASHBOARD'!$C$4="",ISNUMBER(SEARCH('WSF DASHBOARD'!$C$4,INDEX(MASTER_ZONES!$B:$B,1009)))),1008,""),""),""))</f>
        <v/>
      </c>
      <c r="F1009">
        <f>IF('TRANSPORT DASHBOARD'!$B$4="Area",IF(1008&lt;=$I$3,IF(OR('TRANSPORT DASHBOARD'!$C$4="",ISNUMBER(SEARCH('TRANSPORT DASHBOARD'!$C$4,INDEX(MASTER_AREAS!$B:$B,1009)))),1008,""),""),IF('TRANSPORT DASHBOARD'!$B$4="Zone",IF(1008&lt;=$I$4,IF(OR('TRANSPORT DASHBOARD'!$C$4="",ISNUMBER(SEARCH('TRANSPORT DASHBOARD'!$C$4,INDEX(MASTER_ZONES!$B:$B,1009)))),1008,""),""),""))</f>
        <v/>
      </c>
    </row>
    <row r="1010">
      <c r="A1010">
        <f>IF('WSF DASHBOARD'!$B$4="Area",IF(1009&lt;=$D$3,IF(OR('WSF DASHBOARD'!$C$4="",ISNUMBER(SEARCH('WSF DASHBOARD'!$C$4,INDEX(MASTER_AREAS!$B:$B,1010)))),1009,""),""),IF('WSF DASHBOARD'!$B$4="Zone",IF(1009&lt;=$D$4,IF(OR('WSF DASHBOARD'!$C$4="",ISNUMBER(SEARCH('WSF DASHBOARD'!$C$4,INDEX(MASTER_ZONES!$B:$B,1010)))),1009,""),""),""))</f>
        <v/>
      </c>
      <c r="F1010">
        <f>IF('TRANSPORT DASHBOARD'!$B$4="Area",IF(1009&lt;=$I$3,IF(OR('TRANSPORT DASHBOARD'!$C$4="",ISNUMBER(SEARCH('TRANSPORT DASHBOARD'!$C$4,INDEX(MASTER_AREAS!$B:$B,1010)))),1009,""),""),IF('TRANSPORT DASHBOARD'!$B$4="Zone",IF(1009&lt;=$I$4,IF(OR('TRANSPORT DASHBOARD'!$C$4="",ISNUMBER(SEARCH('TRANSPORT DASHBOARD'!$C$4,INDEX(MASTER_ZONES!$B:$B,1010)))),1009,""),""),""))</f>
        <v/>
      </c>
    </row>
    <row r="1011">
      <c r="A1011">
        <f>IF('WSF DASHBOARD'!$B$4="Area",IF(1010&lt;=$D$3,IF(OR('WSF DASHBOARD'!$C$4="",ISNUMBER(SEARCH('WSF DASHBOARD'!$C$4,INDEX(MASTER_AREAS!$B:$B,1011)))),1010,""),""),IF('WSF DASHBOARD'!$B$4="Zone",IF(1010&lt;=$D$4,IF(OR('WSF DASHBOARD'!$C$4="",ISNUMBER(SEARCH('WSF DASHBOARD'!$C$4,INDEX(MASTER_ZONES!$B:$B,1011)))),1010,""),""),""))</f>
        <v/>
      </c>
      <c r="F1011">
        <f>IF('TRANSPORT DASHBOARD'!$B$4="Area",IF(1010&lt;=$I$3,IF(OR('TRANSPORT DASHBOARD'!$C$4="",ISNUMBER(SEARCH('TRANSPORT DASHBOARD'!$C$4,INDEX(MASTER_AREAS!$B:$B,1011)))),1010,""),""),IF('TRANSPORT DASHBOARD'!$B$4="Zone",IF(1010&lt;=$I$4,IF(OR('TRANSPORT DASHBOARD'!$C$4="",ISNUMBER(SEARCH('TRANSPORT DASHBOARD'!$C$4,INDEX(MASTER_ZONES!$B:$B,1011)))),1010,""),""),""))</f>
        <v/>
      </c>
    </row>
    <row r="1012">
      <c r="A1012">
        <f>IF('WSF DASHBOARD'!$B$4="Area",IF(1011&lt;=$D$3,IF(OR('WSF DASHBOARD'!$C$4="",ISNUMBER(SEARCH('WSF DASHBOARD'!$C$4,INDEX(MASTER_AREAS!$B:$B,1012)))),1011,""),""),IF('WSF DASHBOARD'!$B$4="Zone",IF(1011&lt;=$D$4,IF(OR('WSF DASHBOARD'!$C$4="",ISNUMBER(SEARCH('WSF DASHBOARD'!$C$4,INDEX(MASTER_ZONES!$B:$B,1012)))),1011,""),""),""))</f>
        <v/>
      </c>
      <c r="F1012">
        <f>IF('TRANSPORT DASHBOARD'!$B$4="Area",IF(1011&lt;=$I$3,IF(OR('TRANSPORT DASHBOARD'!$C$4="",ISNUMBER(SEARCH('TRANSPORT DASHBOARD'!$C$4,INDEX(MASTER_AREAS!$B:$B,1012)))),1011,""),""),IF('TRANSPORT DASHBOARD'!$B$4="Zone",IF(1011&lt;=$I$4,IF(OR('TRANSPORT DASHBOARD'!$C$4="",ISNUMBER(SEARCH('TRANSPORT DASHBOARD'!$C$4,INDEX(MASTER_ZONES!$B:$B,1012)))),1011,""),""),""))</f>
        <v/>
      </c>
    </row>
    <row r="1013">
      <c r="A1013">
        <f>IF('WSF DASHBOARD'!$B$4="Area",IF(1012&lt;=$D$3,IF(OR('WSF DASHBOARD'!$C$4="",ISNUMBER(SEARCH('WSF DASHBOARD'!$C$4,INDEX(MASTER_AREAS!$B:$B,1013)))),1012,""),""),IF('WSF DASHBOARD'!$B$4="Zone",IF(1012&lt;=$D$4,IF(OR('WSF DASHBOARD'!$C$4="",ISNUMBER(SEARCH('WSF DASHBOARD'!$C$4,INDEX(MASTER_ZONES!$B:$B,1013)))),1012,""),""),""))</f>
        <v/>
      </c>
      <c r="F1013">
        <f>IF('TRANSPORT DASHBOARD'!$B$4="Area",IF(1012&lt;=$I$3,IF(OR('TRANSPORT DASHBOARD'!$C$4="",ISNUMBER(SEARCH('TRANSPORT DASHBOARD'!$C$4,INDEX(MASTER_AREAS!$B:$B,1013)))),1012,""),""),IF('TRANSPORT DASHBOARD'!$B$4="Zone",IF(1012&lt;=$I$4,IF(OR('TRANSPORT DASHBOARD'!$C$4="",ISNUMBER(SEARCH('TRANSPORT DASHBOARD'!$C$4,INDEX(MASTER_ZONES!$B:$B,1013)))),1012,""),""),""))</f>
        <v/>
      </c>
    </row>
    <row r="1014">
      <c r="A1014">
        <f>IF('WSF DASHBOARD'!$B$4="Area",IF(1013&lt;=$D$3,IF(OR('WSF DASHBOARD'!$C$4="",ISNUMBER(SEARCH('WSF DASHBOARD'!$C$4,INDEX(MASTER_AREAS!$B:$B,1014)))),1013,""),""),IF('WSF DASHBOARD'!$B$4="Zone",IF(1013&lt;=$D$4,IF(OR('WSF DASHBOARD'!$C$4="",ISNUMBER(SEARCH('WSF DASHBOARD'!$C$4,INDEX(MASTER_ZONES!$B:$B,1014)))),1013,""),""),""))</f>
        <v/>
      </c>
      <c r="F1014">
        <f>IF('TRANSPORT DASHBOARD'!$B$4="Area",IF(1013&lt;=$I$3,IF(OR('TRANSPORT DASHBOARD'!$C$4="",ISNUMBER(SEARCH('TRANSPORT DASHBOARD'!$C$4,INDEX(MASTER_AREAS!$B:$B,1014)))),1013,""),""),IF('TRANSPORT DASHBOARD'!$B$4="Zone",IF(1013&lt;=$I$4,IF(OR('TRANSPORT DASHBOARD'!$C$4="",ISNUMBER(SEARCH('TRANSPORT DASHBOARD'!$C$4,INDEX(MASTER_ZONES!$B:$B,1014)))),1013,""),""),""))</f>
        <v/>
      </c>
    </row>
    <row r="1015">
      <c r="A1015">
        <f>IF('WSF DASHBOARD'!$B$4="Area",IF(1014&lt;=$D$3,IF(OR('WSF DASHBOARD'!$C$4="",ISNUMBER(SEARCH('WSF DASHBOARD'!$C$4,INDEX(MASTER_AREAS!$B:$B,1015)))),1014,""),""),IF('WSF DASHBOARD'!$B$4="Zone",IF(1014&lt;=$D$4,IF(OR('WSF DASHBOARD'!$C$4="",ISNUMBER(SEARCH('WSF DASHBOARD'!$C$4,INDEX(MASTER_ZONES!$B:$B,1015)))),1014,""),""),""))</f>
        <v/>
      </c>
      <c r="F1015">
        <f>IF('TRANSPORT DASHBOARD'!$B$4="Area",IF(1014&lt;=$I$3,IF(OR('TRANSPORT DASHBOARD'!$C$4="",ISNUMBER(SEARCH('TRANSPORT DASHBOARD'!$C$4,INDEX(MASTER_AREAS!$B:$B,1015)))),1014,""),""),IF('TRANSPORT DASHBOARD'!$B$4="Zone",IF(1014&lt;=$I$4,IF(OR('TRANSPORT DASHBOARD'!$C$4="",ISNUMBER(SEARCH('TRANSPORT DASHBOARD'!$C$4,INDEX(MASTER_ZONES!$B:$B,1015)))),1014,""),""),""))</f>
        <v/>
      </c>
    </row>
    <row r="1016">
      <c r="A1016">
        <f>IF('WSF DASHBOARD'!$B$4="Area",IF(1015&lt;=$D$3,IF(OR('WSF DASHBOARD'!$C$4="",ISNUMBER(SEARCH('WSF DASHBOARD'!$C$4,INDEX(MASTER_AREAS!$B:$B,1016)))),1015,""),""),IF('WSF DASHBOARD'!$B$4="Zone",IF(1015&lt;=$D$4,IF(OR('WSF DASHBOARD'!$C$4="",ISNUMBER(SEARCH('WSF DASHBOARD'!$C$4,INDEX(MASTER_ZONES!$B:$B,1016)))),1015,""),""),""))</f>
        <v/>
      </c>
      <c r="F1016">
        <f>IF('TRANSPORT DASHBOARD'!$B$4="Area",IF(1015&lt;=$I$3,IF(OR('TRANSPORT DASHBOARD'!$C$4="",ISNUMBER(SEARCH('TRANSPORT DASHBOARD'!$C$4,INDEX(MASTER_AREAS!$B:$B,1016)))),1015,""),""),IF('TRANSPORT DASHBOARD'!$B$4="Zone",IF(1015&lt;=$I$4,IF(OR('TRANSPORT DASHBOARD'!$C$4="",ISNUMBER(SEARCH('TRANSPORT DASHBOARD'!$C$4,INDEX(MASTER_ZONES!$B:$B,1016)))),1015,""),""),""))</f>
        <v/>
      </c>
    </row>
    <row r="1017">
      <c r="A1017">
        <f>IF('WSF DASHBOARD'!$B$4="Area",IF(1016&lt;=$D$3,IF(OR('WSF DASHBOARD'!$C$4="",ISNUMBER(SEARCH('WSF DASHBOARD'!$C$4,INDEX(MASTER_AREAS!$B:$B,1017)))),1016,""),""),IF('WSF DASHBOARD'!$B$4="Zone",IF(1016&lt;=$D$4,IF(OR('WSF DASHBOARD'!$C$4="",ISNUMBER(SEARCH('WSF DASHBOARD'!$C$4,INDEX(MASTER_ZONES!$B:$B,1017)))),1016,""),""),""))</f>
        <v/>
      </c>
      <c r="F1017">
        <f>IF('TRANSPORT DASHBOARD'!$B$4="Area",IF(1016&lt;=$I$3,IF(OR('TRANSPORT DASHBOARD'!$C$4="",ISNUMBER(SEARCH('TRANSPORT DASHBOARD'!$C$4,INDEX(MASTER_AREAS!$B:$B,1017)))),1016,""),""),IF('TRANSPORT DASHBOARD'!$B$4="Zone",IF(1016&lt;=$I$4,IF(OR('TRANSPORT DASHBOARD'!$C$4="",ISNUMBER(SEARCH('TRANSPORT DASHBOARD'!$C$4,INDEX(MASTER_ZONES!$B:$B,1017)))),1016,""),""),""))</f>
        <v/>
      </c>
    </row>
    <row r="1018">
      <c r="A1018">
        <f>IF('WSF DASHBOARD'!$B$4="Area",IF(1017&lt;=$D$3,IF(OR('WSF DASHBOARD'!$C$4="",ISNUMBER(SEARCH('WSF DASHBOARD'!$C$4,INDEX(MASTER_AREAS!$B:$B,1018)))),1017,""),""),IF('WSF DASHBOARD'!$B$4="Zone",IF(1017&lt;=$D$4,IF(OR('WSF DASHBOARD'!$C$4="",ISNUMBER(SEARCH('WSF DASHBOARD'!$C$4,INDEX(MASTER_ZONES!$B:$B,1018)))),1017,""),""),""))</f>
        <v/>
      </c>
      <c r="F1018">
        <f>IF('TRANSPORT DASHBOARD'!$B$4="Area",IF(1017&lt;=$I$3,IF(OR('TRANSPORT DASHBOARD'!$C$4="",ISNUMBER(SEARCH('TRANSPORT DASHBOARD'!$C$4,INDEX(MASTER_AREAS!$B:$B,1018)))),1017,""),""),IF('TRANSPORT DASHBOARD'!$B$4="Zone",IF(1017&lt;=$I$4,IF(OR('TRANSPORT DASHBOARD'!$C$4="",ISNUMBER(SEARCH('TRANSPORT DASHBOARD'!$C$4,INDEX(MASTER_ZONES!$B:$B,1018)))),1017,""),""),""))</f>
        <v/>
      </c>
    </row>
    <row r="1019">
      <c r="A1019">
        <f>IF('WSF DASHBOARD'!$B$4="Area",IF(1018&lt;=$D$3,IF(OR('WSF DASHBOARD'!$C$4="",ISNUMBER(SEARCH('WSF DASHBOARD'!$C$4,INDEX(MASTER_AREAS!$B:$B,1019)))),1018,""),""),IF('WSF DASHBOARD'!$B$4="Zone",IF(1018&lt;=$D$4,IF(OR('WSF DASHBOARD'!$C$4="",ISNUMBER(SEARCH('WSF DASHBOARD'!$C$4,INDEX(MASTER_ZONES!$B:$B,1019)))),1018,""),""),""))</f>
        <v/>
      </c>
      <c r="F1019">
        <f>IF('TRANSPORT DASHBOARD'!$B$4="Area",IF(1018&lt;=$I$3,IF(OR('TRANSPORT DASHBOARD'!$C$4="",ISNUMBER(SEARCH('TRANSPORT DASHBOARD'!$C$4,INDEX(MASTER_AREAS!$B:$B,1019)))),1018,""),""),IF('TRANSPORT DASHBOARD'!$B$4="Zone",IF(1018&lt;=$I$4,IF(OR('TRANSPORT DASHBOARD'!$C$4="",ISNUMBER(SEARCH('TRANSPORT DASHBOARD'!$C$4,INDEX(MASTER_ZONES!$B:$B,1019)))),1018,""),""),""))</f>
        <v/>
      </c>
    </row>
    <row r="1020">
      <c r="A1020">
        <f>IF('WSF DASHBOARD'!$B$4="Area",IF(1019&lt;=$D$3,IF(OR('WSF DASHBOARD'!$C$4="",ISNUMBER(SEARCH('WSF DASHBOARD'!$C$4,INDEX(MASTER_AREAS!$B:$B,1020)))),1019,""),""),IF('WSF DASHBOARD'!$B$4="Zone",IF(1019&lt;=$D$4,IF(OR('WSF DASHBOARD'!$C$4="",ISNUMBER(SEARCH('WSF DASHBOARD'!$C$4,INDEX(MASTER_ZONES!$B:$B,1020)))),1019,""),""),""))</f>
        <v/>
      </c>
      <c r="F1020">
        <f>IF('TRANSPORT DASHBOARD'!$B$4="Area",IF(1019&lt;=$I$3,IF(OR('TRANSPORT DASHBOARD'!$C$4="",ISNUMBER(SEARCH('TRANSPORT DASHBOARD'!$C$4,INDEX(MASTER_AREAS!$B:$B,1020)))),1019,""),""),IF('TRANSPORT DASHBOARD'!$B$4="Zone",IF(1019&lt;=$I$4,IF(OR('TRANSPORT DASHBOARD'!$C$4="",ISNUMBER(SEARCH('TRANSPORT DASHBOARD'!$C$4,INDEX(MASTER_ZONES!$B:$B,1020)))),1019,""),""),""))</f>
        <v/>
      </c>
    </row>
    <row r="1021">
      <c r="A1021">
        <f>IF('WSF DASHBOARD'!$B$4="Area",IF(1020&lt;=$D$3,IF(OR('WSF DASHBOARD'!$C$4="",ISNUMBER(SEARCH('WSF DASHBOARD'!$C$4,INDEX(MASTER_AREAS!$B:$B,1021)))),1020,""),""),IF('WSF DASHBOARD'!$B$4="Zone",IF(1020&lt;=$D$4,IF(OR('WSF DASHBOARD'!$C$4="",ISNUMBER(SEARCH('WSF DASHBOARD'!$C$4,INDEX(MASTER_ZONES!$B:$B,1021)))),1020,""),""),""))</f>
        <v/>
      </c>
      <c r="F1021">
        <f>IF('TRANSPORT DASHBOARD'!$B$4="Area",IF(1020&lt;=$I$3,IF(OR('TRANSPORT DASHBOARD'!$C$4="",ISNUMBER(SEARCH('TRANSPORT DASHBOARD'!$C$4,INDEX(MASTER_AREAS!$B:$B,1021)))),1020,""),""),IF('TRANSPORT DASHBOARD'!$B$4="Zone",IF(1020&lt;=$I$4,IF(OR('TRANSPORT DASHBOARD'!$C$4="",ISNUMBER(SEARCH('TRANSPORT DASHBOARD'!$C$4,INDEX(MASTER_ZONES!$B:$B,1021)))),1020,""),""),""))</f>
        <v/>
      </c>
    </row>
    <row r="1022">
      <c r="A1022">
        <f>IF('WSF DASHBOARD'!$B$4="Area",IF(1021&lt;=$D$3,IF(OR('WSF DASHBOARD'!$C$4="",ISNUMBER(SEARCH('WSF DASHBOARD'!$C$4,INDEX(MASTER_AREAS!$B:$B,1022)))),1021,""),""),IF('WSF DASHBOARD'!$B$4="Zone",IF(1021&lt;=$D$4,IF(OR('WSF DASHBOARD'!$C$4="",ISNUMBER(SEARCH('WSF DASHBOARD'!$C$4,INDEX(MASTER_ZONES!$B:$B,1022)))),1021,""),""),""))</f>
        <v/>
      </c>
      <c r="F1022">
        <f>IF('TRANSPORT DASHBOARD'!$B$4="Area",IF(1021&lt;=$I$3,IF(OR('TRANSPORT DASHBOARD'!$C$4="",ISNUMBER(SEARCH('TRANSPORT DASHBOARD'!$C$4,INDEX(MASTER_AREAS!$B:$B,1022)))),1021,""),""),IF('TRANSPORT DASHBOARD'!$B$4="Zone",IF(1021&lt;=$I$4,IF(OR('TRANSPORT DASHBOARD'!$C$4="",ISNUMBER(SEARCH('TRANSPORT DASHBOARD'!$C$4,INDEX(MASTER_ZONES!$B:$B,1022)))),1021,""),""),""))</f>
        <v/>
      </c>
    </row>
    <row r="1023">
      <c r="A1023">
        <f>IF('WSF DASHBOARD'!$B$4="Area",IF(1022&lt;=$D$3,IF(OR('WSF DASHBOARD'!$C$4="",ISNUMBER(SEARCH('WSF DASHBOARD'!$C$4,INDEX(MASTER_AREAS!$B:$B,1023)))),1022,""),""),IF('WSF DASHBOARD'!$B$4="Zone",IF(1022&lt;=$D$4,IF(OR('WSF DASHBOARD'!$C$4="",ISNUMBER(SEARCH('WSF DASHBOARD'!$C$4,INDEX(MASTER_ZONES!$B:$B,1023)))),1022,""),""),""))</f>
        <v/>
      </c>
      <c r="F1023">
        <f>IF('TRANSPORT DASHBOARD'!$B$4="Area",IF(1022&lt;=$I$3,IF(OR('TRANSPORT DASHBOARD'!$C$4="",ISNUMBER(SEARCH('TRANSPORT DASHBOARD'!$C$4,INDEX(MASTER_AREAS!$B:$B,1023)))),1022,""),""),IF('TRANSPORT DASHBOARD'!$B$4="Zone",IF(1022&lt;=$I$4,IF(OR('TRANSPORT DASHBOARD'!$C$4="",ISNUMBER(SEARCH('TRANSPORT DASHBOARD'!$C$4,INDEX(MASTER_ZONES!$B:$B,1023)))),1022,""),""),""))</f>
        <v/>
      </c>
    </row>
    <row r="1024">
      <c r="A1024">
        <f>IF('WSF DASHBOARD'!$B$4="Area",IF(1023&lt;=$D$3,IF(OR('WSF DASHBOARD'!$C$4="",ISNUMBER(SEARCH('WSF DASHBOARD'!$C$4,INDEX(MASTER_AREAS!$B:$B,1024)))),1023,""),""),IF('WSF DASHBOARD'!$B$4="Zone",IF(1023&lt;=$D$4,IF(OR('WSF DASHBOARD'!$C$4="",ISNUMBER(SEARCH('WSF DASHBOARD'!$C$4,INDEX(MASTER_ZONES!$B:$B,1024)))),1023,""),""),""))</f>
        <v/>
      </c>
      <c r="F1024">
        <f>IF('TRANSPORT DASHBOARD'!$B$4="Area",IF(1023&lt;=$I$3,IF(OR('TRANSPORT DASHBOARD'!$C$4="",ISNUMBER(SEARCH('TRANSPORT DASHBOARD'!$C$4,INDEX(MASTER_AREAS!$B:$B,1024)))),1023,""),""),IF('TRANSPORT DASHBOARD'!$B$4="Zone",IF(1023&lt;=$I$4,IF(OR('TRANSPORT DASHBOARD'!$C$4="",ISNUMBER(SEARCH('TRANSPORT DASHBOARD'!$C$4,INDEX(MASTER_ZONES!$B:$B,1024)))),1023,""),""),""))</f>
        <v/>
      </c>
    </row>
    <row r="1025">
      <c r="A1025">
        <f>IF('WSF DASHBOARD'!$B$4="Area",IF(1024&lt;=$D$3,IF(OR('WSF DASHBOARD'!$C$4="",ISNUMBER(SEARCH('WSF DASHBOARD'!$C$4,INDEX(MASTER_AREAS!$B:$B,1025)))),1024,""),""),IF('WSF DASHBOARD'!$B$4="Zone",IF(1024&lt;=$D$4,IF(OR('WSF DASHBOARD'!$C$4="",ISNUMBER(SEARCH('WSF DASHBOARD'!$C$4,INDEX(MASTER_ZONES!$B:$B,1025)))),1024,""),""),""))</f>
        <v/>
      </c>
      <c r="F1025">
        <f>IF('TRANSPORT DASHBOARD'!$B$4="Area",IF(1024&lt;=$I$3,IF(OR('TRANSPORT DASHBOARD'!$C$4="",ISNUMBER(SEARCH('TRANSPORT DASHBOARD'!$C$4,INDEX(MASTER_AREAS!$B:$B,1025)))),1024,""),""),IF('TRANSPORT DASHBOARD'!$B$4="Zone",IF(1024&lt;=$I$4,IF(OR('TRANSPORT DASHBOARD'!$C$4="",ISNUMBER(SEARCH('TRANSPORT DASHBOARD'!$C$4,INDEX(MASTER_ZONES!$B:$B,1025)))),1024,""),""),""))</f>
        <v/>
      </c>
    </row>
    <row r="1026">
      <c r="A1026">
        <f>IF('WSF DASHBOARD'!$B$4="Area",IF(1025&lt;=$D$3,IF(OR('WSF DASHBOARD'!$C$4="",ISNUMBER(SEARCH('WSF DASHBOARD'!$C$4,INDEX(MASTER_AREAS!$B:$B,1026)))),1025,""),""),IF('WSF DASHBOARD'!$B$4="Zone",IF(1025&lt;=$D$4,IF(OR('WSF DASHBOARD'!$C$4="",ISNUMBER(SEARCH('WSF DASHBOARD'!$C$4,INDEX(MASTER_ZONES!$B:$B,1026)))),1025,""),""),""))</f>
        <v/>
      </c>
      <c r="F1026">
        <f>IF('TRANSPORT DASHBOARD'!$B$4="Area",IF(1025&lt;=$I$3,IF(OR('TRANSPORT DASHBOARD'!$C$4="",ISNUMBER(SEARCH('TRANSPORT DASHBOARD'!$C$4,INDEX(MASTER_AREAS!$B:$B,1026)))),1025,""),""),IF('TRANSPORT DASHBOARD'!$B$4="Zone",IF(1025&lt;=$I$4,IF(OR('TRANSPORT DASHBOARD'!$C$4="",ISNUMBER(SEARCH('TRANSPORT DASHBOARD'!$C$4,INDEX(MASTER_ZONES!$B:$B,1026)))),1025,""),""),""))</f>
        <v/>
      </c>
    </row>
    <row r="1027">
      <c r="A1027">
        <f>IF('WSF DASHBOARD'!$B$4="Area",IF(1026&lt;=$D$3,IF(OR('WSF DASHBOARD'!$C$4="",ISNUMBER(SEARCH('WSF DASHBOARD'!$C$4,INDEX(MASTER_AREAS!$B:$B,1027)))),1026,""),""),IF('WSF DASHBOARD'!$B$4="Zone",IF(1026&lt;=$D$4,IF(OR('WSF DASHBOARD'!$C$4="",ISNUMBER(SEARCH('WSF DASHBOARD'!$C$4,INDEX(MASTER_ZONES!$B:$B,1027)))),1026,""),""),""))</f>
        <v/>
      </c>
      <c r="F1027">
        <f>IF('TRANSPORT DASHBOARD'!$B$4="Area",IF(1026&lt;=$I$3,IF(OR('TRANSPORT DASHBOARD'!$C$4="",ISNUMBER(SEARCH('TRANSPORT DASHBOARD'!$C$4,INDEX(MASTER_AREAS!$B:$B,1027)))),1026,""),""),IF('TRANSPORT DASHBOARD'!$B$4="Zone",IF(1026&lt;=$I$4,IF(OR('TRANSPORT DASHBOARD'!$C$4="",ISNUMBER(SEARCH('TRANSPORT DASHBOARD'!$C$4,INDEX(MASTER_ZONES!$B:$B,1027)))),1026,""),""),""))</f>
        <v/>
      </c>
    </row>
    <row r="1028">
      <c r="A1028">
        <f>IF('WSF DASHBOARD'!$B$4="Area",IF(1027&lt;=$D$3,IF(OR('WSF DASHBOARD'!$C$4="",ISNUMBER(SEARCH('WSF DASHBOARD'!$C$4,INDEX(MASTER_AREAS!$B:$B,1028)))),1027,""),""),IF('WSF DASHBOARD'!$B$4="Zone",IF(1027&lt;=$D$4,IF(OR('WSF DASHBOARD'!$C$4="",ISNUMBER(SEARCH('WSF DASHBOARD'!$C$4,INDEX(MASTER_ZONES!$B:$B,1028)))),1027,""),""),""))</f>
        <v/>
      </c>
      <c r="F1028">
        <f>IF('TRANSPORT DASHBOARD'!$B$4="Area",IF(1027&lt;=$I$3,IF(OR('TRANSPORT DASHBOARD'!$C$4="",ISNUMBER(SEARCH('TRANSPORT DASHBOARD'!$C$4,INDEX(MASTER_AREAS!$B:$B,1028)))),1027,""),""),IF('TRANSPORT DASHBOARD'!$B$4="Zone",IF(1027&lt;=$I$4,IF(OR('TRANSPORT DASHBOARD'!$C$4="",ISNUMBER(SEARCH('TRANSPORT DASHBOARD'!$C$4,INDEX(MASTER_ZONES!$B:$B,1028)))),1027,""),""),""))</f>
        <v/>
      </c>
    </row>
    <row r="1029">
      <c r="A1029">
        <f>IF('WSF DASHBOARD'!$B$4="Area",IF(1028&lt;=$D$3,IF(OR('WSF DASHBOARD'!$C$4="",ISNUMBER(SEARCH('WSF DASHBOARD'!$C$4,INDEX(MASTER_AREAS!$B:$B,1029)))),1028,""),""),IF('WSF DASHBOARD'!$B$4="Zone",IF(1028&lt;=$D$4,IF(OR('WSF DASHBOARD'!$C$4="",ISNUMBER(SEARCH('WSF DASHBOARD'!$C$4,INDEX(MASTER_ZONES!$B:$B,1029)))),1028,""),""),""))</f>
        <v/>
      </c>
      <c r="F1029">
        <f>IF('TRANSPORT DASHBOARD'!$B$4="Area",IF(1028&lt;=$I$3,IF(OR('TRANSPORT DASHBOARD'!$C$4="",ISNUMBER(SEARCH('TRANSPORT DASHBOARD'!$C$4,INDEX(MASTER_AREAS!$B:$B,1029)))),1028,""),""),IF('TRANSPORT DASHBOARD'!$B$4="Zone",IF(1028&lt;=$I$4,IF(OR('TRANSPORT DASHBOARD'!$C$4="",ISNUMBER(SEARCH('TRANSPORT DASHBOARD'!$C$4,INDEX(MASTER_ZONES!$B:$B,1029)))),1028,""),""),""))</f>
        <v/>
      </c>
    </row>
    <row r="1030">
      <c r="A1030">
        <f>IF('WSF DASHBOARD'!$B$4="Area",IF(1029&lt;=$D$3,IF(OR('WSF DASHBOARD'!$C$4="",ISNUMBER(SEARCH('WSF DASHBOARD'!$C$4,INDEX(MASTER_AREAS!$B:$B,1030)))),1029,""),""),IF('WSF DASHBOARD'!$B$4="Zone",IF(1029&lt;=$D$4,IF(OR('WSF DASHBOARD'!$C$4="",ISNUMBER(SEARCH('WSF DASHBOARD'!$C$4,INDEX(MASTER_ZONES!$B:$B,1030)))),1029,""),""),""))</f>
        <v/>
      </c>
      <c r="F1030">
        <f>IF('TRANSPORT DASHBOARD'!$B$4="Area",IF(1029&lt;=$I$3,IF(OR('TRANSPORT DASHBOARD'!$C$4="",ISNUMBER(SEARCH('TRANSPORT DASHBOARD'!$C$4,INDEX(MASTER_AREAS!$B:$B,1030)))),1029,""),""),IF('TRANSPORT DASHBOARD'!$B$4="Zone",IF(1029&lt;=$I$4,IF(OR('TRANSPORT DASHBOARD'!$C$4="",ISNUMBER(SEARCH('TRANSPORT DASHBOARD'!$C$4,INDEX(MASTER_ZONES!$B:$B,1030)))),1029,""),""),""))</f>
        <v/>
      </c>
    </row>
    <row r="1031">
      <c r="A1031">
        <f>IF('WSF DASHBOARD'!$B$4="Area",IF(1030&lt;=$D$3,IF(OR('WSF DASHBOARD'!$C$4="",ISNUMBER(SEARCH('WSF DASHBOARD'!$C$4,INDEX(MASTER_AREAS!$B:$B,1031)))),1030,""),""),IF('WSF DASHBOARD'!$B$4="Zone",IF(1030&lt;=$D$4,IF(OR('WSF DASHBOARD'!$C$4="",ISNUMBER(SEARCH('WSF DASHBOARD'!$C$4,INDEX(MASTER_ZONES!$B:$B,1031)))),1030,""),""),""))</f>
        <v/>
      </c>
      <c r="F1031">
        <f>IF('TRANSPORT DASHBOARD'!$B$4="Area",IF(1030&lt;=$I$3,IF(OR('TRANSPORT DASHBOARD'!$C$4="",ISNUMBER(SEARCH('TRANSPORT DASHBOARD'!$C$4,INDEX(MASTER_AREAS!$B:$B,1031)))),1030,""),""),IF('TRANSPORT DASHBOARD'!$B$4="Zone",IF(1030&lt;=$I$4,IF(OR('TRANSPORT DASHBOARD'!$C$4="",ISNUMBER(SEARCH('TRANSPORT DASHBOARD'!$C$4,INDEX(MASTER_ZONES!$B:$B,1031)))),1030,""),""),""))</f>
        <v/>
      </c>
    </row>
    <row r="1032">
      <c r="A1032">
        <f>IF('WSF DASHBOARD'!$B$4="Area",IF(1031&lt;=$D$3,IF(OR('WSF DASHBOARD'!$C$4="",ISNUMBER(SEARCH('WSF DASHBOARD'!$C$4,INDEX(MASTER_AREAS!$B:$B,1032)))),1031,""),""),IF('WSF DASHBOARD'!$B$4="Zone",IF(1031&lt;=$D$4,IF(OR('WSF DASHBOARD'!$C$4="",ISNUMBER(SEARCH('WSF DASHBOARD'!$C$4,INDEX(MASTER_ZONES!$B:$B,1032)))),1031,""),""),""))</f>
        <v/>
      </c>
      <c r="F1032">
        <f>IF('TRANSPORT DASHBOARD'!$B$4="Area",IF(1031&lt;=$I$3,IF(OR('TRANSPORT DASHBOARD'!$C$4="",ISNUMBER(SEARCH('TRANSPORT DASHBOARD'!$C$4,INDEX(MASTER_AREAS!$B:$B,1032)))),1031,""),""),IF('TRANSPORT DASHBOARD'!$B$4="Zone",IF(1031&lt;=$I$4,IF(OR('TRANSPORT DASHBOARD'!$C$4="",ISNUMBER(SEARCH('TRANSPORT DASHBOARD'!$C$4,INDEX(MASTER_ZONES!$B:$B,1032)))),1031,""),""),""))</f>
        <v/>
      </c>
    </row>
    <row r="1033">
      <c r="A1033">
        <f>IF('WSF DASHBOARD'!$B$4="Area",IF(1032&lt;=$D$3,IF(OR('WSF DASHBOARD'!$C$4="",ISNUMBER(SEARCH('WSF DASHBOARD'!$C$4,INDEX(MASTER_AREAS!$B:$B,1033)))),1032,""),""),IF('WSF DASHBOARD'!$B$4="Zone",IF(1032&lt;=$D$4,IF(OR('WSF DASHBOARD'!$C$4="",ISNUMBER(SEARCH('WSF DASHBOARD'!$C$4,INDEX(MASTER_ZONES!$B:$B,1033)))),1032,""),""),""))</f>
        <v/>
      </c>
      <c r="F1033">
        <f>IF('TRANSPORT DASHBOARD'!$B$4="Area",IF(1032&lt;=$I$3,IF(OR('TRANSPORT DASHBOARD'!$C$4="",ISNUMBER(SEARCH('TRANSPORT DASHBOARD'!$C$4,INDEX(MASTER_AREAS!$B:$B,1033)))),1032,""),""),IF('TRANSPORT DASHBOARD'!$B$4="Zone",IF(1032&lt;=$I$4,IF(OR('TRANSPORT DASHBOARD'!$C$4="",ISNUMBER(SEARCH('TRANSPORT DASHBOARD'!$C$4,INDEX(MASTER_ZONES!$B:$B,1033)))),1032,""),""),""))</f>
        <v/>
      </c>
    </row>
    <row r="1034">
      <c r="A1034">
        <f>IF('WSF DASHBOARD'!$B$4="Area",IF(1033&lt;=$D$3,IF(OR('WSF DASHBOARD'!$C$4="",ISNUMBER(SEARCH('WSF DASHBOARD'!$C$4,INDEX(MASTER_AREAS!$B:$B,1034)))),1033,""),""),IF('WSF DASHBOARD'!$B$4="Zone",IF(1033&lt;=$D$4,IF(OR('WSF DASHBOARD'!$C$4="",ISNUMBER(SEARCH('WSF DASHBOARD'!$C$4,INDEX(MASTER_ZONES!$B:$B,1034)))),1033,""),""),""))</f>
        <v/>
      </c>
      <c r="F1034">
        <f>IF('TRANSPORT DASHBOARD'!$B$4="Area",IF(1033&lt;=$I$3,IF(OR('TRANSPORT DASHBOARD'!$C$4="",ISNUMBER(SEARCH('TRANSPORT DASHBOARD'!$C$4,INDEX(MASTER_AREAS!$B:$B,1034)))),1033,""),""),IF('TRANSPORT DASHBOARD'!$B$4="Zone",IF(1033&lt;=$I$4,IF(OR('TRANSPORT DASHBOARD'!$C$4="",ISNUMBER(SEARCH('TRANSPORT DASHBOARD'!$C$4,INDEX(MASTER_ZONES!$B:$B,1034)))),1033,""),""),""))</f>
        <v/>
      </c>
    </row>
    <row r="1035">
      <c r="A1035">
        <f>IF('WSF DASHBOARD'!$B$4="Area",IF(1034&lt;=$D$3,IF(OR('WSF DASHBOARD'!$C$4="",ISNUMBER(SEARCH('WSF DASHBOARD'!$C$4,INDEX(MASTER_AREAS!$B:$B,1035)))),1034,""),""),IF('WSF DASHBOARD'!$B$4="Zone",IF(1034&lt;=$D$4,IF(OR('WSF DASHBOARD'!$C$4="",ISNUMBER(SEARCH('WSF DASHBOARD'!$C$4,INDEX(MASTER_ZONES!$B:$B,1035)))),1034,""),""),""))</f>
        <v/>
      </c>
      <c r="F1035">
        <f>IF('TRANSPORT DASHBOARD'!$B$4="Area",IF(1034&lt;=$I$3,IF(OR('TRANSPORT DASHBOARD'!$C$4="",ISNUMBER(SEARCH('TRANSPORT DASHBOARD'!$C$4,INDEX(MASTER_AREAS!$B:$B,1035)))),1034,""),""),IF('TRANSPORT DASHBOARD'!$B$4="Zone",IF(1034&lt;=$I$4,IF(OR('TRANSPORT DASHBOARD'!$C$4="",ISNUMBER(SEARCH('TRANSPORT DASHBOARD'!$C$4,INDEX(MASTER_ZONES!$B:$B,1035)))),1034,""),""),""))</f>
        <v/>
      </c>
    </row>
    <row r="1036">
      <c r="A1036">
        <f>IF('WSF DASHBOARD'!$B$4="Area",IF(1035&lt;=$D$3,IF(OR('WSF DASHBOARD'!$C$4="",ISNUMBER(SEARCH('WSF DASHBOARD'!$C$4,INDEX(MASTER_AREAS!$B:$B,1036)))),1035,""),""),IF('WSF DASHBOARD'!$B$4="Zone",IF(1035&lt;=$D$4,IF(OR('WSF DASHBOARD'!$C$4="",ISNUMBER(SEARCH('WSF DASHBOARD'!$C$4,INDEX(MASTER_ZONES!$B:$B,1036)))),1035,""),""),""))</f>
        <v/>
      </c>
      <c r="F1036">
        <f>IF('TRANSPORT DASHBOARD'!$B$4="Area",IF(1035&lt;=$I$3,IF(OR('TRANSPORT DASHBOARD'!$C$4="",ISNUMBER(SEARCH('TRANSPORT DASHBOARD'!$C$4,INDEX(MASTER_AREAS!$B:$B,1036)))),1035,""),""),IF('TRANSPORT DASHBOARD'!$B$4="Zone",IF(1035&lt;=$I$4,IF(OR('TRANSPORT DASHBOARD'!$C$4="",ISNUMBER(SEARCH('TRANSPORT DASHBOARD'!$C$4,INDEX(MASTER_ZONES!$B:$B,1036)))),1035,""),""),""))</f>
        <v/>
      </c>
    </row>
    <row r="1037">
      <c r="A1037">
        <f>IF('WSF DASHBOARD'!$B$4="Area",IF(1036&lt;=$D$3,IF(OR('WSF DASHBOARD'!$C$4="",ISNUMBER(SEARCH('WSF DASHBOARD'!$C$4,INDEX(MASTER_AREAS!$B:$B,1037)))),1036,""),""),IF('WSF DASHBOARD'!$B$4="Zone",IF(1036&lt;=$D$4,IF(OR('WSF DASHBOARD'!$C$4="",ISNUMBER(SEARCH('WSF DASHBOARD'!$C$4,INDEX(MASTER_ZONES!$B:$B,1037)))),1036,""),""),""))</f>
        <v/>
      </c>
      <c r="F1037">
        <f>IF('TRANSPORT DASHBOARD'!$B$4="Area",IF(1036&lt;=$I$3,IF(OR('TRANSPORT DASHBOARD'!$C$4="",ISNUMBER(SEARCH('TRANSPORT DASHBOARD'!$C$4,INDEX(MASTER_AREAS!$B:$B,1037)))),1036,""),""),IF('TRANSPORT DASHBOARD'!$B$4="Zone",IF(1036&lt;=$I$4,IF(OR('TRANSPORT DASHBOARD'!$C$4="",ISNUMBER(SEARCH('TRANSPORT DASHBOARD'!$C$4,INDEX(MASTER_ZONES!$B:$B,1037)))),1036,""),""),""))</f>
        <v/>
      </c>
    </row>
    <row r="1038">
      <c r="A1038">
        <f>IF('WSF DASHBOARD'!$B$4="Area",IF(1037&lt;=$D$3,IF(OR('WSF DASHBOARD'!$C$4="",ISNUMBER(SEARCH('WSF DASHBOARD'!$C$4,INDEX(MASTER_AREAS!$B:$B,1038)))),1037,""),""),IF('WSF DASHBOARD'!$B$4="Zone",IF(1037&lt;=$D$4,IF(OR('WSF DASHBOARD'!$C$4="",ISNUMBER(SEARCH('WSF DASHBOARD'!$C$4,INDEX(MASTER_ZONES!$B:$B,1038)))),1037,""),""),""))</f>
        <v/>
      </c>
      <c r="F1038">
        <f>IF('TRANSPORT DASHBOARD'!$B$4="Area",IF(1037&lt;=$I$3,IF(OR('TRANSPORT DASHBOARD'!$C$4="",ISNUMBER(SEARCH('TRANSPORT DASHBOARD'!$C$4,INDEX(MASTER_AREAS!$B:$B,1038)))),1037,""),""),IF('TRANSPORT DASHBOARD'!$B$4="Zone",IF(1037&lt;=$I$4,IF(OR('TRANSPORT DASHBOARD'!$C$4="",ISNUMBER(SEARCH('TRANSPORT DASHBOARD'!$C$4,INDEX(MASTER_ZONES!$B:$B,1038)))),1037,""),""),""))</f>
        <v/>
      </c>
    </row>
    <row r="1039">
      <c r="A1039">
        <f>IF('WSF DASHBOARD'!$B$4="Area",IF(1038&lt;=$D$3,IF(OR('WSF DASHBOARD'!$C$4="",ISNUMBER(SEARCH('WSF DASHBOARD'!$C$4,INDEX(MASTER_AREAS!$B:$B,1039)))),1038,""),""),IF('WSF DASHBOARD'!$B$4="Zone",IF(1038&lt;=$D$4,IF(OR('WSF DASHBOARD'!$C$4="",ISNUMBER(SEARCH('WSF DASHBOARD'!$C$4,INDEX(MASTER_ZONES!$B:$B,1039)))),1038,""),""),""))</f>
        <v/>
      </c>
      <c r="F1039">
        <f>IF('TRANSPORT DASHBOARD'!$B$4="Area",IF(1038&lt;=$I$3,IF(OR('TRANSPORT DASHBOARD'!$C$4="",ISNUMBER(SEARCH('TRANSPORT DASHBOARD'!$C$4,INDEX(MASTER_AREAS!$B:$B,1039)))),1038,""),""),IF('TRANSPORT DASHBOARD'!$B$4="Zone",IF(1038&lt;=$I$4,IF(OR('TRANSPORT DASHBOARD'!$C$4="",ISNUMBER(SEARCH('TRANSPORT DASHBOARD'!$C$4,INDEX(MASTER_ZONES!$B:$B,1039)))),1038,""),""),""))</f>
        <v/>
      </c>
    </row>
    <row r="1040">
      <c r="A1040">
        <f>IF('WSF DASHBOARD'!$B$4="Area",IF(1039&lt;=$D$3,IF(OR('WSF DASHBOARD'!$C$4="",ISNUMBER(SEARCH('WSF DASHBOARD'!$C$4,INDEX(MASTER_AREAS!$B:$B,1040)))),1039,""),""),IF('WSF DASHBOARD'!$B$4="Zone",IF(1039&lt;=$D$4,IF(OR('WSF DASHBOARD'!$C$4="",ISNUMBER(SEARCH('WSF DASHBOARD'!$C$4,INDEX(MASTER_ZONES!$B:$B,1040)))),1039,""),""),""))</f>
        <v/>
      </c>
      <c r="F1040">
        <f>IF('TRANSPORT DASHBOARD'!$B$4="Area",IF(1039&lt;=$I$3,IF(OR('TRANSPORT DASHBOARD'!$C$4="",ISNUMBER(SEARCH('TRANSPORT DASHBOARD'!$C$4,INDEX(MASTER_AREAS!$B:$B,1040)))),1039,""),""),IF('TRANSPORT DASHBOARD'!$B$4="Zone",IF(1039&lt;=$I$4,IF(OR('TRANSPORT DASHBOARD'!$C$4="",ISNUMBER(SEARCH('TRANSPORT DASHBOARD'!$C$4,INDEX(MASTER_ZONES!$B:$B,1040)))),1039,""),""),""))</f>
        <v/>
      </c>
    </row>
    <row r="1041">
      <c r="A1041">
        <f>IF('WSF DASHBOARD'!$B$4="Area",IF(1040&lt;=$D$3,IF(OR('WSF DASHBOARD'!$C$4="",ISNUMBER(SEARCH('WSF DASHBOARD'!$C$4,INDEX(MASTER_AREAS!$B:$B,1041)))),1040,""),""),IF('WSF DASHBOARD'!$B$4="Zone",IF(1040&lt;=$D$4,IF(OR('WSF DASHBOARD'!$C$4="",ISNUMBER(SEARCH('WSF DASHBOARD'!$C$4,INDEX(MASTER_ZONES!$B:$B,1041)))),1040,""),""),""))</f>
        <v/>
      </c>
      <c r="F1041">
        <f>IF('TRANSPORT DASHBOARD'!$B$4="Area",IF(1040&lt;=$I$3,IF(OR('TRANSPORT DASHBOARD'!$C$4="",ISNUMBER(SEARCH('TRANSPORT DASHBOARD'!$C$4,INDEX(MASTER_AREAS!$B:$B,1041)))),1040,""),""),IF('TRANSPORT DASHBOARD'!$B$4="Zone",IF(1040&lt;=$I$4,IF(OR('TRANSPORT DASHBOARD'!$C$4="",ISNUMBER(SEARCH('TRANSPORT DASHBOARD'!$C$4,INDEX(MASTER_ZONES!$B:$B,1041)))),1040,""),""),""))</f>
        <v/>
      </c>
    </row>
    <row r="1042">
      <c r="A1042">
        <f>IF('WSF DASHBOARD'!$B$4="Area",IF(1041&lt;=$D$3,IF(OR('WSF DASHBOARD'!$C$4="",ISNUMBER(SEARCH('WSF DASHBOARD'!$C$4,INDEX(MASTER_AREAS!$B:$B,1042)))),1041,""),""),IF('WSF DASHBOARD'!$B$4="Zone",IF(1041&lt;=$D$4,IF(OR('WSF DASHBOARD'!$C$4="",ISNUMBER(SEARCH('WSF DASHBOARD'!$C$4,INDEX(MASTER_ZONES!$B:$B,1042)))),1041,""),""),""))</f>
        <v/>
      </c>
      <c r="F1042">
        <f>IF('TRANSPORT DASHBOARD'!$B$4="Area",IF(1041&lt;=$I$3,IF(OR('TRANSPORT DASHBOARD'!$C$4="",ISNUMBER(SEARCH('TRANSPORT DASHBOARD'!$C$4,INDEX(MASTER_AREAS!$B:$B,1042)))),1041,""),""),IF('TRANSPORT DASHBOARD'!$B$4="Zone",IF(1041&lt;=$I$4,IF(OR('TRANSPORT DASHBOARD'!$C$4="",ISNUMBER(SEARCH('TRANSPORT DASHBOARD'!$C$4,INDEX(MASTER_ZONES!$B:$B,1042)))),1041,""),""),""))</f>
        <v/>
      </c>
    </row>
    <row r="1043">
      <c r="A1043">
        <f>IF('WSF DASHBOARD'!$B$4="Area",IF(1042&lt;=$D$3,IF(OR('WSF DASHBOARD'!$C$4="",ISNUMBER(SEARCH('WSF DASHBOARD'!$C$4,INDEX(MASTER_AREAS!$B:$B,1043)))),1042,""),""),IF('WSF DASHBOARD'!$B$4="Zone",IF(1042&lt;=$D$4,IF(OR('WSF DASHBOARD'!$C$4="",ISNUMBER(SEARCH('WSF DASHBOARD'!$C$4,INDEX(MASTER_ZONES!$B:$B,1043)))),1042,""),""),""))</f>
        <v/>
      </c>
      <c r="F1043">
        <f>IF('TRANSPORT DASHBOARD'!$B$4="Area",IF(1042&lt;=$I$3,IF(OR('TRANSPORT DASHBOARD'!$C$4="",ISNUMBER(SEARCH('TRANSPORT DASHBOARD'!$C$4,INDEX(MASTER_AREAS!$B:$B,1043)))),1042,""),""),IF('TRANSPORT DASHBOARD'!$B$4="Zone",IF(1042&lt;=$I$4,IF(OR('TRANSPORT DASHBOARD'!$C$4="",ISNUMBER(SEARCH('TRANSPORT DASHBOARD'!$C$4,INDEX(MASTER_ZONES!$B:$B,1043)))),1042,""),""),""))</f>
        <v/>
      </c>
    </row>
    <row r="1044">
      <c r="A1044">
        <f>IF('WSF DASHBOARD'!$B$4="Area",IF(1043&lt;=$D$3,IF(OR('WSF DASHBOARD'!$C$4="",ISNUMBER(SEARCH('WSF DASHBOARD'!$C$4,INDEX(MASTER_AREAS!$B:$B,1044)))),1043,""),""),IF('WSF DASHBOARD'!$B$4="Zone",IF(1043&lt;=$D$4,IF(OR('WSF DASHBOARD'!$C$4="",ISNUMBER(SEARCH('WSF DASHBOARD'!$C$4,INDEX(MASTER_ZONES!$B:$B,1044)))),1043,""),""),""))</f>
        <v/>
      </c>
      <c r="F1044">
        <f>IF('TRANSPORT DASHBOARD'!$B$4="Area",IF(1043&lt;=$I$3,IF(OR('TRANSPORT DASHBOARD'!$C$4="",ISNUMBER(SEARCH('TRANSPORT DASHBOARD'!$C$4,INDEX(MASTER_AREAS!$B:$B,1044)))),1043,""),""),IF('TRANSPORT DASHBOARD'!$B$4="Zone",IF(1043&lt;=$I$4,IF(OR('TRANSPORT DASHBOARD'!$C$4="",ISNUMBER(SEARCH('TRANSPORT DASHBOARD'!$C$4,INDEX(MASTER_ZONES!$B:$B,1044)))),1043,""),""),""))</f>
        <v/>
      </c>
    </row>
    <row r="1045">
      <c r="A1045">
        <f>IF('WSF DASHBOARD'!$B$4="Area",IF(1044&lt;=$D$3,IF(OR('WSF DASHBOARD'!$C$4="",ISNUMBER(SEARCH('WSF DASHBOARD'!$C$4,INDEX(MASTER_AREAS!$B:$B,1045)))),1044,""),""),IF('WSF DASHBOARD'!$B$4="Zone",IF(1044&lt;=$D$4,IF(OR('WSF DASHBOARD'!$C$4="",ISNUMBER(SEARCH('WSF DASHBOARD'!$C$4,INDEX(MASTER_ZONES!$B:$B,1045)))),1044,""),""),""))</f>
        <v/>
      </c>
      <c r="F1045">
        <f>IF('TRANSPORT DASHBOARD'!$B$4="Area",IF(1044&lt;=$I$3,IF(OR('TRANSPORT DASHBOARD'!$C$4="",ISNUMBER(SEARCH('TRANSPORT DASHBOARD'!$C$4,INDEX(MASTER_AREAS!$B:$B,1045)))),1044,""),""),IF('TRANSPORT DASHBOARD'!$B$4="Zone",IF(1044&lt;=$I$4,IF(OR('TRANSPORT DASHBOARD'!$C$4="",ISNUMBER(SEARCH('TRANSPORT DASHBOARD'!$C$4,INDEX(MASTER_ZONES!$B:$B,1045)))),1044,""),""),""))</f>
        <v/>
      </c>
    </row>
    <row r="1046">
      <c r="A1046">
        <f>IF('WSF DASHBOARD'!$B$4="Area",IF(1045&lt;=$D$3,IF(OR('WSF DASHBOARD'!$C$4="",ISNUMBER(SEARCH('WSF DASHBOARD'!$C$4,INDEX(MASTER_AREAS!$B:$B,1046)))),1045,""),""),IF('WSF DASHBOARD'!$B$4="Zone",IF(1045&lt;=$D$4,IF(OR('WSF DASHBOARD'!$C$4="",ISNUMBER(SEARCH('WSF DASHBOARD'!$C$4,INDEX(MASTER_ZONES!$B:$B,1046)))),1045,""),""),""))</f>
        <v/>
      </c>
      <c r="F1046">
        <f>IF('TRANSPORT DASHBOARD'!$B$4="Area",IF(1045&lt;=$I$3,IF(OR('TRANSPORT DASHBOARD'!$C$4="",ISNUMBER(SEARCH('TRANSPORT DASHBOARD'!$C$4,INDEX(MASTER_AREAS!$B:$B,1046)))),1045,""),""),IF('TRANSPORT DASHBOARD'!$B$4="Zone",IF(1045&lt;=$I$4,IF(OR('TRANSPORT DASHBOARD'!$C$4="",ISNUMBER(SEARCH('TRANSPORT DASHBOARD'!$C$4,INDEX(MASTER_ZONES!$B:$B,1046)))),1045,""),""),""))</f>
        <v/>
      </c>
    </row>
    <row r="1047">
      <c r="A1047">
        <f>IF('WSF DASHBOARD'!$B$4="Area",IF(1046&lt;=$D$3,IF(OR('WSF DASHBOARD'!$C$4="",ISNUMBER(SEARCH('WSF DASHBOARD'!$C$4,INDEX(MASTER_AREAS!$B:$B,1047)))),1046,""),""),IF('WSF DASHBOARD'!$B$4="Zone",IF(1046&lt;=$D$4,IF(OR('WSF DASHBOARD'!$C$4="",ISNUMBER(SEARCH('WSF DASHBOARD'!$C$4,INDEX(MASTER_ZONES!$B:$B,1047)))),1046,""),""),""))</f>
        <v/>
      </c>
      <c r="F1047">
        <f>IF('TRANSPORT DASHBOARD'!$B$4="Area",IF(1046&lt;=$I$3,IF(OR('TRANSPORT DASHBOARD'!$C$4="",ISNUMBER(SEARCH('TRANSPORT DASHBOARD'!$C$4,INDEX(MASTER_AREAS!$B:$B,1047)))),1046,""),""),IF('TRANSPORT DASHBOARD'!$B$4="Zone",IF(1046&lt;=$I$4,IF(OR('TRANSPORT DASHBOARD'!$C$4="",ISNUMBER(SEARCH('TRANSPORT DASHBOARD'!$C$4,INDEX(MASTER_ZONES!$B:$B,1047)))),1046,""),""),""))</f>
        <v/>
      </c>
    </row>
    <row r="1048">
      <c r="A1048">
        <f>IF('WSF DASHBOARD'!$B$4="Area",IF(1047&lt;=$D$3,IF(OR('WSF DASHBOARD'!$C$4="",ISNUMBER(SEARCH('WSF DASHBOARD'!$C$4,INDEX(MASTER_AREAS!$B:$B,1048)))),1047,""),""),IF('WSF DASHBOARD'!$B$4="Zone",IF(1047&lt;=$D$4,IF(OR('WSF DASHBOARD'!$C$4="",ISNUMBER(SEARCH('WSF DASHBOARD'!$C$4,INDEX(MASTER_ZONES!$B:$B,1048)))),1047,""),""),""))</f>
        <v/>
      </c>
      <c r="F1048">
        <f>IF('TRANSPORT DASHBOARD'!$B$4="Area",IF(1047&lt;=$I$3,IF(OR('TRANSPORT DASHBOARD'!$C$4="",ISNUMBER(SEARCH('TRANSPORT DASHBOARD'!$C$4,INDEX(MASTER_AREAS!$B:$B,1048)))),1047,""),""),IF('TRANSPORT DASHBOARD'!$B$4="Zone",IF(1047&lt;=$I$4,IF(OR('TRANSPORT DASHBOARD'!$C$4="",ISNUMBER(SEARCH('TRANSPORT DASHBOARD'!$C$4,INDEX(MASTER_ZONES!$B:$B,1048)))),1047,""),""),""))</f>
        <v/>
      </c>
    </row>
    <row r="1049">
      <c r="A1049">
        <f>IF('WSF DASHBOARD'!$B$4="Area",IF(1048&lt;=$D$3,IF(OR('WSF DASHBOARD'!$C$4="",ISNUMBER(SEARCH('WSF DASHBOARD'!$C$4,INDEX(MASTER_AREAS!$B:$B,1049)))),1048,""),""),IF('WSF DASHBOARD'!$B$4="Zone",IF(1048&lt;=$D$4,IF(OR('WSF DASHBOARD'!$C$4="",ISNUMBER(SEARCH('WSF DASHBOARD'!$C$4,INDEX(MASTER_ZONES!$B:$B,1049)))),1048,""),""),""))</f>
        <v/>
      </c>
      <c r="F1049">
        <f>IF('TRANSPORT DASHBOARD'!$B$4="Area",IF(1048&lt;=$I$3,IF(OR('TRANSPORT DASHBOARD'!$C$4="",ISNUMBER(SEARCH('TRANSPORT DASHBOARD'!$C$4,INDEX(MASTER_AREAS!$B:$B,1049)))),1048,""),""),IF('TRANSPORT DASHBOARD'!$B$4="Zone",IF(1048&lt;=$I$4,IF(OR('TRANSPORT DASHBOARD'!$C$4="",ISNUMBER(SEARCH('TRANSPORT DASHBOARD'!$C$4,INDEX(MASTER_ZONES!$B:$B,1049)))),1048,""),""),""))</f>
        <v/>
      </c>
    </row>
    <row r="1050">
      <c r="A1050">
        <f>IF('WSF DASHBOARD'!$B$4="Area",IF(1049&lt;=$D$3,IF(OR('WSF DASHBOARD'!$C$4="",ISNUMBER(SEARCH('WSF DASHBOARD'!$C$4,INDEX(MASTER_AREAS!$B:$B,1050)))),1049,""),""),IF('WSF DASHBOARD'!$B$4="Zone",IF(1049&lt;=$D$4,IF(OR('WSF DASHBOARD'!$C$4="",ISNUMBER(SEARCH('WSF DASHBOARD'!$C$4,INDEX(MASTER_ZONES!$B:$B,1050)))),1049,""),""),""))</f>
        <v/>
      </c>
      <c r="F1050">
        <f>IF('TRANSPORT DASHBOARD'!$B$4="Area",IF(1049&lt;=$I$3,IF(OR('TRANSPORT DASHBOARD'!$C$4="",ISNUMBER(SEARCH('TRANSPORT DASHBOARD'!$C$4,INDEX(MASTER_AREAS!$B:$B,1050)))),1049,""),""),IF('TRANSPORT DASHBOARD'!$B$4="Zone",IF(1049&lt;=$I$4,IF(OR('TRANSPORT DASHBOARD'!$C$4="",ISNUMBER(SEARCH('TRANSPORT DASHBOARD'!$C$4,INDEX(MASTER_ZONES!$B:$B,1050)))),1049,""),""),""))</f>
        <v/>
      </c>
    </row>
    <row r="1051">
      <c r="A1051">
        <f>IF('WSF DASHBOARD'!$B$4="Area",IF(1050&lt;=$D$3,IF(OR('WSF DASHBOARD'!$C$4="",ISNUMBER(SEARCH('WSF DASHBOARD'!$C$4,INDEX(MASTER_AREAS!$B:$B,1051)))),1050,""),""),IF('WSF DASHBOARD'!$B$4="Zone",IF(1050&lt;=$D$4,IF(OR('WSF DASHBOARD'!$C$4="",ISNUMBER(SEARCH('WSF DASHBOARD'!$C$4,INDEX(MASTER_ZONES!$B:$B,1051)))),1050,""),""),""))</f>
        <v/>
      </c>
      <c r="F1051">
        <f>IF('TRANSPORT DASHBOARD'!$B$4="Area",IF(1050&lt;=$I$3,IF(OR('TRANSPORT DASHBOARD'!$C$4="",ISNUMBER(SEARCH('TRANSPORT DASHBOARD'!$C$4,INDEX(MASTER_AREAS!$B:$B,1051)))),1050,""),""),IF('TRANSPORT DASHBOARD'!$B$4="Zone",IF(1050&lt;=$I$4,IF(OR('TRANSPORT DASHBOARD'!$C$4="",ISNUMBER(SEARCH('TRANSPORT DASHBOARD'!$C$4,INDEX(MASTER_ZONES!$B:$B,1051)))),1050,""),""),""))</f>
        <v/>
      </c>
    </row>
    <row r="1052">
      <c r="A1052">
        <f>IF('WSF DASHBOARD'!$B$4="Area",IF(1051&lt;=$D$3,IF(OR('WSF DASHBOARD'!$C$4="",ISNUMBER(SEARCH('WSF DASHBOARD'!$C$4,INDEX(MASTER_AREAS!$B:$B,1052)))),1051,""),""),IF('WSF DASHBOARD'!$B$4="Zone",IF(1051&lt;=$D$4,IF(OR('WSF DASHBOARD'!$C$4="",ISNUMBER(SEARCH('WSF DASHBOARD'!$C$4,INDEX(MASTER_ZONES!$B:$B,1052)))),1051,""),""),""))</f>
        <v/>
      </c>
      <c r="F1052">
        <f>IF('TRANSPORT DASHBOARD'!$B$4="Area",IF(1051&lt;=$I$3,IF(OR('TRANSPORT DASHBOARD'!$C$4="",ISNUMBER(SEARCH('TRANSPORT DASHBOARD'!$C$4,INDEX(MASTER_AREAS!$B:$B,1052)))),1051,""),""),IF('TRANSPORT DASHBOARD'!$B$4="Zone",IF(1051&lt;=$I$4,IF(OR('TRANSPORT DASHBOARD'!$C$4="",ISNUMBER(SEARCH('TRANSPORT DASHBOARD'!$C$4,INDEX(MASTER_ZONES!$B:$B,1052)))),1051,""),""),""))</f>
        <v/>
      </c>
    </row>
    <row r="1053">
      <c r="A1053">
        <f>IF('WSF DASHBOARD'!$B$4="Area",IF(1052&lt;=$D$3,IF(OR('WSF DASHBOARD'!$C$4="",ISNUMBER(SEARCH('WSF DASHBOARD'!$C$4,INDEX(MASTER_AREAS!$B:$B,1053)))),1052,""),""),IF('WSF DASHBOARD'!$B$4="Zone",IF(1052&lt;=$D$4,IF(OR('WSF DASHBOARD'!$C$4="",ISNUMBER(SEARCH('WSF DASHBOARD'!$C$4,INDEX(MASTER_ZONES!$B:$B,1053)))),1052,""),""),""))</f>
        <v/>
      </c>
      <c r="F1053">
        <f>IF('TRANSPORT DASHBOARD'!$B$4="Area",IF(1052&lt;=$I$3,IF(OR('TRANSPORT DASHBOARD'!$C$4="",ISNUMBER(SEARCH('TRANSPORT DASHBOARD'!$C$4,INDEX(MASTER_AREAS!$B:$B,1053)))),1052,""),""),IF('TRANSPORT DASHBOARD'!$B$4="Zone",IF(1052&lt;=$I$4,IF(OR('TRANSPORT DASHBOARD'!$C$4="",ISNUMBER(SEARCH('TRANSPORT DASHBOARD'!$C$4,INDEX(MASTER_ZONES!$B:$B,1053)))),1052,""),""),""))</f>
        <v/>
      </c>
    </row>
    <row r="1054">
      <c r="A1054">
        <f>IF('WSF DASHBOARD'!$B$4="Area",IF(1053&lt;=$D$3,IF(OR('WSF DASHBOARD'!$C$4="",ISNUMBER(SEARCH('WSF DASHBOARD'!$C$4,INDEX(MASTER_AREAS!$B:$B,1054)))),1053,""),""),IF('WSF DASHBOARD'!$B$4="Zone",IF(1053&lt;=$D$4,IF(OR('WSF DASHBOARD'!$C$4="",ISNUMBER(SEARCH('WSF DASHBOARD'!$C$4,INDEX(MASTER_ZONES!$B:$B,1054)))),1053,""),""),""))</f>
        <v/>
      </c>
      <c r="F1054">
        <f>IF('TRANSPORT DASHBOARD'!$B$4="Area",IF(1053&lt;=$I$3,IF(OR('TRANSPORT DASHBOARD'!$C$4="",ISNUMBER(SEARCH('TRANSPORT DASHBOARD'!$C$4,INDEX(MASTER_AREAS!$B:$B,1054)))),1053,""),""),IF('TRANSPORT DASHBOARD'!$B$4="Zone",IF(1053&lt;=$I$4,IF(OR('TRANSPORT DASHBOARD'!$C$4="",ISNUMBER(SEARCH('TRANSPORT DASHBOARD'!$C$4,INDEX(MASTER_ZONES!$B:$B,1054)))),1053,""),""),""))</f>
        <v/>
      </c>
    </row>
    <row r="1055">
      <c r="A1055">
        <f>IF('WSF DASHBOARD'!$B$4="Area",IF(1054&lt;=$D$3,IF(OR('WSF DASHBOARD'!$C$4="",ISNUMBER(SEARCH('WSF DASHBOARD'!$C$4,INDEX(MASTER_AREAS!$B:$B,1055)))),1054,""),""),IF('WSF DASHBOARD'!$B$4="Zone",IF(1054&lt;=$D$4,IF(OR('WSF DASHBOARD'!$C$4="",ISNUMBER(SEARCH('WSF DASHBOARD'!$C$4,INDEX(MASTER_ZONES!$B:$B,1055)))),1054,""),""),""))</f>
        <v/>
      </c>
      <c r="F1055">
        <f>IF('TRANSPORT DASHBOARD'!$B$4="Area",IF(1054&lt;=$I$3,IF(OR('TRANSPORT DASHBOARD'!$C$4="",ISNUMBER(SEARCH('TRANSPORT DASHBOARD'!$C$4,INDEX(MASTER_AREAS!$B:$B,1055)))),1054,""),""),IF('TRANSPORT DASHBOARD'!$B$4="Zone",IF(1054&lt;=$I$4,IF(OR('TRANSPORT DASHBOARD'!$C$4="",ISNUMBER(SEARCH('TRANSPORT DASHBOARD'!$C$4,INDEX(MASTER_ZONES!$B:$B,1055)))),1054,""),""),""))</f>
        <v/>
      </c>
    </row>
    <row r="1056">
      <c r="A1056">
        <f>IF('WSF DASHBOARD'!$B$4="Area",IF(1055&lt;=$D$3,IF(OR('WSF DASHBOARD'!$C$4="",ISNUMBER(SEARCH('WSF DASHBOARD'!$C$4,INDEX(MASTER_AREAS!$B:$B,1056)))),1055,""),""),IF('WSF DASHBOARD'!$B$4="Zone",IF(1055&lt;=$D$4,IF(OR('WSF DASHBOARD'!$C$4="",ISNUMBER(SEARCH('WSF DASHBOARD'!$C$4,INDEX(MASTER_ZONES!$B:$B,1056)))),1055,""),""),""))</f>
        <v/>
      </c>
      <c r="F1056">
        <f>IF('TRANSPORT DASHBOARD'!$B$4="Area",IF(1055&lt;=$I$3,IF(OR('TRANSPORT DASHBOARD'!$C$4="",ISNUMBER(SEARCH('TRANSPORT DASHBOARD'!$C$4,INDEX(MASTER_AREAS!$B:$B,1056)))),1055,""),""),IF('TRANSPORT DASHBOARD'!$B$4="Zone",IF(1055&lt;=$I$4,IF(OR('TRANSPORT DASHBOARD'!$C$4="",ISNUMBER(SEARCH('TRANSPORT DASHBOARD'!$C$4,INDEX(MASTER_ZONES!$B:$B,1056)))),1055,""),""),""))</f>
        <v/>
      </c>
    </row>
    <row r="1057">
      <c r="A1057">
        <f>IF('WSF DASHBOARD'!$B$4="Area",IF(1056&lt;=$D$3,IF(OR('WSF DASHBOARD'!$C$4="",ISNUMBER(SEARCH('WSF DASHBOARD'!$C$4,INDEX(MASTER_AREAS!$B:$B,1057)))),1056,""),""),IF('WSF DASHBOARD'!$B$4="Zone",IF(1056&lt;=$D$4,IF(OR('WSF DASHBOARD'!$C$4="",ISNUMBER(SEARCH('WSF DASHBOARD'!$C$4,INDEX(MASTER_ZONES!$B:$B,1057)))),1056,""),""),""))</f>
        <v/>
      </c>
      <c r="F1057">
        <f>IF('TRANSPORT DASHBOARD'!$B$4="Area",IF(1056&lt;=$I$3,IF(OR('TRANSPORT DASHBOARD'!$C$4="",ISNUMBER(SEARCH('TRANSPORT DASHBOARD'!$C$4,INDEX(MASTER_AREAS!$B:$B,1057)))),1056,""),""),IF('TRANSPORT DASHBOARD'!$B$4="Zone",IF(1056&lt;=$I$4,IF(OR('TRANSPORT DASHBOARD'!$C$4="",ISNUMBER(SEARCH('TRANSPORT DASHBOARD'!$C$4,INDEX(MASTER_ZONES!$B:$B,1057)))),1056,""),""),""))</f>
        <v/>
      </c>
    </row>
    <row r="1058">
      <c r="A1058">
        <f>IF('WSF DASHBOARD'!$B$4="Area",IF(1057&lt;=$D$3,IF(OR('WSF DASHBOARD'!$C$4="",ISNUMBER(SEARCH('WSF DASHBOARD'!$C$4,INDEX(MASTER_AREAS!$B:$B,1058)))),1057,""),""),IF('WSF DASHBOARD'!$B$4="Zone",IF(1057&lt;=$D$4,IF(OR('WSF DASHBOARD'!$C$4="",ISNUMBER(SEARCH('WSF DASHBOARD'!$C$4,INDEX(MASTER_ZONES!$B:$B,1058)))),1057,""),""),""))</f>
        <v/>
      </c>
      <c r="F1058">
        <f>IF('TRANSPORT DASHBOARD'!$B$4="Area",IF(1057&lt;=$I$3,IF(OR('TRANSPORT DASHBOARD'!$C$4="",ISNUMBER(SEARCH('TRANSPORT DASHBOARD'!$C$4,INDEX(MASTER_AREAS!$B:$B,1058)))),1057,""),""),IF('TRANSPORT DASHBOARD'!$B$4="Zone",IF(1057&lt;=$I$4,IF(OR('TRANSPORT DASHBOARD'!$C$4="",ISNUMBER(SEARCH('TRANSPORT DASHBOARD'!$C$4,INDEX(MASTER_ZONES!$B:$B,1058)))),1057,""),""),""))</f>
        <v/>
      </c>
    </row>
    <row r="1059">
      <c r="A1059">
        <f>IF('WSF DASHBOARD'!$B$4="Area",IF(1058&lt;=$D$3,IF(OR('WSF DASHBOARD'!$C$4="",ISNUMBER(SEARCH('WSF DASHBOARD'!$C$4,INDEX(MASTER_AREAS!$B:$B,1059)))),1058,""),""),IF('WSF DASHBOARD'!$B$4="Zone",IF(1058&lt;=$D$4,IF(OR('WSF DASHBOARD'!$C$4="",ISNUMBER(SEARCH('WSF DASHBOARD'!$C$4,INDEX(MASTER_ZONES!$B:$B,1059)))),1058,""),""),""))</f>
        <v/>
      </c>
      <c r="F1059">
        <f>IF('TRANSPORT DASHBOARD'!$B$4="Area",IF(1058&lt;=$I$3,IF(OR('TRANSPORT DASHBOARD'!$C$4="",ISNUMBER(SEARCH('TRANSPORT DASHBOARD'!$C$4,INDEX(MASTER_AREAS!$B:$B,1059)))),1058,""),""),IF('TRANSPORT DASHBOARD'!$B$4="Zone",IF(1058&lt;=$I$4,IF(OR('TRANSPORT DASHBOARD'!$C$4="",ISNUMBER(SEARCH('TRANSPORT DASHBOARD'!$C$4,INDEX(MASTER_ZONES!$B:$B,1059)))),1058,""),""),""))</f>
        <v/>
      </c>
    </row>
    <row r="1060">
      <c r="A1060">
        <f>IF('WSF DASHBOARD'!$B$4="Area",IF(1059&lt;=$D$3,IF(OR('WSF DASHBOARD'!$C$4="",ISNUMBER(SEARCH('WSF DASHBOARD'!$C$4,INDEX(MASTER_AREAS!$B:$B,1060)))),1059,""),""),IF('WSF DASHBOARD'!$B$4="Zone",IF(1059&lt;=$D$4,IF(OR('WSF DASHBOARD'!$C$4="",ISNUMBER(SEARCH('WSF DASHBOARD'!$C$4,INDEX(MASTER_ZONES!$B:$B,1060)))),1059,""),""),""))</f>
        <v/>
      </c>
      <c r="F1060">
        <f>IF('TRANSPORT DASHBOARD'!$B$4="Area",IF(1059&lt;=$I$3,IF(OR('TRANSPORT DASHBOARD'!$C$4="",ISNUMBER(SEARCH('TRANSPORT DASHBOARD'!$C$4,INDEX(MASTER_AREAS!$B:$B,1060)))),1059,""),""),IF('TRANSPORT DASHBOARD'!$B$4="Zone",IF(1059&lt;=$I$4,IF(OR('TRANSPORT DASHBOARD'!$C$4="",ISNUMBER(SEARCH('TRANSPORT DASHBOARD'!$C$4,INDEX(MASTER_ZONES!$B:$B,1060)))),1059,""),""),""))</f>
        <v/>
      </c>
    </row>
    <row r="1061">
      <c r="A1061">
        <f>IF('WSF DASHBOARD'!$B$4="Area",IF(1060&lt;=$D$3,IF(OR('WSF DASHBOARD'!$C$4="",ISNUMBER(SEARCH('WSF DASHBOARD'!$C$4,INDEX(MASTER_AREAS!$B:$B,1061)))),1060,""),""),IF('WSF DASHBOARD'!$B$4="Zone",IF(1060&lt;=$D$4,IF(OR('WSF DASHBOARD'!$C$4="",ISNUMBER(SEARCH('WSF DASHBOARD'!$C$4,INDEX(MASTER_ZONES!$B:$B,1061)))),1060,""),""),""))</f>
        <v/>
      </c>
      <c r="F1061">
        <f>IF('TRANSPORT DASHBOARD'!$B$4="Area",IF(1060&lt;=$I$3,IF(OR('TRANSPORT DASHBOARD'!$C$4="",ISNUMBER(SEARCH('TRANSPORT DASHBOARD'!$C$4,INDEX(MASTER_AREAS!$B:$B,1061)))),1060,""),""),IF('TRANSPORT DASHBOARD'!$B$4="Zone",IF(1060&lt;=$I$4,IF(OR('TRANSPORT DASHBOARD'!$C$4="",ISNUMBER(SEARCH('TRANSPORT DASHBOARD'!$C$4,INDEX(MASTER_ZONES!$B:$B,1061)))),1060,""),""),""))</f>
        <v/>
      </c>
    </row>
    <row r="1062">
      <c r="A1062">
        <f>IF('WSF DASHBOARD'!$B$4="Area",IF(1061&lt;=$D$3,IF(OR('WSF DASHBOARD'!$C$4="",ISNUMBER(SEARCH('WSF DASHBOARD'!$C$4,INDEX(MASTER_AREAS!$B:$B,1062)))),1061,""),""),IF('WSF DASHBOARD'!$B$4="Zone",IF(1061&lt;=$D$4,IF(OR('WSF DASHBOARD'!$C$4="",ISNUMBER(SEARCH('WSF DASHBOARD'!$C$4,INDEX(MASTER_ZONES!$B:$B,1062)))),1061,""),""),""))</f>
        <v/>
      </c>
      <c r="F1062">
        <f>IF('TRANSPORT DASHBOARD'!$B$4="Area",IF(1061&lt;=$I$3,IF(OR('TRANSPORT DASHBOARD'!$C$4="",ISNUMBER(SEARCH('TRANSPORT DASHBOARD'!$C$4,INDEX(MASTER_AREAS!$B:$B,1062)))),1061,""),""),IF('TRANSPORT DASHBOARD'!$B$4="Zone",IF(1061&lt;=$I$4,IF(OR('TRANSPORT DASHBOARD'!$C$4="",ISNUMBER(SEARCH('TRANSPORT DASHBOARD'!$C$4,INDEX(MASTER_ZONES!$B:$B,1062)))),1061,""),""),""))</f>
        <v/>
      </c>
    </row>
    <row r="1063">
      <c r="A1063">
        <f>IF('WSF DASHBOARD'!$B$4="Area",IF(1062&lt;=$D$3,IF(OR('WSF DASHBOARD'!$C$4="",ISNUMBER(SEARCH('WSF DASHBOARD'!$C$4,INDEX(MASTER_AREAS!$B:$B,1063)))),1062,""),""),IF('WSF DASHBOARD'!$B$4="Zone",IF(1062&lt;=$D$4,IF(OR('WSF DASHBOARD'!$C$4="",ISNUMBER(SEARCH('WSF DASHBOARD'!$C$4,INDEX(MASTER_ZONES!$B:$B,1063)))),1062,""),""),""))</f>
        <v/>
      </c>
      <c r="F1063">
        <f>IF('TRANSPORT DASHBOARD'!$B$4="Area",IF(1062&lt;=$I$3,IF(OR('TRANSPORT DASHBOARD'!$C$4="",ISNUMBER(SEARCH('TRANSPORT DASHBOARD'!$C$4,INDEX(MASTER_AREAS!$B:$B,1063)))),1062,""),""),IF('TRANSPORT DASHBOARD'!$B$4="Zone",IF(1062&lt;=$I$4,IF(OR('TRANSPORT DASHBOARD'!$C$4="",ISNUMBER(SEARCH('TRANSPORT DASHBOARD'!$C$4,INDEX(MASTER_ZONES!$B:$B,1063)))),1062,""),""),""))</f>
        <v/>
      </c>
    </row>
    <row r="1064">
      <c r="A1064">
        <f>IF('WSF DASHBOARD'!$B$4="Area",IF(1063&lt;=$D$3,IF(OR('WSF DASHBOARD'!$C$4="",ISNUMBER(SEARCH('WSF DASHBOARD'!$C$4,INDEX(MASTER_AREAS!$B:$B,1064)))),1063,""),""),IF('WSF DASHBOARD'!$B$4="Zone",IF(1063&lt;=$D$4,IF(OR('WSF DASHBOARD'!$C$4="",ISNUMBER(SEARCH('WSF DASHBOARD'!$C$4,INDEX(MASTER_ZONES!$B:$B,1064)))),1063,""),""),""))</f>
        <v/>
      </c>
      <c r="F1064">
        <f>IF('TRANSPORT DASHBOARD'!$B$4="Area",IF(1063&lt;=$I$3,IF(OR('TRANSPORT DASHBOARD'!$C$4="",ISNUMBER(SEARCH('TRANSPORT DASHBOARD'!$C$4,INDEX(MASTER_AREAS!$B:$B,1064)))),1063,""),""),IF('TRANSPORT DASHBOARD'!$B$4="Zone",IF(1063&lt;=$I$4,IF(OR('TRANSPORT DASHBOARD'!$C$4="",ISNUMBER(SEARCH('TRANSPORT DASHBOARD'!$C$4,INDEX(MASTER_ZONES!$B:$B,1064)))),1063,""),""),""))</f>
        <v/>
      </c>
    </row>
    <row r="1065">
      <c r="A1065">
        <f>IF('WSF DASHBOARD'!$B$4="Area",IF(1064&lt;=$D$3,IF(OR('WSF DASHBOARD'!$C$4="",ISNUMBER(SEARCH('WSF DASHBOARD'!$C$4,INDEX(MASTER_AREAS!$B:$B,1065)))),1064,""),""),IF('WSF DASHBOARD'!$B$4="Zone",IF(1064&lt;=$D$4,IF(OR('WSF DASHBOARD'!$C$4="",ISNUMBER(SEARCH('WSF DASHBOARD'!$C$4,INDEX(MASTER_ZONES!$B:$B,1065)))),1064,""),""),""))</f>
        <v/>
      </c>
      <c r="F1065">
        <f>IF('TRANSPORT DASHBOARD'!$B$4="Area",IF(1064&lt;=$I$3,IF(OR('TRANSPORT DASHBOARD'!$C$4="",ISNUMBER(SEARCH('TRANSPORT DASHBOARD'!$C$4,INDEX(MASTER_AREAS!$B:$B,1065)))),1064,""),""),IF('TRANSPORT DASHBOARD'!$B$4="Zone",IF(1064&lt;=$I$4,IF(OR('TRANSPORT DASHBOARD'!$C$4="",ISNUMBER(SEARCH('TRANSPORT DASHBOARD'!$C$4,INDEX(MASTER_ZONES!$B:$B,1065)))),1064,""),""),""))</f>
        <v/>
      </c>
    </row>
    <row r="1066">
      <c r="A1066">
        <f>IF('WSF DASHBOARD'!$B$4="Area",IF(1065&lt;=$D$3,IF(OR('WSF DASHBOARD'!$C$4="",ISNUMBER(SEARCH('WSF DASHBOARD'!$C$4,INDEX(MASTER_AREAS!$B:$B,1066)))),1065,""),""),IF('WSF DASHBOARD'!$B$4="Zone",IF(1065&lt;=$D$4,IF(OR('WSF DASHBOARD'!$C$4="",ISNUMBER(SEARCH('WSF DASHBOARD'!$C$4,INDEX(MASTER_ZONES!$B:$B,1066)))),1065,""),""),""))</f>
        <v/>
      </c>
      <c r="F1066">
        <f>IF('TRANSPORT DASHBOARD'!$B$4="Area",IF(1065&lt;=$I$3,IF(OR('TRANSPORT DASHBOARD'!$C$4="",ISNUMBER(SEARCH('TRANSPORT DASHBOARD'!$C$4,INDEX(MASTER_AREAS!$B:$B,1066)))),1065,""),""),IF('TRANSPORT DASHBOARD'!$B$4="Zone",IF(1065&lt;=$I$4,IF(OR('TRANSPORT DASHBOARD'!$C$4="",ISNUMBER(SEARCH('TRANSPORT DASHBOARD'!$C$4,INDEX(MASTER_ZONES!$B:$B,1066)))),1065,""),""),""))</f>
        <v/>
      </c>
    </row>
    <row r="1067">
      <c r="A1067">
        <f>IF('WSF DASHBOARD'!$B$4="Area",IF(1066&lt;=$D$3,IF(OR('WSF DASHBOARD'!$C$4="",ISNUMBER(SEARCH('WSF DASHBOARD'!$C$4,INDEX(MASTER_AREAS!$B:$B,1067)))),1066,""),""),IF('WSF DASHBOARD'!$B$4="Zone",IF(1066&lt;=$D$4,IF(OR('WSF DASHBOARD'!$C$4="",ISNUMBER(SEARCH('WSF DASHBOARD'!$C$4,INDEX(MASTER_ZONES!$B:$B,1067)))),1066,""),""),""))</f>
        <v/>
      </c>
      <c r="F1067">
        <f>IF('TRANSPORT DASHBOARD'!$B$4="Area",IF(1066&lt;=$I$3,IF(OR('TRANSPORT DASHBOARD'!$C$4="",ISNUMBER(SEARCH('TRANSPORT DASHBOARD'!$C$4,INDEX(MASTER_AREAS!$B:$B,1067)))),1066,""),""),IF('TRANSPORT DASHBOARD'!$B$4="Zone",IF(1066&lt;=$I$4,IF(OR('TRANSPORT DASHBOARD'!$C$4="",ISNUMBER(SEARCH('TRANSPORT DASHBOARD'!$C$4,INDEX(MASTER_ZONES!$B:$B,1067)))),1066,""),""),""))</f>
        <v/>
      </c>
    </row>
    <row r="1068">
      <c r="A1068">
        <f>IF('WSF DASHBOARD'!$B$4="Area",IF(1067&lt;=$D$3,IF(OR('WSF DASHBOARD'!$C$4="",ISNUMBER(SEARCH('WSF DASHBOARD'!$C$4,INDEX(MASTER_AREAS!$B:$B,1068)))),1067,""),""),IF('WSF DASHBOARD'!$B$4="Zone",IF(1067&lt;=$D$4,IF(OR('WSF DASHBOARD'!$C$4="",ISNUMBER(SEARCH('WSF DASHBOARD'!$C$4,INDEX(MASTER_ZONES!$B:$B,1068)))),1067,""),""),""))</f>
        <v/>
      </c>
      <c r="F1068">
        <f>IF('TRANSPORT DASHBOARD'!$B$4="Area",IF(1067&lt;=$I$3,IF(OR('TRANSPORT DASHBOARD'!$C$4="",ISNUMBER(SEARCH('TRANSPORT DASHBOARD'!$C$4,INDEX(MASTER_AREAS!$B:$B,1068)))),1067,""),""),IF('TRANSPORT DASHBOARD'!$B$4="Zone",IF(1067&lt;=$I$4,IF(OR('TRANSPORT DASHBOARD'!$C$4="",ISNUMBER(SEARCH('TRANSPORT DASHBOARD'!$C$4,INDEX(MASTER_ZONES!$B:$B,1068)))),1067,""),""),""))</f>
        <v/>
      </c>
    </row>
    <row r="1069">
      <c r="A1069">
        <f>IF('WSF DASHBOARD'!$B$4="Area",IF(1068&lt;=$D$3,IF(OR('WSF DASHBOARD'!$C$4="",ISNUMBER(SEARCH('WSF DASHBOARD'!$C$4,INDEX(MASTER_AREAS!$B:$B,1069)))),1068,""),""),IF('WSF DASHBOARD'!$B$4="Zone",IF(1068&lt;=$D$4,IF(OR('WSF DASHBOARD'!$C$4="",ISNUMBER(SEARCH('WSF DASHBOARD'!$C$4,INDEX(MASTER_ZONES!$B:$B,1069)))),1068,""),""),""))</f>
        <v/>
      </c>
      <c r="F1069">
        <f>IF('TRANSPORT DASHBOARD'!$B$4="Area",IF(1068&lt;=$I$3,IF(OR('TRANSPORT DASHBOARD'!$C$4="",ISNUMBER(SEARCH('TRANSPORT DASHBOARD'!$C$4,INDEX(MASTER_AREAS!$B:$B,1069)))),1068,""),""),IF('TRANSPORT DASHBOARD'!$B$4="Zone",IF(1068&lt;=$I$4,IF(OR('TRANSPORT DASHBOARD'!$C$4="",ISNUMBER(SEARCH('TRANSPORT DASHBOARD'!$C$4,INDEX(MASTER_ZONES!$B:$B,1069)))),1068,""),""),""))</f>
        <v/>
      </c>
    </row>
    <row r="1070">
      <c r="A1070">
        <f>IF('WSF DASHBOARD'!$B$4="Area",IF(1069&lt;=$D$3,IF(OR('WSF DASHBOARD'!$C$4="",ISNUMBER(SEARCH('WSF DASHBOARD'!$C$4,INDEX(MASTER_AREAS!$B:$B,1070)))),1069,""),""),IF('WSF DASHBOARD'!$B$4="Zone",IF(1069&lt;=$D$4,IF(OR('WSF DASHBOARD'!$C$4="",ISNUMBER(SEARCH('WSF DASHBOARD'!$C$4,INDEX(MASTER_ZONES!$B:$B,1070)))),1069,""),""),""))</f>
        <v/>
      </c>
      <c r="F1070">
        <f>IF('TRANSPORT DASHBOARD'!$B$4="Area",IF(1069&lt;=$I$3,IF(OR('TRANSPORT DASHBOARD'!$C$4="",ISNUMBER(SEARCH('TRANSPORT DASHBOARD'!$C$4,INDEX(MASTER_AREAS!$B:$B,1070)))),1069,""),""),IF('TRANSPORT DASHBOARD'!$B$4="Zone",IF(1069&lt;=$I$4,IF(OR('TRANSPORT DASHBOARD'!$C$4="",ISNUMBER(SEARCH('TRANSPORT DASHBOARD'!$C$4,INDEX(MASTER_ZONES!$B:$B,1070)))),1069,""),""),""))</f>
        <v/>
      </c>
    </row>
    <row r="1071">
      <c r="A1071">
        <f>IF('WSF DASHBOARD'!$B$4="Area",IF(1070&lt;=$D$3,IF(OR('WSF DASHBOARD'!$C$4="",ISNUMBER(SEARCH('WSF DASHBOARD'!$C$4,INDEX(MASTER_AREAS!$B:$B,1071)))),1070,""),""),IF('WSF DASHBOARD'!$B$4="Zone",IF(1070&lt;=$D$4,IF(OR('WSF DASHBOARD'!$C$4="",ISNUMBER(SEARCH('WSF DASHBOARD'!$C$4,INDEX(MASTER_ZONES!$B:$B,1071)))),1070,""),""),""))</f>
        <v/>
      </c>
      <c r="F1071">
        <f>IF('TRANSPORT DASHBOARD'!$B$4="Area",IF(1070&lt;=$I$3,IF(OR('TRANSPORT DASHBOARD'!$C$4="",ISNUMBER(SEARCH('TRANSPORT DASHBOARD'!$C$4,INDEX(MASTER_AREAS!$B:$B,1071)))),1070,""),""),IF('TRANSPORT DASHBOARD'!$B$4="Zone",IF(1070&lt;=$I$4,IF(OR('TRANSPORT DASHBOARD'!$C$4="",ISNUMBER(SEARCH('TRANSPORT DASHBOARD'!$C$4,INDEX(MASTER_ZONES!$B:$B,1071)))),1070,""),""),""))</f>
        <v/>
      </c>
    </row>
    <row r="1072">
      <c r="A1072">
        <f>IF('WSF DASHBOARD'!$B$4="Area",IF(1071&lt;=$D$3,IF(OR('WSF DASHBOARD'!$C$4="",ISNUMBER(SEARCH('WSF DASHBOARD'!$C$4,INDEX(MASTER_AREAS!$B:$B,1072)))),1071,""),""),IF('WSF DASHBOARD'!$B$4="Zone",IF(1071&lt;=$D$4,IF(OR('WSF DASHBOARD'!$C$4="",ISNUMBER(SEARCH('WSF DASHBOARD'!$C$4,INDEX(MASTER_ZONES!$B:$B,1072)))),1071,""),""),""))</f>
        <v/>
      </c>
      <c r="F1072">
        <f>IF('TRANSPORT DASHBOARD'!$B$4="Area",IF(1071&lt;=$I$3,IF(OR('TRANSPORT DASHBOARD'!$C$4="",ISNUMBER(SEARCH('TRANSPORT DASHBOARD'!$C$4,INDEX(MASTER_AREAS!$B:$B,1072)))),1071,""),""),IF('TRANSPORT DASHBOARD'!$B$4="Zone",IF(1071&lt;=$I$4,IF(OR('TRANSPORT DASHBOARD'!$C$4="",ISNUMBER(SEARCH('TRANSPORT DASHBOARD'!$C$4,INDEX(MASTER_ZONES!$B:$B,1072)))),1071,""),""),""))</f>
        <v/>
      </c>
    </row>
    <row r="1073">
      <c r="A1073">
        <f>IF('WSF DASHBOARD'!$B$4="Area",IF(1072&lt;=$D$3,IF(OR('WSF DASHBOARD'!$C$4="",ISNUMBER(SEARCH('WSF DASHBOARD'!$C$4,INDEX(MASTER_AREAS!$B:$B,1073)))),1072,""),""),IF('WSF DASHBOARD'!$B$4="Zone",IF(1072&lt;=$D$4,IF(OR('WSF DASHBOARD'!$C$4="",ISNUMBER(SEARCH('WSF DASHBOARD'!$C$4,INDEX(MASTER_ZONES!$B:$B,1073)))),1072,""),""),""))</f>
        <v/>
      </c>
      <c r="F1073">
        <f>IF('TRANSPORT DASHBOARD'!$B$4="Area",IF(1072&lt;=$I$3,IF(OR('TRANSPORT DASHBOARD'!$C$4="",ISNUMBER(SEARCH('TRANSPORT DASHBOARD'!$C$4,INDEX(MASTER_AREAS!$B:$B,1073)))),1072,""),""),IF('TRANSPORT DASHBOARD'!$B$4="Zone",IF(1072&lt;=$I$4,IF(OR('TRANSPORT DASHBOARD'!$C$4="",ISNUMBER(SEARCH('TRANSPORT DASHBOARD'!$C$4,INDEX(MASTER_ZONES!$B:$B,1073)))),1072,""),""),""))</f>
        <v/>
      </c>
    </row>
    <row r="1074">
      <c r="A1074">
        <f>IF('WSF DASHBOARD'!$B$4="Area",IF(1073&lt;=$D$3,IF(OR('WSF DASHBOARD'!$C$4="",ISNUMBER(SEARCH('WSF DASHBOARD'!$C$4,INDEX(MASTER_AREAS!$B:$B,1074)))),1073,""),""),IF('WSF DASHBOARD'!$B$4="Zone",IF(1073&lt;=$D$4,IF(OR('WSF DASHBOARD'!$C$4="",ISNUMBER(SEARCH('WSF DASHBOARD'!$C$4,INDEX(MASTER_ZONES!$B:$B,1074)))),1073,""),""),""))</f>
        <v/>
      </c>
      <c r="F1074">
        <f>IF('TRANSPORT DASHBOARD'!$B$4="Area",IF(1073&lt;=$I$3,IF(OR('TRANSPORT DASHBOARD'!$C$4="",ISNUMBER(SEARCH('TRANSPORT DASHBOARD'!$C$4,INDEX(MASTER_AREAS!$B:$B,1074)))),1073,""),""),IF('TRANSPORT DASHBOARD'!$B$4="Zone",IF(1073&lt;=$I$4,IF(OR('TRANSPORT DASHBOARD'!$C$4="",ISNUMBER(SEARCH('TRANSPORT DASHBOARD'!$C$4,INDEX(MASTER_ZONES!$B:$B,1074)))),1073,""),""),""))</f>
        <v/>
      </c>
    </row>
    <row r="1075">
      <c r="A1075">
        <f>IF('WSF DASHBOARD'!$B$4="Area",IF(1074&lt;=$D$3,IF(OR('WSF DASHBOARD'!$C$4="",ISNUMBER(SEARCH('WSF DASHBOARD'!$C$4,INDEX(MASTER_AREAS!$B:$B,1075)))),1074,""),""),IF('WSF DASHBOARD'!$B$4="Zone",IF(1074&lt;=$D$4,IF(OR('WSF DASHBOARD'!$C$4="",ISNUMBER(SEARCH('WSF DASHBOARD'!$C$4,INDEX(MASTER_ZONES!$B:$B,1075)))),1074,""),""),""))</f>
        <v/>
      </c>
      <c r="F1075">
        <f>IF('TRANSPORT DASHBOARD'!$B$4="Area",IF(1074&lt;=$I$3,IF(OR('TRANSPORT DASHBOARD'!$C$4="",ISNUMBER(SEARCH('TRANSPORT DASHBOARD'!$C$4,INDEX(MASTER_AREAS!$B:$B,1075)))),1074,""),""),IF('TRANSPORT DASHBOARD'!$B$4="Zone",IF(1074&lt;=$I$4,IF(OR('TRANSPORT DASHBOARD'!$C$4="",ISNUMBER(SEARCH('TRANSPORT DASHBOARD'!$C$4,INDEX(MASTER_ZONES!$B:$B,1075)))),1074,""),""),""))</f>
        <v/>
      </c>
    </row>
    <row r="1076">
      <c r="A1076">
        <f>IF('WSF DASHBOARD'!$B$4="Area",IF(1075&lt;=$D$3,IF(OR('WSF DASHBOARD'!$C$4="",ISNUMBER(SEARCH('WSF DASHBOARD'!$C$4,INDEX(MASTER_AREAS!$B:$B,1076)))),1075,""),""),IF('WSF DASHBOARD'!$B$4="Zone",IF(1075&lt;=$D$4,IF(OR('WSF DASHBOARD'!$C$4="",ISNUMBER(SEARCH('WSF DASHBOARD'!$C$4,INDEX(MASTER_ZONES!$B:$B,1076)))),1075,""),""),""))</f>
        <v/>
      </c>
      <c r="F1076">
        <f>IF('TRANSPORT DASHBOARD'!$B$4="Area",IF(1075&lt;=$I$3,IF(OR('TRANSPORT DASHBOARD'!$C$4="",ISNUMBER(SEARCH('TRANSPORT DASHBOARD'!$C$4,INDEX(MASTER_AREAS!$B:$B,1076)))),1075,""),""),IF('TRANSPORT DASHBOARD'!$B$4="Zone",IF(1075&lt;=$I$4,IF(OR('TRANSPORT DASHBOARD'!$C$4="",ISNUMBER(SEARCH('TRANSPORT DASHBOARD'!$C$4,INDEX(MASTER_ZONES!$B:$B,1076)))),1075,""),""),""))</f>
        <v/>
      </c>
    </row>
    <row r="1077">
      <c r="A1077">
        <f>IF('WSF DASHBOARD'!$B$4="Area",IF(1076&lt;=$D$3,IF(OR('WSF DASHBOARD'!$C$4="",ISNUMBER(SEARCH('WSF DASHBOARD'!$C$4,INDEX(MASTER_AREAS!$B:$B,1077)))),1076,""),""),IF('WSF DASHBOARD'!$B$4="Zone",IF(1076&lt;=$D$4,IF(OR('WSF DASHBOARD'!$C$4="",ISNUMBER(SEARCH('WSF DASHBOARD'!$C$4,INDEX(MASTER_ZONES!$B:$B,1077)))),1076,""),""),""))</f>
        <v/>
      </c>
      <c r="F1077">
        <f>IF('TRANSPORT DASHBOARD'!$B$4="Area",IF(1076&lt;=$I$3,IF(OR('TRANSPORT DASHBOARD'!$C$4="",ISNUMBER(SEARCH('TRANSPORT DASHBOARD'!$C$4,INDEX(MASTER_AREAS!$B:$B,1077)))),1076,""),""),IF('TRANSPORT DASHBOARD'!$B$4="Zone",IF(1076&lt;=$I$4,IF(OR('TRANSPORT DASHBOARD'!$C$4="",ISNUMBER(SEARCH('TRANSPORT DASHBOARD'!$C$4,INDEX(MASTER_ZONES!$B:$B,1077)))),1076,""),""),""))</f>
        <v/>
      </c>
    </row>
    <row r="1078">
      <c r="A1078">
        <f>IF('WSF DASHBOARD'!$B$4="Area",IF(1077&lt;=$D$3,IF(OR('WSF DASHBOARD'!$C$4="",ISNUMBER(SEARCH('WSF DASHBOARD'!$C$4,INDEX(MASTER_AREAS!$B:$B,1078)))),1077,""),""),IF('WSF DASHBOARD'!$B$4="Zone",IF(1077&lt;=$D$4,IF(OR('WSF DASHBOARD'!$C$4="",ISNUMBER(SEARCH('WSF DASHBOARD'!$C$4,INDEX(MASTER_ZONES!$B:$B,1078)))),1077,""),""),""))</f>
        <v/>
      </c>
      <c r="F1078">
        <f>IF('TRANSPORT DASHBOARD'!$B$4="Area",IF(1077&lt;=$I$3,IF(OR('TRANSPORT DASHBOARD'!$C$4="",ISNUMBER(SEARCH('TRANSPORT DASHBOARD'!$C$4,INDEX(MASTER_AREAS!$B:$B,1078)))),1077,""),""),IF('TRANSPORT DASHBOARD'!$B$4="Zone",IF(1077&lt;=$I$4,IF(OR('TRANSPORT DASHBOARD'!$C$4="",ISNUMBER(SEARCH('TRANSPORT DASHBOARD'!$C$4,INDEX(MASTER_ZONES!$B:$B,1078)))),1077,""),""),""))</f>
        <v/>
      </c>
    </row>
    <row r="1079">
      <c r="A1079">
        <f>IF('WSF DASHBOARD'!$B$4="Area",IF(1078&lt;=$D$3,IF(OR('WSF DASHBOARD'!$C$4="",ISNUMBER(SEARCH('WSF DASHBOARD'!$C$4,INDEX(MASTER_AREAS!$B:$B,1079)))),1078,""),""),IF('WSF DASHBOARD'!$B$4="Zone",IF(1078&lt;=$D$4,IF(OR('WSF DASHBOARD'!$C$4="",ISNUMBER(SEARCH('WSF DASHBOARD'!$C$4,INDEX(MASTER_ZONES!$B:$B,1079)))),1078,""),""),""))</f>
        <v/>
      </c>
      <c r="F1079">
        <f>IF('TRANSPORT DASHBOARD'!$B$4="Area",IF(1078&lt;=$I$3,IF(OR('TRANSPORT DASHBOARD'!$C$4="",ISNUMBER(SEARCH('TRANSPORT DASHBOARD'!$C$4,INDEX(MASTER_AREAS!$B:$B,1079)))),1078,""),""),IF('TRANSPORT DASHBOARD'!$B$4="Zone",IF(1078&lt;=$I$4,IF(OR('TRANSPORT DASHBOARD'!$C$4="",ISNUMBER(SEARCH('TRANSPORT DASHBOARD'!$C$4,INDEX(MASTER_ZONES!$B:$B,1079)))),1078,""),""),""))</f>
        <v/>
      </c>
    </row>
    <row r="1080">
      <c r="A1080">
        <f>IF('WSF DASHBOARD'!$B$4="Area",IF(1079&lt;=$D$3,IF(OR('WSF DASHBOARD'!$C$4="",ISNUMBER(SEARCH('WSF DASHBOARD'!$C$4,INDEX(MASTER_AREAS!$B:$B,1080)))),1079,""),""),IF('WSF DASHBOARD'!$B$4="Zone",IF(1079&lt;=$D$4,IF(OR('WSF DASHBOARD'!$C$4="",ISNUMBER(SEARCH('WSF DASHBOARD'!$C$4,INDEX(MASTER_ZONES!$B:$B,1080)))),1079,""),""),""))</f>
        <v/>
      </c>
      <c r="F1080">
        <f>IF('TRANSPORT DASHBOARD'!$B$4="Area",IF(1079&lt;=$I$3,IF(OR('TRANSPORT DASHBOARD'!$C$4="",ISNUMBER(SEARCH('TRANSPORT DASHBOARD'!$C$4,INDEX(MASTER_AREAS!$B:$B,1080)))),1079,""),""),IF('TRANSPORT DASHBOARD'!$B$4="Zone",IF(1079&lt;=$I$4,IF(OR('TRANSPORT DASHBOARD'!$C$4="",ISNUMBER(SEARCH('TRANSPORT DASHBOARD'!$C$4,INDEX(MASTER_ZONES!$B:$B,1080)))),1079,""),""),""))</f>
        <v/>
      </c>
    </row>
    <row r="1081">
      <c r="A1081">
        <f>IF('WSF DASHBOARD'!$B$4="Area",IF(1080&lt;=$D$3,IF(OR('WSF DASHBOARD'!$C$4="",ISNUMBER(SEARCH('WSF DASHBOARD'!$C$4,INDEX(MASTER_AREAS!$B:$B,1081)))),1080,""),""),IF('WSF DASHBOARD'!$B$4="Zone",IF(1080&lt;=$D$4,IF(OR('WSF DASHBOARD'!$C$4="",ISNUMBER(SEARCH('WSF DASHBOARD'!$C$4,INDEX(MASTER_ZONES!$B:$B,1081)))),1080,""),""),""))</f>
        <v/>
      </c>
      <c r="F1081">
        <f>IF('TRANSPORT DASHBOARD'!$B$4="Area",IF(1080&lt;=$I$3,IF(OR('TRANSPORT DASHBOARD'!$C$4="",ISNUMBER(SEARCH('TRANSPORT DASHBOARD'!$C$4,INDEX(MASTER_AREAS!$B:$B,1081)))),1080,""),""),IF('TRANSPORT DASHBOARD'!$B$4="Zone",IF(1080&lt;=$I$4,IF(OR('TRANSPORT DASHBOARD'!$C$4="",ISNUMBER(SEARCH('TRANSPORT DASHBOARD'!$C$4,INDEX(MASTER_ZONES!$B:$B,1081)))),1080,""),""),""))</f>
        <v/>
      </c>
    </row>
    <row r="1082">
      <c r="A1082">
        <f>IF('WSF DASHBOARD'!$B$4="Area",IF(1081&lt;=$D$3,IF(OR('WSF DASHBOARD'!$C$4="",ISNUMBER(SEARCH('WSF DASHBOARD'!$C$4,INDEX(MASTER_AREAS!$B:$B,1082)))),1081,""),""),IF('WSF DASHBOARD'!$B$4="Zone",IF(1081&lt;=$D$4,IF(OR('WSF DASHBOARD'!$C$4="",ISNUMBER(SEARCH('WSF DASHBOARD'!$C$4,INDEX(MASTER_ZONES!$B:$B,1082)))),1081,""),""),""))</f>
        <v/>
      </c>
      <c r="F1082">
        <f>IF('TRANSPORT DASHBOARD'!$B$4="Area",IF(1081&lt;=$I$3,IF(OR('TRANSPORT DASHBOARD'!$C$4="",ISNUMBER(SEARCH('TRANSPORT DASHBOARD'!$C$4,INDEX(MASTER_AREAS!$B:$B,1082)))),1081,""),""),IF('TRANSPORT DASHBOARD'!$B$4="Zone",IF(1081&lt;=$I$4,IF(OR('TRANSPORT DASHBOARD'!$C$4="",ISNUMBER(SEARCH('TRANSPORT DASHBOARD'!$C$4,INDEX(MASTER_ZONES!$B:$B,1082)))),1081,""),""),""))</f>
        <v/>
      </c>
    </row>
    <row r="1083">
      <c r="A1083">
        <f>IF('WSF DASHBOARD'!$B$4="Area",IF(1082&lt;=$D$3,IF(OR('WSF DASHBOARD'!$C$4="",ISNUMBER(SEARCH('WSF DASHBOARD'!$C$4,INDEX(MASTER_AREAS!$B:$B,1083)))),1082,""),""),IF('WSF DASHBOARD'!$B$4="Zone",IF(1082&lt;=$D$4,IF(OR('WSF DASHBOARD'!$C$4="",ISNUMBER(SEARCH('WSF DASHBOARD'!$C$4,INDEX(MASTER_ZONES!$B:$B,1083)))),1082,""),""),""))</f>
        <v/>
      </c>
      <c r="F1083">
        <f>IF('TRANSPORT DASHBOARD'!$B$4="Area",IF(1082&lt;=$I$3,IF(OR('TRANSPORT DASHBOARD'!$C$4="",ISNUMBER(SEARCH('TRANSPORT DASHBOARD'!$C$4,INDEX(MASTER_AREAS!$B:$B,1083)))),1082,""),""),IF('TRANSPORT DASHBOARD'!$B$4="Zone",IF(1082&lt;=$I$4,IF(OR('TRANSPORT DASHBOARD'!$C$4="",ISNUMBER(SEARCH('TRANSPORT DASHBOARD'!$C$4,INDEX(MASTER_ZONES!$B:$B,1083)))),1082,""),""),""))</f>
        <v/>
      </c>
    </row>
    <row r="1084">
      <c r="A1084">
        <f>IF('WSF DASHBOARD'!$B$4="Area",IF(1083&lt;=$D$3,IF(OR('WSF DASHBOARD'!$C$4="",ISNUMBER(SEARCH('WSF DASHBOARD'!$C$4,INDEX(MASTER_AREAS!$B:$B,1084)))),1083,""),""),IF('WSF DASHBOARD'!$B$4="Zone",IF(1083&lt;=$D$4,IF(OR('WSF DASHBOARD'!$C$4="",ISNUMBER(SEARCH('WSF DASHBOARD'!$C$4,INDEX(MASTER_ZONES!$B:$B,1084)))),1083,""),""),""))</f>
        <v/>
      </c>
      <c r="F1084">
        <f>IF('TRANSPORT DASHBOARD'!$B$4="Area",IF(1083&lt;=$I$3,IF(OR('TRANSPORT DASHBOARD'!$C$4="",ISNUMBER(SEARCH('TRANSPORT DASHBOARD'!$C$4,INDEX(MASTER_AREAS!$B:$B,1084)))),1083,""),""),IF('TRANSPORT DASHBOARD'!$B$4="Zone",IF(1083&lt;=$I$4,IF(OR('TRANSPORT DASHBOARD'!$C$4="",ISNUMBER(SEARCH('TRANSPORT DASHBOARD'!$C$4,INDEX(MASTER_ZONES!$B:$B,1084)))),1083,""),""),""))</f>
        <v/>
      </c>
    </row>
    <row r="1085">
      <c r="A1085">
        <f>IF('WSF DASHBOARD'!$B$4="Area",IF(1084&lt;=$D$3,IF(OR('WSF DASHBOARD'!$C$4="",ISNUMBER(SEARCH('WSF DASHBOARD'!$C$4,INDEX(MASTER_AREAS!$B:$B,1085)))),1084,""),""),IF('WSF DASHBOARD'!$B$4="Zone",IF(1084&lt;=$D$4,IF(OR('WSF DASHBOARD'!$C$4="",ISNUMBER(SEARCH('WSF DASHBOARD'!$C$4,INDEX(MASTER_ZONES!$B:$B,1085)))),1084,""),""),""))</f>
        <v/>
      </c>
      <c r="F1085">
        <f>IF('TRANSPORT DASHBOARD'!$B$4="Area",IF(1084&lt;=$I$3,IF(OR('TRANSPORT DASHBOARD'!$C$4="",ISNUMBER(SEARCH('TRANSPORT DASHBOARD'!$C$4,INDEX(MASTER_AREAS!$B:$B,1085)))),1084,""),""),IF('TRANSPORT DASHBOARD'!$B$4="Zone",IF(1084&lt;=$I$4,IF(OR('TRANSPORT DASHBOARD'!$C$4="",ISNUMBER(SEARCH('TRANSPORT DASHBOARD'!$C$4,INDEX(MASTER_ZONES!$B:$B,1085)))),1084,""),""),""))</f>
        <v/>
      </c>
    </row>
    <row r="1086">
      <c r="A1086">
        <f>IF('WSF DASHBOARD'!$B$4="Area",IF(1085&lt;=$D$3,IF(OR('WSF DASHBOARD'!$C$4="",ISNUMBER(SEARCH('WSF DASHBOARD'!$C$4,INDEX(MASTER_AREAS!$B:$B,1086)))),1085,""),""),IF('WSF DASHBOARD'!$B$4="Zone",IF(1085&lt;=$D$4,IF(OR('WSF DASHBOARD'!$C$4="",ISNUMBER(SEARCH('WSF DASHBOARD'!$C$4,INDEX(MASTER_ZONES!$B:$B,1086)))),1085,""),""),""))</f>
        <v/>
      </c>
      <c r="F1086">
        <f>IF('TRANSPORT DASHBOARD'!$B$4="Area",IF(1085&lt;=$I$3,IF(OR('TRANSPORT DASHBOARD'!$C$4="",ISNUMBER(SEARCH('TRANSPORT DASHBOARD'!$C$4,INDEX(MASTER_AREAS!$B:$B,1086)))),1085,""),""),IF('TRANSPORT DASHBOARD'!$B$4="Zone",IF(1085&lt;=$I$4,IF(OR('TRANSPORT DASHBOARD'!$C$4="",ISNUMBER(SEARCH('TRANSPORT DASHBOARD'!$C$4,INDEX(MASTER_ZONES!$B:$B,1086)))),1085,""),""),""))</f>
        <v/>
      </c>
    </row>
    <row r="1087">
      <c r="A1087">
        <f>IF('WSF DASHBOARD'!$B$4="Area",IF(1086&lt;=$D$3,IF(OR('WSF DASHBOARD'!$C$4="",ISNUMBER(SEARCH('WSF DASHBOARD'!$C$4,INDEX(MASTER_AREAS!$B:$B,1087)))),1086,""),""),IF('WSF DASHBOARD'!$B$4="Zone",IF(1086&lt;=$D$4,IF(OR('WSF DASHBOARD'!$C$4="",ISNUMBER(SEARCH('WSF DASHBOARD'!$C$4,INDEX(MASTER_ZONES!$B:$B,1087)))),1086,""),""),""))</f>
        <v/>
      </c>
      <c r="F1087">
        <f>IF('TRANSPORT DASHBOARD'!$B$4="Area",IF(1086&lt;=$I$3,IF(OR('TRANSPORT DASHBOARD'!$C$4="",ISNUMBER(SEARCH('TRANSPORT DASHBOARD'!$C$4,INDEX(MASTER_AREAS!$B:$B,1087)))),1086,""),""),IF('TRANSPORT DASHBOARD'!$B$4="Zone",IF(1086&lt;=$I$4,IF(OR('TRANSPORT DASHBOARD'!$C$4="",ISNUMBER(SEARCH('TRANSPORT DASHBOARD'!$C$4,INDEX(MASTER_ZONES!$B:$B,1087)))),1086,""),""),""))</f>
        <v/>
      </c>
    </row>
    <row r="1088">
      <c r="A1088">
        <f>IF('WSF DASHBOARD'!$B$4="Area",IF(1087&lt;=$D$3,IF(OR('WSF DASHBOARD'!$C$4="",ISNUMBER(SEARCH('WSF DASHBOARD'!$C$4,INDEX(MASTER_AREAS!$B:$B,1088)))),1087,""),""),IF('WSF DASHBOARD'!$B$4="Zone",IF(1087&lt;=$D$4,IF(OR('WSF DASHBOARD'!$C$4="",ISNUMBER(SEARCH('WSF DASHBOARD'!$C$4,INDEX(MASTER_ZONES!$B:$B,1088)))),1087,""),""),""))</f>
        <v/>
      </c>
      <c r="F1088">
        <f>IF('TRANSPORT DASHBOARD'!$B$4="Area",IF(1087&lt;=$I$3,IF(OR('TRANSPORT DASHBOARD'!$C$4="",ISNUMBER(SEARCH('TRANSPORT DASHBOARD'!$C$4,INDEX(MASTER_AREAS!$B:$B,1088)))),1087,""),""),IF('TRANSPORT DASHBOARD'!$B$4="Zone",IF(1087&lt;=$I$4,IF(OR('TRANSPORT DASHBOARD'!$C$4="",ISNUMBER(SEARCH('TRANSPORT DASHBOARD'!$C$4,INDEX(MASTER_ZONES!$B:$B,1088)))),1087,""),""),""))</f>
        <v/>
      </c>
    </row>
    <row r="1089">
      <c r="A1089">
        <f>IF('WSF DASHBOARD'!$B$4="Area",IF(1088&lt;=$D$3,IF(OR('WSF DASHBOARD'!$C$4="",ISNUMBER(SEARCH('WSF DASHBOARD'!$C$4,INDEX(MASTER_AREAS!$B:$B,1089)))),1088,""),""),IF('WSF DASHBOARD'!$B$4="Zone",IF(1088&lt;=$D$4,IF(OR('WSF DASHBOARD'!$C$4="",ISNUMBER(SEARCH('WSF DASHBOARD'!$C$4,INDEX(MASTER_ZONES!$B:$B,1089)))),1088,""),""),""))</f>
        <v/>
      </c>
      <c r="F1089">
        <f>IF('TRANSPORT DASHBOARD'!$B$4="Area",IF(1088&lt;=$I$3,IF(OR('TRANSPORT DASHBOARD'!$C$4="",ISNUMBER(SEARCH('TRANSPORT DASHBOARD'!$C$4,INDEX(MASTER_AREAS!$B:$B,1089)))),1088,""),""),IF('TRANSPORT DASHBOARD'!$B$4="Zone",IF(1088&lt;=$I$4,IF(OR('TRANSPORT DASHBOARD'!$C$4="",ISNUMBER(SEARCH('TRANSPORT DASHBOARD'!$C$4,INDEX(MASTER_ZONES!$B:$B,1089)))),1088,""),""),""))</f>
        <v/>
      </c>
    </row>
    <row r="1090">
      <c r="A1090">
        <f>IF('WSF DASHBOARD'!$B$4="Area",IF(1089&lt;=$D$3,IF(OR('WSF DASHBOARD'!$C$4="",ISNUMBER(SEARCH('WSF DASHBOARD'!$C$4,INDEX(MASTER_AREAS!$B:$B,1090)))),1089,""),""),IF('WSF DASHBOARD'!$B$4="Zone",IF(1089&lt;=$D$4,IF(OR('WSF DASHBOARD'!$C$4="",ISNUMBER(SEARCH('WSF DASHBOARD'!$C$4,INDEX(MASTER_ZONES!$B:$B,1090)))),1089,""),""),""))</f>
        <v/>
      </c>
      <c r="F1090">
        <f>IF('TRANSPORT DASHBOARD'!$B$4="Area",IF(1089&lt;=$I$3,IF(OR('TRANSPORT DASHBOARD'!$C$4="",ISNUMBER(SEARCH('TRANSPORT DASHBOARD'!$C$4,INDEX(MASTER_AREAS!$B:$B,1090)))),1089,""),""),IF('TRANSPORT DASHBOARD'!$B$4="Zone",IF(1089&lt;=$I$4,IF(OR('TRANSPORT DASHBOARD'!$C$4="",ISNUMBER(SEARCH('TRANSPORT DASHBOARD'!$C$4,INDEX(MASTER_ZONES!$B:$B,1090)))),1089,""),""),""))</f>
        <v/>
      </c>
    </row>
    <row r="1091">
      <c r="A1091">
        <f>IF('WSF DASHBOARD'!$B$4="Area",IF(1090&lt;=$D$3,IF(OR('WSF DASHBOARD'!$C$4="",ISNUMBER(SEARCH('WSF DASHBOARD'!$C$4,INDEX(MASTER_AREAS!$B:$B,1091)))),1090,""),""),IF('WSF DASHBOARD'!$B$4="Zone",IF(1090&lt;=$D$4,IF(OR('WSF DASHBOARD'!$C$4="",ISNUMBER(SEARCH('WSF DASHBOARD'!$C$4,INDEX(MASTER_ZONES!$B:$B,1091)))),1090,""),""),""))</f>
        <v/>
      </c>
      <c r="F1091">
        <f>IF('TRANSPORT DASHBOARD'!$B$4="Area",IF(1090&lt;=$I$3,IF(OR('TRANSPORT DASHBOARD'!$C$4="",ISNUMBER(SEARCH('TRANSPORT DASHBOARD'!$C$4,INDEX(MASTER_AREAS!$B:$B,1091)))),1090,""),""),IF('TRANSPORT DASHBOARD'!$B$4="Zone",IF(1090&lt;=$I$4,IF(OR('TRANSPORT DASHBOARD'!$C$4="",ISNUMBER(SEARCH('TRANSPORT DASHBOARD'!$C$4,INDEX(MASTER_ZONES!$B:$B,1091)))),1090,""),""),""))</f>
        <v/>
      </c>
    </row>
    <row r="1092">
      <c r="A1092">
        <f>IF('WSF DASHBOARD'!$B$4="Area",IF(1091&lt;=$D$3,IF(OR('WSF DASHBOARD'!$C$4="",ISNUMBER(SEARCH('WSF DASHBOARD'!$C$4,INDEX(MASTER_AREAS!$B:$B,1092)))),1091,""),""),IF('WSF DASHBOARD'!$B$4="Zone",IF(1091&lt;=$D$4,IF(OR('WSF DASHBOARD'!$C$4="",ISNUMBER(SEARCH('WSF DASHBOARD'!$C$4,INDEX(MASTER_ZONES!$B:$B,1092)))),1091,""),""),""))</f>
        <v/>
      </c>
      <c r="F1092">
        <f>IF('TRANSPORT DASHBOARD'!$B$4="Area",IF(1091&lt;=$I$3,IF(OR('TRANSPORT DASHBOARD'!$C$4="",ISNUMBER(SEARCH('TRANSPORT DASHBOARD'!$C$4,INDEX(MASTER_AREAS!$B:$B,1092)))),1091,""),""),IF('TRANSPORT DASHBOARD'!$B$4="Zone",IF(1091&lt;=$I$4,IF(OR('TRANSPORT DASHBOARD'!$C$4="",ISNUMBER(SEARCH('TRANSPORT DASHBOARD'!$C$4,INDEX(MASTER_ZONES!$B:$B,1092)))),1091,""),""),""))</f>
        <v/>
      </c>
    </row>
    <row r="1093">
      <c r="A1093">
        <f>IF('WSF DASHBOARD'!$B$4="Area",IF(1092&lt;=$D$3,IF(OR('WSF DASHBOARD'!$C$4="",ISNUMBER(SEARCH('WSF DASHBOARD'!$C$4,INDEX(MASTER_AREAS!$B:$B,1093)))),1092,""),""),IF('WSF DASHBOARD'!$B$4="Zone",IF(1092&lt;=$D$4,IF(OR('WSF DASHBOARD'!$C$4="",ISNUMBER(SEARCH('WSF DASHBOARD'!$C$4,INDEX(MASTER_ZONES!$B:$B,1093)))),1092,""),""),""))</f>
        <v/>
      </c>
      <c r="F1093">
        <f>IF('TRANSPORT DASHBOARD'!$B$4="Area",IF(1092&lt;=$I$3,IF(OR('TRANSPORT DASHBOARD'!$C$4="",ISNUMBER(SEARCH('TRANSPORT DASHBOARD'!$C$4,INDEX(MASTER_AREAS!$B:$B,1093)))),1092,""),""),IF('TRANSPORT DASHBOARD'!$B$4="Zone",IF(1092&lt;=$I$4,IF(OR('TRANSPORT DASHBOARD'!$C$4="",ISNUMBER(SEARCH('TRANSPORT DASHBOARD'!$C$4,INDEX(MASTER_ZONES!$B:$B,1093)))),1092,""),""),""))</f>
        <v/>
      </c>
    </row>
    <row r="1094">
      <c r="A1094">
        <f>IF('WSF DASHBOARD'!$B$4="Area",IF(1093&lt;=$D$3,IF(OR('WSF DASHBOARD'!$C$4="",ISNUMBER(SEARCH('WSF DASHBOARD'!$C$4,INDEX(MASTER_AREAS!$B:$B,1094)))),1093,""),""),IF('WSF DASHBOARD'!$B$4="Zone",IF(1093&lt;=$D$4,IF(OR('WSF DASHBOARD'!$C$4="",ISNUMBER(SEARCH('WSF DASHBOARD'!$C$4,INDEX(MASTER_ZONES!$B:$B,1094)))),1093,""),""),""))</f>
        <v/>
      </c>
      <c r="F1094">
        <f>IF('TRANSPORT DASHBOARD'!$B$4="Area",IF(1093&lt;=$I$3,IF(OR('TRANSPORT DASHBOARD'!$C$4="",ISNUMBER(SEARCH('TRANSPORT DASHBOARD'!$C$4,INDEX(MASTER_AREAS!$B:$B,1094)))),1093,""),""),IF('TRANSPORT DASHBOARD'!$B$4="Zone",IF(1093&lt;=$I$4,IF(OR('TRANSPORT DASHBOARD'!$C$4="",ISNUMBER(SEARCH('TRANSPORT DASHBOARD'!$C$4,INDEX(MASTER_ZONES!$B:$B,1094)))),1093,""),""),""))</f>
        <v/>
      </c>
    </row>
    <row r="1095">
      <c r="A1095">
        <f>IF('WSF DASHBOARD'!$B$4="Area",IF(1094&lt;=$D$3,IF(OR('WSF DASHBOARD'!$C$4="",ISNUMBER(SEARCH('WSF DASHBOARD'!$C$4,INDEX(MASTER_AREAS!$B:$B,1095)))),1094,""),""),IF('WSF DASHBOARD'!$B$4="Zone",IF(1094&lt;=$D$4,IF(OR('WSF DASHBOARD'!$C$4="",ISNUMBER(SEARCH('WSF DASHBOARD'!$C$4,INDEX(MASTER_ZONES!$B:$B,1095)))),1094,""),""),""))</f>
        <v/>
      </c>
      <c r="F1095">
        <f>IF('TRANSPORT DASHBOARD'!$B$4="Area",IF(1094&lt;=$I$3,IF(OR('TRANSPORT DASHBOARD'!$C$4="",ISNUMBER(SEARCH('TRANSPORT DASHBOARD'!$C$4,INDEX(MASTER_AREAS!$B:$B,1095)))),1094,""),""),IF('TRANSPORT DASHBOARD'!$B$4="Zone",IF(1094&lt;=$I$4,IF(OR('TRANSPORT DASHBOARD'!$C$4="",ISNUMBER(SEARCH('TRANSPORT DASHBOARD'!$C$4,INDEX(MASTER_ZONES!$B:$B,1095)))),1094,""),""),""))</f>
        <v/>
      </c>
    </row>
    <row r="1096">
      <c r="A1096">
        <f>IF('WSF DASHBOARD'!$B$4="Area",IF(1095&lt;=$D$3,IF(OR('WSF DASHBOARD'!$C$4="",ISNUMBER(SEARCH('WSF DASHBOARD'!$C$4,INDEX(MASTER_AREAS!$B:$B,1096)))),1095,""),""),IF('WSF DASHBOARD'!$B$4="Zone",IF(1095&lt;=$D$4,IF(OR('WSF DASHBOARD'!$C$4="",ISNUMBER(SEARCH('WSF DASHBOARD'!$C$4,INDEX(MASTER_ZONES!$B:$B,1096)))),1095,""),""),""))</f>
        <v/>
      </c>
      <c r="F1096">
        <f>IF('TRANSPORT DASHBOARD'!$B$4="Area",IF(1095&lt;=$I$3,IF(OR('TRANSPORT DASHBOARD'!$C$4="",ISNUMBER(SEARCH('TRANSPORT DASHBOARD'!$C$4,INDEX(MASTER_AREAS!$B:$B,1096)))),1095,""),""),IF('TRANSPORT DASHBOARD'!$B$4="Zone",IF(1095&lt;=$I$4,IF(OR('TRANSPORT DASHBOARD'!$C$4="",ISNUMBER(SEARCH('TRANSPORT DASHBOARD'!$C$4,INDEX(MASTER_ZONES!$B:$B,1096)))),1095,""),""),""))</f>
        <v/>
      </c>
    </row>
    <row r="1097">
      <c r="A1097">
        <f>IF('WSF DASHBOARD'!$B$4="Area",IF(1096&lt;=$D$3,IF(OR('WSF DASHBOARD'!$C$4="",ISNUMBER(SEARCH('WSF DASHBOARD'!$C$4,INDEX(MASTER_AREAS!$B:$B,1097)))),1096,""),""),IF('WSF DASHBOARD'!$B$4="Zone",IF(1096&lt;=$D$4,IF(OR('WSF DASHBOARD'!$C$4="",ISNUMBER(SEARCH('WSF DASHBOARD'!$C$4,INDEX(MASTER_ZONES!$B:$B,1097)))),1096,""),""),""))</f>
        <v/>
      </c>
      <c r="F1097">
        <f>IF('TRANSPORT DASHBOARD'!$B$4="Area",IF(1096&lt;=$I$3,IF(OR('TRANSPORT DASHBOARD'!$C$4="",ISNUMBER(SEARCH('TRANSPORT DASHBOARD'!$C$4,INDEX(MASTER_AREAS!$B:$B,1097)))),1096,""),""),IF('TRANSPORT DASHBOARD'!$B$4="Zone",IF(1096&lt;=$I$4,IF(OR('TRANSPORT DASHBOARD'!$C$4="",ISNUMBER(SEARCH('TRANSPORT DASHBOARD'!$C$4,INDEX(MASTER_ZONES!$B:$B,1097)))),1096,""),""),""))</f>
        <v/>
      </c>
    </row>
    <row r="1098">
      <c r="A1098">
        <f>IF('WSF DASHBOARD'!$B$4="Area",IF(1097&lt;=$D$3,IF(OR('WSF DASHBOARD'!$C$4="",ISNUMBER(SEARCH('WSF DASHBOARD'!$C$4,INDEX(MASTER_AREAS!$B:$B,1098)))),1097,""),""),IF('WSF DASHBOARD'!$B$4="Zone",IF(1097&lt;=$D$4,IF(OR('WSF DASHBOARD'!$C$4="",ISNUMBER(SEARCH('WSF DASHBOARD'!$C$4,INDEX(MASTER_ZONES!$B:$B,1098)))),1097,""),""),""))</f>
        <v/>
      </c>
      <c r="F1098">
        <f>IF('TRANSPORT DASHBOARD'!$B$4="Area",IF(1097&lt;=$I$3,IF(OR('TRANSPORT DASHBOARD'!$C$4="",ISNUMBER(SEARCH('TRANSPORT DASHBOARD'!$C$4,INDEX(MASTER_AREAS!$B:$B,1098)))),1097,""),""),IF('TRANSPORT DASHBOARD'!$B$4="Zone",IF(1097&lt;=$I$4,IF(OR('TRANSPORT DASHBOARD'!$C$4="",ISNUMBER(SEARCH('TRANSPORT DASHBOARD'!$C$4,INDEX(MASTER_ZONES!$B:$B,1098)))),1097,""),""),""))</f>
        <v/>
      </c>
    </row>
    <row r="1099">
      <c r="A1099">
        <f>IF('WSF DASHBOARD'!$B$4="Area",IF(1098&lt;=$D$3,IF(OR('WSF DASHBOARD'!$C$4="",ISNUMBER(SEARCH('WSF DASHBOARD'!$C$4,INDEX(MASTER_AREAS!$B:$B,1099)))),1098,""),""),IF('WSF DASHBOARD'!$B$4="Zone",IF(1098&lt;=$D$4,IF(OR('WSF DASHBOARD'!$C$4="",ISNUMBER(SEARCH('WSF DASHBOARD'!$C$4,INDEX(MASTER_ZONES!$B:$B,1099)))),1098,""),""),""))</f>
        <v/>
      </c>
      <c r="F1099">
        <f>IF('TRANSPORT DASHBOARD'!$B$4="Area",IF(1098&lt;=$I$3,IF(OR('TRANSPORT DASHBOARD'!$C$4="",ISNUMBER(SEARCH('TRANSPORT DASHBOARD'!$C$4,INDEX(MASTER_AREAS!$B:$B,1099)))),1098,""),""),IF('TRANSPORT DASHBOARD'!$B$4="Zone",IF(1098&lt;=$I$4,IF(OR('TRANSPORT DASHBOARD'!$C$4="",ISNUMBER(SEARCH('TRANSPORT DASHBOARD'!$C$4,INDEX(MASTER_ZONES!$B:$B,1099)))),1098,""),""),""))</f>
        <v/>
      </c>
    </row>
    <row r="1100">
      <c r="A1100">
        <f>IF('WSF DASHBOARD'!$B$4="Area",IF(1099&lt;=$D$3,IF(OR('WSF DASHBOARD'!$C$4="",ISNUMBER(SEARCH('WSF DASHBOARD'!$C$4,INDEX(MASTER_AREAS!$B:$B,1100)))),1099,""),""),IF('WSF DASHBOARD'!$B$4="Zone",IF(1099&lt;=$D$4,IF(OR('WSF DASHBOARD'!$C$4="",ISNUMBER(SEARCH('WSF DASHBOARD'!$C$4,INDEX(MASTER_ZONES!$B:$B,1100)))),1099,""),""),""))</f>
        <v/>
      </c>
      <c r="F1100">
        <f>IF('TRANSPORT DASHBOARD'!$B$4="Area",IF(1099&lt;=$I$3,IF(OR('TRANSPORT DASHBOARD'!$C$4="",ISNUMBER(SEARCH('TRANSPORT DASHBOARD'!$C$4,INDEX(MASTER_AREAS!$B:$B,1100)))),1099,""),""),IF('TRANSPORT DASHBOARD'!$B$4="Zone",IF(1099&lt;=$I$4,IF(OR('TRANSPORT DASHBOARD'!$C$4="",ISNUMBER(SEARCH('TRANSPORT DASHBOARD'!$C$4,INDEX(MASTER_ZONES!$B:$B,1100)))),1099,""),""),""))</f>
        <v/>
      </c>
    </row>
    <row r="1101">
      <c r="A1101">
        <f>IF('WSF DASHBOARD'!$B$4="Area",IF(1100&lt;=$D$3,IF(OR('WSF DASHBOARD'!$C$4="",ISNUMBER(SEARCH('WSF DASHBOARD'!$C$4,INDEX(MASTER_AREAS!$B:$B,1101)))),1100,""),""),IF('WSF DASHBOARD'!$B$4="Zone",IF(1100&lt;=$D$4,IF(OR('WSF DASHBOARD'!$C$4="",ISNUMBER(SEARCH('WSF DASHBOARD'!$C$4,INDEX(MASTER_ZONES!$B:$B,1101)))),1100,""),""),""))</f>
        <v/>
      </c>
      <c r="F1101">
        <f>IF('TRANSPORT DASHBOARD'!$B$4="Area",IF(1100&lt;=$I$3,IF(OR('TRANSPORT DASHBOARD'!$C$4="",ISNUMBER(SEARCH('TRANSPORT DASHBOARD'!$C$4,INDEX(MASTER_AREAS!$B:$B,1101)))),1100,""),""),IF('TRANSPORT DASHBOARD'!$B$4="Zone",IF(1100&lt;=$I$4,IF(OR('TRANSPORT DASHBOARD'!$C$4="",ISNUMBER(SEARCH('TRANSPORT DASHBOARD'!$C$4,INDEX(MASTER_ZONES!$B:$B,1101)))),1100,""),""),""))</f>
        <v/>
      </c>
    </row>
    <row r="1102">
      <c r="A1102">
        <f>IF('WSF DASHBOARD'!$B$4="Area",IF(1101&lt;=$D$3,IF(OR('WSF DASHBOARD'!$C$4="",ISNUMBER(SEARCH('WSF DASHBOARD'!$C$4,INDEX(MASTER_AREAS!$B:$B,1102)))),1101,""),""),IF('WSF DASHBOARD'!$B$4="Zone",IF(1101&lt;=$D$4,IF(OR('WSF DASHBOARD'!$C$4="",ISNUMBER(SEARCH('WSF DASHBOARD'!$C$4,INDEX(MASTER_ZONES!$B:$B,1102)))),1101,""),""),""))</f>
        <v/>
      </c>
      <c r="F1102">
        <f>IF('TRANSPORT DASHBOARD'!$B$4="Area",IF(1101&lt;=$I$3,IF(OR('TRANSPORT DASHBOARD'!$C$4="",ISNUMBER(SEARCH('TRANSPORT DASHBOARD'!$C$4,INDEX(MASTER_AREAS!$B:$B,1102)))),1101,""),""),IF('TRANSPORT DASHBOARD'!$B$4="Zone",IF(1101&lt;=$I$4,IF(OR('TRANSPORT DASHBOARD'!$C$4="",ISNUMBER(SEARCH('TRANSPORT DASHBOARD'!$C$4,INDEX(MASTER_ZONES!$B:$B,1102)))),1101,""),""),""))</f>
        <v/>
      </c>
    </row>
    <row r="1103">
      <c r="A1103">
        <f>IF('WSF DASHBOARD'!$B$4="Area",IF(1102&lt;=$D$3,IF(OR('WSF DASHBOARD'!$C$4="",ISNUMBER(SEARCH('WSF DASHBOARD'!$C$4,INDEX(MASTER_AREAS!$B:$B,1103)))),1102,""),""),IF('WSF DASHBOARD'!$B$4="Zone",IF(1102&lt;=$D$4,IF(OR('WSF DASHBOARD'!$C$4="",ISNUMBER(SEARCH('WSF DASHBOARD'!$C$4,INDEX(MASTER_ZONES!$B:$B,1103)))),1102,""),""),""))</f>
        <v/>
      </c>
      <c r="F1103">
        <f>IF('TRANSPORT DASHBOARD'!$B$4="Area",IF(1102&lt;=$I$3,IF(OR('TRANSPORT DASHBOARD'!$C$4="",ISNUMBER(SEARCH('TRANSPORT DASHBOARD'!$C$4,INDEX(MASTER_AREAS!$B:$B,1103)))),1102,""),""),IF('TRANSPORT DASHBOARD'!$B$4="Zone",IF(1102&lt;=$I$4,IF(OR('TRANSPORT DASHBOARD'!$C$4="",ISNUMBER(SEARCH('TRANSPORT DASHBOARD'!$C$4,INDEX(MASTER_ZONES!$B:$B,1103)))),1102,""),""),""))</f>
        <v/>
      </c>
    </row>
    <row r="1104">
      <c r="A1104">
        <f>IF('WSF DASHBOARD'!$B$4="Area",IF(1103&lt;=$D$3,IF(OR('WSF DASHBOARD'!$C$4="",ISNUMBER(SEARCH('WSF DASHBOARD'!$C$4,INDEX(MASTER_AREAS!$B:$B,1104)))),1103,""),""),IF('WSF DASHBOARD'!$B$4="Zone",IF(1103&lt;=$D$4,IF(OR('WSF DASHBOARD'!$C$4="",ISNUMBER(SEARCH('WSF DASHBOARD'!$C$4,INDEX(MASTER_ZONES!$B:$B,1104)))),1103,""),""),""))</f>
        <v/>
      </c>
      <c r="F1104">
        <f>IF('TRANSPORT DASHBOARD'!$B$4="Area",IF(1103&lt;=$I$3,IF(OR('TRANSPORT DASHBOARD'!$C$4="",ISNUMBER(SEARCH('TRANSPORT DASHBOARD'!$C$4,INDEX(MASTER_AREAS!$B:$B,1104)))),1103,""),""),IF('TRANSPORT DASHBOARD'!$B$4="Zone",IF(1103&lt;=$I$4,IF(OR('TRANSPORT DASHBOARD'!$C$4="",ISNUMBER(SEARCH('TRANSPORT DASHBOARD'!$C$4,INDEX(MASTER_ZONES!$B:$B,1104)))),1103,""),""),""))</f>
        <v/>
      </c>
    </row>
    <row r="1105">
      <c r="A1105">
        <f>IF('WSF DASHBOARD'!$B$4="Area",IF(1104&lt;=$D$3,IF(OR('WSF DASHBOARD'!$C$4="",ISNUMBER(SEARCH('WSF DASHBOARD'!$C$4,INDEX(MASTER_AREAS!$B:$B,1105)))),1104,""),""),IF('WSF DASHBOARD'!$B$4="Zone",IF(1104&lt;=$D$4,IF(OR('WSF DASHBOARD'!$C$4="",ISNUMBER(SEARCH('WSF DASHBOARD'!$C$4,INDEX(MASTER_ZONES!$B:$B,1105)))),1104,""),""),""))</f>
        <v/>
      </c>
      <c r="F1105">
        <f>IF('TRANSPORT DASHBOARD'!$B$4="Area",IF(1104&lt;=$I$3,IF(OR('TRANSPORT DASHBOARD'!$C$4="",ISNUMBER(SEARCH('TRANSPORT DASHBOARD'!$C$4,INDEX(MASTER_AREAS!$B:$B,1105)))),1104,""),""),IF('TRANSPORT DASHBOARD'!$B$4="Zone",IF(1104&lt;=$I$4,IF(OR('TRANSPORT DASHBOARD'!$C$4="",ISNUMBER(SEARCH('TRANSPORT DASHBOARD'!$C$4,INDEX(MASTER_ZONES!$B:$B,1105)))),1104,""),""),""))</f>
        <v/>
      </c>
    </row>
    <row r="1106">
      <c r="A1106">
        <f>IF('WSF DASHBOARD'!$B$4="Area",IF(1105&lt;=$D$3,IF(OR('WSF DASHBOARD'!$C$4="",ISNUMBER(SEARCH('WSF DASHBOARD'!$C$4,INDEX(MASTER_AREAS!$B:$B,1106)))),1105,""),""),IF('WSF DASHBOARD'!$B$4="Zone",IF(1105&lt;=$D$4,IF(OR('WSF DASHBOARD'!$C$4="",ISNUMBER(SEARCH('WSF DASHBOARD'!$C$4,INDEX(MASTER_ZONES!$B:$B,1106)))),1105,""),""),""))</f>
        <v/>
      </c>
      <c r="F1106">
        <f>IF('TRANSPORT DASHBOARD'!$B$4="Area",IF(1105&lt;=$I$3,IF(OR('TRANSPORT DASHBOARD'!$C$4="",ISNUMBER(SEARCH('TRANSPORT DASHBOARD'!$C$4,INDEX(MASTER_AREAS!$B:$B,1106)))),1105,""),""),IF('TRANSPORT DASHBOARD'!$B$4="Zone",IF(1105&lt;=$I$4,IF(OR('TRANSPORT DASHBOARD'!$C$4="",ISNUMBER(SEARCH('TRANSPORT DASHBOARD'!$C$4,INDEX(MASTER_ZONES!$B:$B,1106)))),1105,""),""),""))</f>
        <v/>
      </c>
    </row>
    <row r="1107">
      <c r="A1107">
        <f>IF('WSF DASHBOARD'!$B$4="Area",IF(1106&lt;=$D$3,IF(OR('WSF DASHBOARD'!$C$4="",ISNUMBER(SEARCH('WSF DASHBOARD'!$C$4,INDEX(MASTER_AREAS!$B:$B,1107)))),1106,""),""),IF('WSF DASHBOARD'!$B$4="Zone",IF(1106&lt;=$D$4,IF(OR('WSF DASHBOARD'!$C$4="",ISNUMBER(SEARCH('WSF DASHBOARD'!$C$4,INDEX(MASTER_ZONES!$B:$B,1107)))),1106,""),""),""))</f>
        <v/>
      </c>
      <c r="F1107">
        <f>IF('TRANSPORT DASHBOARD'!$B$4="Area",IF(1106&lt;=$I$3,IF(OR('TRANSPORT DASHBOARD'!$C$4="",ISNUMBER(SEARCH('TRANSPORT DASHBOARD'!$C$4,INDEX(MASTER_AREAS!$B:$B,1107)))),1106,""),""),IF('TRANSPORT DASHBOARD'!$B$4="Zone",IF(1106&lt;=$I$4,IF(OR('TRANSPORT DASHBOARD'!$C$4="",ISNUMBER(SEARCH('TRANSPORT DASHBOARD'!$C$4,INDEX(MASTER_ZONES!$B:$B,1107)))),1106,""),""),""))</f>
        <v/>
      </c>
    </row>
    <row r="1108">
      <c r="A1108">
        <f>IF('WSF DASHBOARD'!$B$4="Area",IF(1107&lt;=$D$3,IF(OR('WSF DASHBOARD'!$C$4="",ISNUMBER(SEARCH('WSF DASHBOARD'!$C$4,INDEX(MASTER_AREAS!$B:$B,1108)))),1107,""),""),IF('WSF DASHBOARD'!$B$4="Zone",IF(1107&lt;=$D$4,IF(OR('WSF DASHBOARD'!$C$4="",ISNUMBER(SEARCH('WSF DASHBOARD'!$C$4,INDEX(MASTER_ZONES!$B:$B,1108)))),1107,""),""),""))</f>
        <v/>
      </c>
      <c r="F1108">
        <f>IF('TRANSPORT DASHBOARD'!$B$4="Area",IF(1107&lt;=$I$3,IF(OR('TRANSPORT DASHBOARD'!$C$4="",ISNUMBER(SEARCH('TRANSPORT DASHBOARD'!$C$4,INDEX(MASTER_AREAS!$B:$B,1108)))),1107,""),""),IF('TRANSPORT DASHBOARD'!$B$4="Zone",IF(1107&lt;=$I$4,IF(OR('TRANSPORT DASHBOARD'!$C$4="",ISNUMBER(SEARCH('TRANSPORT DASHBOARD'!$C$4,INDEX(MASTER_ZONES!$B:$B,1108)))),1107,""),""),""))</f>
        <v/>
      </c>
    </row>
    <row r="1109">
      <c r="A1109">
        <f>IF('WSF DASHBOARD'!$B$4="Area",IF(1108&lt;=$D$3,IF(OR('WSF DASHBOARD'!$C$4="",ISNUMBER(SEARCH('WSF DASHBOARD'!$C$4,INDEX(MASTER_AREAS!$B:$B,1109)))),1108,""),""),IF('WSF DASHBOARD'!$B$4="Zone",IF(1108&lt;=$D$4,IF(OR('WSF DASHBOARD'!$C$4="",ISNUMBER(SEARCH('WSF DASHBOARD'!$C$4,INDEX(MASTER_ZONES!$B:$B,1109)))),1108,""),""),""))</f>
        <v/>
      </c>
      <c r="F1109">
        <f>IF('TRANSPORT DASHBOARD'!$B$4="Area",IF(1108&lt;=$I$3,IF(OR('TRANSPORT DASHBOARD'!$C$4="",ISNUMBER(SEARCH('TRANSPORT DASHBOARD'!$C$4,INDEX(MASTER_AREAS!$B:$B,1109)))),1108,""),""),IF('TRANSPORT DASHBOARD'!$B$4="Zone",IF(1108&lt;=$I$4,IF(OR('TRANSPORT DASHBOARD'!$C$4="",ISNUMBER(SEARCH('TRANSPORT DASHBOARD'!$C$4,INDEX(MASTER_ZONES!$B:$B,1109)))),1108,""),""),""))</f>
        <v/>
      </c>
    </row>
    <row r="1110">
      <c r="A1110">
        <f>IF('WSF DASHBOARD'!$B$4="Area",IF(1109&lt;=$D$3,IF(OR('WSF DASHBOARD'!$C$4="",ISNUMBER(SEARCH('WSF DASHBOARD'!$C$4,INDEX(MASTER_AREAS!$B:$B,1110)))),1109,""),""),IF('WSF DASHBOARD'!$B$4="Zone",IF(1109&lt;=$D$4,IF(OR('WSF DASHBOARD'!$C$4="",ISNUMBER(SEARCH('WSF DASHBOARD'!$C$4,INDEX(MASTER_ZONES!$B:$B,1110)))),1109,""),""),""))</f>
        <v/>
      </c>
      <c r="F1110">
        <f>IF('TRANSPORT DASHBOARD'!$B$4="Area",IF(1109&lt;=$I$3,IF(OR('TRANSPORT DASHBOARD'!$C$4="",ISNUMBER(SEARCH('TRANSPORT DASHBOARD'!$C$4,INDEX(MASTER_AREAS!$B:$B,1110)))),1109,""),""),IF('TRANSPORT DASHBOARD'!$B$4="Zone",IF(1109&lt;=$I$4,IF(OR('TRANSPORT DASHBOARD'!$C$4="",ISNUMBER(SEARCH('TRANSPORT DASHBOARD'!$C$4,INDEX(MASTER_ZONES!$B:$B,1110)))),1109,""),""),""))</f>
        <v/>
      </c>
    </row>
    <row r="1111">
      <c r="A1111">
        <f>IF('WSF DASHBOARD'!$B$4="Area",IF(1110&lt;=$D$3,IF(OR('WSF DASHBOARD'!$C$4="",ISNUMBER(SEARCH('WSF DASHBOARD'!$C$4,INDEX(MASTER_AREAS!$B:$B,1111)))),1110,""),""),IF('WSF DASHBOARD'!$B$4="Zone",IF(1110&lt;=$D$4,IF(OR('WSF DASHBOARD'!$C$4="",ISNUMBER(SEARCH('WSF DASHBOARD'!$C$4,INDEX(MASTER_ZONES!$B:$B,1111)))),1110,""),""),""))</f>
        <v/>
      </c>
      <c r="F1111">
        <f>IF('TRANSPORT DASHBOARD'!$B$4="Area",IF(1110&lt;=$I$3,IF(OR('TRANSPORT DASHBOARD'!$C$4="",ISNUMBER(SEARCH('TRANSPORT DASHBOARD'!$C$4,INDEX(MASTER_AREAS!$B:$B,1111)))),1110,""),""),IF('TRANSPORT DASHBOARD'!$B$4="Zone",IF(1110&lt;=$I$4,IF(OR('TRANSPORT DASHBOARD'!$C$4="",ISNUMBER(SEARCH('TRANSPORT DASHBOARD'!$C$4,INDEX(MASTER_ZONES!$B:$B,1111)))),1110,""),""),""))</f>
        <v/>
      </c>
    </row>
    <row r="1112">
      <c r="A1112">
        <f>IF('WSF DASHBOARD'!$B$4="Area",IF(1111&lt;=$D$3,IF(OR('WSF DASHBOARD'!$C$4="",ISNUMBER(SEARCH('WSF DASHBOARD'!$C$4,INDEX(MASTER_AREAS!$B:$B,1112)))),1111,""),""),IF('WSF DASHBOARD'!$B$4="Zone",IF(1111&lt;=$D$4,IF(OR('WSF DASHBOARD'!$C$4="",ISNUMBER(SEARCH('WSF DASHBOARD'!$C$4,INDEX(MASTER_ZONES!$B:$B,1112)))),1111,""),""),""))</f>
        <v/>
      </c>
      <c r="F1112">
        <f>IF('TRANSPORT DASHBOARD'!$B$4="Area",IF(1111&lt;=$I$3,IF(OR('TRANSPORT DASHBOARD'!$C$4="",ISNUMBER(SEARCH('TRANSPORT DASHBOARD'!$C$4,INDEX(MASTER_AREAS!$B:$B,1112)))),1111,""),""),IF('TRANSPORT DASHBOARD'!$B$4="Zone",IF(1111&lt;=$I$4,IF(OR('TRANSPORT DASHBOARD'!$C$4="",ISNUMBER(SEARCH('TRANSPORT DASHBOARD'!$C$4,INDEX(MASTER_ZONES!$B:$B,1112)))),1111,""),""),""))</f>
        <v/>
      </c>
    </row>
    <row r="1113">
      <c r="A1113">
        <f>IF('WSF DASHBOARD'!$B$4="Area",IF(1112&lt;=$D$3,IF(OR('WSF DASHBOARD'!$C$4="",ISNUMBER(SEARCH('WSF DASHBOARD'!$C$4,INDEX(MASTER_AREAS!$B:$B,1113)))),1112,""),""),IF('WSF DASHBOARD'!$B$4="Zone",IF(1112&lt;=$D$4,IF(OR('WSF DASHBOARD'!$C$4="",ISNUMBER(SEARCH('WSF DASHBOARD'!$C$4,INDEX(MASTER_ZONES!$B:$B,1113)))),1112,""),""),""))</f>
        <v/>
      </c>
      <c r="F1113">
        <f>IF('TRANSPORT DASHBOARD'!$B$4="Area",IF(1112&lt;=$I$3,IF(OR('TRANSPORT DASHBOARD'!$C$4="",ISNUMBER(SEARCH('TRANSPORT DASHBOARD'!$C$4,INDEX(MASTER_AREAS!$B:$B,1113)))),1112,""),""),IF('TRANSPORT DASHBOARD'!$B$4="Zone",IF(1112&lt;=$I$4,IF(OR('TRANSPORT DASHBOARD'!$C$4="",ISNUMBER(SEARCH('TRANSPORT DASHBOARD'!$C$4,INDEX(MASTER_ZONES!$B:$B,1113)))),1112,""),""),""))</f>
        <v/>
      </c>
    </row>
    <row r="1114">
      <c r="A1114">
        <f>IF('WSF DASHBOARD'!$B$4="Area",IF(1113&lt;=$D$3,IF(OR('WSF DASHBOARD'!$C$4="",ISNUMBER(SEARCH('WSF DASHBOARD'!$C$4,INDEX(MASTER_AREAS!$B:$B,1114)))),1113,""),""),IF('WSF DASHBOARD'!$B$4="Zone",IF(1113&lt;=$D$4,IF(OR('WSF DASHBOARD'!$C$4="",ISNUMBER(SEARCH('WSF DASHBOARD'!$C$4,INDEX(MASTER_ZONES!$B:$B,1114)))),1113,""),""),""))</f>
        <v/>
      </c>
      <c r="F1114">
        <f>IF('TRANSPORT DASHBOARD'!$B$4="Area",IF(1113&lt;=$I$3,IF(OR('TRANSPORT DASHBOARD'!$C$4="",ISNUMBER(SEARCH('TRANSPORT DASHBOARD'!$C$4,INDEX(MASTER_AREAS!$B:$B,1114)))),1113,""),""),IF('TRANSPORT DASHBOARD'!$B$4="Zone",IF(1113&lt;=$I$4,IF(OR('TRANSPORT DASHBOARD'!$C$4="",ISNUMBER(SEARCH('TRANSPORT DASHBOARD'!$C$4,INDEX(MASTER_ZONES!$B:$B,1114)))),1113,""),""),""))</f>
        <v/>
      </c>
    </row>
    <row r="1115">
      <c r="A1115">
        <f>IF('WSF DASHBOARD'!$B$4="Area",IF(1114&lt;=$D$3,IF(OR('WSF DASHBOARD'!$C$4="",ISNUMBER(SEARCH('WSF DASHBOARD'!$C$4,INDEX(MASTER_AREAS!$B:$B,1115)))),1114,""),""),IF('WSF DASHBOARD'!$B$4="Zone",IF(1114&lt;=$D$4,IF(OR('WSF DASHBOARD'!$C$4="",ISNUMBER(SEARCH('WSF DASHBOARD'!$C$4,INDEX(MASTER_ZONES!$B:$B,1115)))),1114,""),""),""))</f>
        <v/>
      </c>
      <c r="F1115">
        <f>IF('TRANSPORT DASHBOARD'!$B$4="Area",IF(1114&lt;=$I$3,IF(OR('TRANSPORT DASHBOARD'!$C$4="",ISNUMBER(SEARCH('TRANSPORT DASHBOARD'!$C$4,INDEX(MASTER_AREAS!$B:$B,1115)))),1114,""),""),IF('TRANSPORT DASHBOARD'!$B$4="Zone",IF(1114&lt;=$I$4,IF(OR('TRANSPORT DASHBOARD'!$C$4="",ISNUMBER(SEARCH('TRANSPORT DASHBOARD'!$C$4,INDEX(MASTER_ZONES!$B:$B,1115)))),1114,""),""),""))</f>
        <v/>
      </c>
    </row>
    <row r="1116">
      <c r="A1116">
        <f>IF('WSF DASHBOARD'!$B$4="Area",IF(1115&lt;=$D$3,IF(OR('WSF DASHBOARD'!$C$4="",ISNUMBER(SEARCH('WSF DASHBOARD'!$C$4,INDEX(MASTER_AREAS!$B:$B,1116)))),1115,""),""),IF('WSF DASHBOARD'!$B$4="Zone",IF(1115&lt;=$D$4,IF(OR('WSF DASHBOARD'!$C$4="",ISNUMBER(SEARCH('WSF DASHBOARD'!$C$4,INDEX(MASTER_ZONES!$B:$B,1116)))),1115,""),""),""))</f>
        <v/>
      </c>
      <c r="F1116">
        <f>IF('TRANSPORT DASHBOARD'!$B$4="Area",IF(1115&lt;=$I$3,IF(OR('TRANSPORT DASHBOARD'!$C$4="",ISNUMBER(SEARCH('TRANSPORT DASHBOARD'!$C$4,INDEX(MASTER_AREAS!$B:$B,1116)))),1115,""),""),IF('TRANSPORT DASHBOARD'!$B$4="Zone",IF(1115&lt;=$I$4,IF(OR('TRANSPORT DASHBOARD'!$C$4="",ISNUMBER(SEARCH('TRANSPORT DASHBOARD'!$C$4,INDEX(MASTER_ZONES!$B:$B,1116)))),1115,""),""),""))</f>
        <v/>
      </c>
    </row>
    <row r="1117">
      <c r="A1117">
        <f>IF('WSF DASHBOARD'!$B$4="Area",IF(1116&lt;=$D$3,IF(OR('WSF DASHBOARD'!$C$4="",ISNUMBER(SEARCH('WSF DASHBOARD'!$C$4,INDEX(MASTER_AREAS!$B:$B,1117)))),1116,""),""),IF('WSF DASHBOARD'!$B$4="Zone",IF(1116&lt;=$D$4,IF(OR('WSF DASHBOARD'!$C$4="",ISNUMBER(SEARCH('WSF DASHBOARD'!$C$4,INDEX(MASTER_ZONES!$B:$B,1117)))),1116,""),""),""))</f>
        <v/>
      </c>
      <c r="F1117">
        <f>IF('TRANSPORT DASHBOARD'!$B$4="Area",IF(1116&lt;=$I$3,IF(OR('TRANSPORT DASHBOARD'!$C$4="",ISNUMBER(SEARCH('TRANSPORT DASHBOARD'!$C$4,INDEX(MASTER_AREAS!$B:$B,1117)))),1116,""),""),IF('TRANSPORT DASHBOARD'!$B$4="Zone",IF(1116&lt;=$I$4,IF(OR('TRANSPORT DASHBOARD'!$C$4="",ISNUMBER(SEARCH('TRANSPORT DASHBOARD'!$C$4,INDEX(MASTER_ZONES!$B:$B,1117)))),1116,""),""),""))</f>
        <v/>
      </c>
    </row>
    <row r="1118">
      <c r="A1118">
        <f>IF('WSF DASHBOARD'!$B$4="Area",IF(1117&lt;=$D$3,IF(OR('WSF DASHBOARD'!$C$4="",ISNUMBER(SEARCH('WSF DASHBOARD'!$C$4,INDEX(MASTER_AREAS!$B:$B,1118)))),1117,""),""),IF('WSF DASHBOARD'!$B$4="Zone",IF(1117&lt;=$D$4,IF(OR('WSF DASHBOARD'!$C$4="",ISNUMBER(SEARCH('WSF DASHBOARD'!$C$4,INDEX(MASTER_ZONES!$B:$B,1118)))),1117,""),""),""))</f>
        <v/>
      </c>
      <c r="F1118">
        <f>IF('TRANSPORT DASHBOARD'!$B$4="Area",IF(1117&lt;=$I$3,IF(OR('TRANSPORT DASHBOARD'!$C$4="",ISNUMBER(SEARCH('TRANSPORT DASHBOARD'!$C$4,INDEX(MASTER_AREAS!$B:$B,1118)))),1117,""),""),IF('TRANSPORT DASHBOARD'!$B$4="Zone",IF(1117&lt;=$I$4,IF(OR('TRANSPORT DASHBOARD'!$C$4="",ISNUMBER(SEARCH('TRANSPORT DASHBOARD'!$C$4,INDEX(MASTER_ZONES!$B:$B,1118)))),1117,""),""),""))</f>
        <v/>
      </c>
    </row>
    <row r="1119">
      <c r="A1119">
        <f>IF('WSF DASHBOARD'!$B$4="Area",IF(1118&lt;=$D$3,IF(OR('WSF DASHBOARD'!$C$4="",ISNUMBER(SEARCH('WSF DASHBOARD'!$C$4,INDEX(MASTER_AREAS!$B:$B,1119)))),1118,""),""),IF('WSF DASHBOARD'!$B$4="Zone",IF(1118&lt;=$D$4,IF(OR('WSF DASHBOARD'!$C$4="",ISNUMBER(SEARCH('WSF DASHBOARD'!$C$4,INDEX(MASTER_ZONES!$B:$B,1119)))),1118,""),""),""))</f>
        <v/>
      </c>
      <c r="F1119">
        <f>IF('TRANSPORT DASHBOARD'!$B$4="Area",IF(1118&lt;=$I$3,IF(OR('TRANSPORT DASHBOARD'!$C$4="",ISNUMBER(SEARCH('TRANSPORT DASHBOARD'!$C$4,INDEX(MASTER_AREAS!$B:$B,1119)))),1118,""),""),IF('TRANSPORT DASHBOARD'!$B$4="Zone",IF(1118&lt;=$I$4,IF(OR('TRANSPORT DASHBOARD'!$C$4="",ISNUMBER(SEARCH('TRANSPORT DASHBOARD'!$C$4,INDEX(MASTER_ZONES!$B:$B,1119)))),1118,""),""),""))</f>
        <v/>
      </c>
    </row>
    <row r="1120">
      <c r="A1120">
        <f>IF('WSF DASHBOARD'!$B$4="Area",IF(1119&lt;=$D$3,IF(OR('WSF DASHBOARD'!$C$4="",ISNUMBER(SEARCH('WSF DASHBOARD'!$C$4,INDEX(MASTER_AREAS!$B:$B,1120)))),1119,""),""),IF('WSF DASHBOARD'!$B$4="Zone",IF(1119&lt;=$D$4,IF(OR('WSF DASHBOARD'!$C$4="",ISNUMBER(SEARCH('WSF DASHBOARD'!$C$4,INDEX(MASTER_ZONES!$B:$B,1120)))),1119,""),""),""))</f>
        <v/>
      </c>
      <c r="F1120">
        <f>IF('TRANSPORT DASHBOARD'!$B$4="Area",IF(1119&lt;=$I$3,IF(OR('TRANSPORT DASHBOARD'!$C$4="",ISNUMBER(SEARCH('TRANSPORT DASHBOARD'!$C$4,INDEX(MASTER_AREAS!$B:$B,1120)))),1119,""),""),IF('TRANSPORT DASHBOARD'!$B$4="Zone",IF(1119&lt;=$I$4,IF(OR('TRANSPORT DASHBOARD'!$C$4="",ISNUMBER(SEARCH('TRANSPORT DASHBOARD'!$C$4,INDEX(MASTER_ZONES!$B:$B,1120)))),1119,""),""),""))</f>
        <v/>
      </c>
    </row>
    <row r="1121">
      <c r="A1121">
        <f>IF('WSF DASHBOARD'!$B$4="Area",IF(1120&lt;=$D$3,IF(OR('WSF DASHBOARD'!$C$4="",ISNUMBER(SEARCH('WSF DASHBOARD'!$C$4,INDEX(MASTER_AREAS!$B:$B,1121)))),1120,""),""),IF('WSF DASHBOARD'!$B$4="Zone",IF(1120&lt;=$D$4,IF(OR('WSF DASHBOARD'!$C$4="",ISNUMBER(SEARCH('WSF DASHBOARD'!$C$4,INDEX(MASTER_ZONES!$B:$B,1121)))),1120,""),""),""))</f>
        <v/>
      </c>
      <c r="F1121">
        <f>IF('TRANSPORT DASHBOARD'!$B$4="Area",IF(1120&lt;=$I$3,IF(OR('TRANSPORT DASHBOARD'!$C$4="",ISNUMBER(SEARCH('TRANSPORT DASHBOARD'!$C$4,INDEX(MASTER_AREAS!$B:$B,1121)))),1120,""),""),IF('TRANSPORT DASHBOARD'!$B$4="Zone",IF(1120&lt;=$I$4,IF(OR('TRANSPORT DASHBOARD'!$C$4="",ISNUMBER(SEARCH('TRANSPORT DASHBOARD'!$C$4,INDEX(MASTER_ZONES!$B:$B,1121)))),1120,""),""),""))</f>
        <v/>
      </c>
    </row>
    <row r="1122">
      <c r="A1122">
        <f>IF('WSF DASHBOARD'!$B$4="Area",IF(1121&lt;=$D$3,IF(OR('WSF DASHBOARD'!$C$4="",ISNUMBER(SEARCH('WSF DASHBOARD'!$C$4,INDEX(MASTER_AREAS!$B:$B,1122)))),1121,""),""),IF('WSF DASHBOARD'!$B$4="Zone",IF(1121&lt;=$D$4,IF(OR('WSF DASHBOARD'!$C$4="",ISNUMBER(SEARCH('WSF DASHBOARD'!$C$4,INDEX(MASTER_ZONES!$B:$B,1122)))),1121,""),""),""))</f>
        <v/>
      </c>
      <c r="F1122">
        <f>IF('TRANSPORT DASHBOARD'!$B$4="Area",IF(1121&lt;=$I$3,IF(OR('TRANSPORT DASHBOARD'!$C$4="",ISNUMBER(SEARCH('TRANSPORT DASHBOARD'!$C$4,INDEX(MASTER_AREAS!$B:$B,1122)))),1121,""),""),IF('TRANSPORT DASHBOARD'!$B$4="Zone",IF(1121&lt;=$I$4,IF(OR('TRANSPORT DASHBOARD'!$C$4="",ISNUMBER(SEARCH('TRANSPORT DASHBOARD'!$C$4,INDEX(MASTER_ZONES!$B:$B,1122)))),1121,""),""),""))</f>
        <v/>
      </c>
    </row>
    <row r="1123">
      <c r="A1123">
        <f>IF('WSF DASHBOARD'!$B$4="Area",IF(1122&lt;=$D$3,IF(OR('WSF DASHBOARD'!$C$4="",ISNUMBER(SEARCH('WSF DASHBOARD'!$C$4,INDEX(MASTER_AREAS!$B:$B,1123)))),1122,""),""),IF('WSF DASHBOARD'!$B$4="Zone",IF(1122&lt;=$D$4,IF(OR('WSF DASHBOARD'!$C$4="",ISNUMBER(SEARCH('WSF DASHBOARD'!$C$4,INDEX(MASTER_ZONES!$B:$B,1123)))),1122,""),""),""))</f>
        <v/>
      </c>
      <c r="F1123">
        <f>IF('TRANSPORT DASHBOARD'!$B$4="Area",IF(1122&lt;=$I$3,IF(OR('TRANSPORT DASHBOARD'!$C$4="",ISNUMBER(SEARCH('TRANSPORT DASHBOARD'!$C$4,INDEX(MASTER_AREAS!$B:$B,1123)))),1122,""),""),IF('TRANSPORT DASHBOARD'!$B$4="Zone",IF(1122&lt;=$I$4,IF(OR('TRANSPORT DASHBOARD'!$C$4="",ISNUMBER(SEARCH('TRANSPORT DASHBOARD'!$C$4,INDEX(MASTER_ZONES!$B:$B,1123)))),1122,""),""),""))</f>
        <v/>
      </c>
    </row>
    <row r="1124">
      <c r="A1124">
        <f>IF('WSF DASHBOARD'!$B$4="Area",IF(1123&lt;=$D$3,IF(OR('WSF DASHBOARD'!$C$4="",ISNUMBER(SEARCH('WSF DASHBOARD'!$C$4,INDEX(MASTER_AREAS!$B:$B,1124)))),1123,""),""),IF('WSF DASHBOARD'!$B$4="Zone",IF(1123&lt;=$D$4,IF(OR('WSF DASHBOARD'!$C$4="",ISNUMBER(SEARCH('WSF DASHBOARD'!$C$4,INDEX(MASTER_ZONES!$B:$B,1124)))),1123,""),""),""))</f>
        <v/>
      </c>
      <c r="F1124">
        <f>IF('TRANSPORT DASHBOARD'!$B$4="Area",IF(1123&lt;=$I$3,IF(OR('TRANSPORT DASHBOARD'!$C$4="",ISNUMBER(SEARCH('TRANSPORT DASHBOARD'!$C$4,INDEX(MASTER_AREAS!$B:$B,1124)))),1123,""),""),IF('TRANSPORT DASHBOARD'!$B$4="Zone",IF(1123&lt;=$I$4,IF(OR('TRANSPORT DASHBOARD'!$C$4="",ISNUMBER(SEARCH('TRANSPORT DASHBOARD'!$C$4,INDEX(MASTER_ZONES!$B:$B,1124)))),1123,""),""),""))</f>
        <v/>
      </c>
    </row>
    <row r="1125">
      <c r="A1125">
        <f>IF('WSF DASHBOARD'!$B$4="Area",IF(1124&lt;=$D$3,IF(OR('WSF DASHBOARD'!$C$4="",ISNUMBER(SEARCH('WSF DASHBOARD'!$C$4,INDEX(MASTER_AREAS!$B:$B,1125)))),1124,""),""),IF('WSF DASHBOARD'!$B$4="Zone",IF(1124&lt;=$D$4,IF(OR('WSF DASHBOARD'!$C$4="",ISNUMBER(SEARCH('WSF DASHBOARD'!$C$4,INDEX(MASTER_ZONES!$B:$B,1125)))),1124,""),""),""))</f>
        <v/>
      </c>
      <c r="F1125">
        <f>IF('TRANSPORT DASHBOARD'!$B$4="Area",IF(1124&lt;=$I$3,IF(OR('TRANSPORT DASHBOARD'!$C$4="",ISNUMBER(SEARCH('TRANSPORT DASHBOARD'!$C$4,INDEX(MASTER_AREAS!$B:$B,1125)))),1124,""),""),IF('TRANSPORT DASHBOARD'!$B$4="Zone",IF(1124&lt;=$I$4,IF(OR('TRANSPORT DASHBOARD'!$C$4="",ISNUMBER(SEARCH('TRANSPORT DASHBOARD'!$C$4,INDEX(MASTER_ZONES!$B:$B,1125)))),1124,""),""),""))</f>
        <v/>
      </c>
    </row>
    <row r="1126">
      <c r="A1126">
        <f>IF('WSF DASHBOARD'!$B$4="Area",IF(1125&lt;=$D$3,IF(OR('WSF DASHBOARD'!$C$4="",ISNUMBER(SEARCH('WSF DASHBOARD'!$C$4,INDEX(MASTER_AREAS!$B:$B,1126)))),1125,""),""),IF('WSF DASHBOARD'!$B$4="Zone",IF(1125&lt;=$D$4,IF(OR('WSF DASHBOARD'!$C$4="",ISNUMBER(SEARCH('WSF DASHBOARD'!$C$4,INDEX(MASTER_ZONES!$B:$B,1126)))),1125,""),""),""))</f>
        <v/>
      </c>
      <c r="F1126">
        <f>IF('TRANSPORT DASHBOARD'!$B$4="Area",IF(1125&lt;=$I$3,IF(OR('TRANSPORT DASHBOARD'!$C$4="",ISNUMBER(SEARCH('TRANSPORT DASHBOARD'!$C$4,INDEX(MASTER_AREAS!$B:$B,1126)))),1125,""),""),IF('TRANSPORT DASHBOARD'!$B$4="Zone",IF(1125&lt;=$I$4,IF(OR('TRANSPORT DASHBOARD'!$C$4="",ISNUMBER(SEARCH('TRANSPORT DASHBOARD'!$C$4,INDEX(MASTER_ZONES!$B:$B,1126)))),1125,""),""),""))</f>
        <v/>
      </c>
    </row>
    <row r="1127">
      <c r="A1127">
        <f>IF('WSF DASHBOARD'!$B$4="Area",IF(1126&lt;=$D$3,IF(OR('WSF DASHBOARD'!$C$4="",ISNUMBER(SEARCH('WSF DASHBOARD'!$C$4,INDEX(MASTER_AREAS!$B:$B,1127)))),1126,""),""),IF('WSF DASHBOARD'!$B$4="Zone",IF(1126&lt;=$D$4,IF(OR('WSF DASHBOARD'!$C$4="",ISNUMBER(SEARCH('WSF DASHBOARD'!$C$4,INDEX(MASTER_ZONES!$B:$B,1127)))),1126,""),""),""))</f>
        <v/>
      </c>
      <c r="F1127">
        <f>IF('TRANSPORT DASHBOARD'!$B$4="Area",IF(1126&lt;=$I$3,IF(OR('TRANSPORT DASHBOARD'!$C$4="",ISNUMBER(SEARCH('TRANSPORT DASHBOARD'!$C$4,INDEX(MASTER_AREAS!$B:$B,1127)))),1126,""),""),IF('TRANSPORT DASHBOARD'!$B$4="Zone",IF(1126&lt;=$I$4,IF(OR('TRANSPORT DASHBOARD'!$C$4="",ISNUMBER(SEARCH('TRANSPORT DASHBOARD'!$C$4,INDEX(MASTER_ZONES!$B:$B,1127)))),1126,""),""),""))</f>
        <v/>
      </c>
    </row>
    <row r="1128">
      <c r="A1128">
        <f>IF('WSF DASHBOARD'!$B$4="Area",IF(1127&lt;=$D$3,IF(OR('WSF DASHBOARD'!$C$4="",ISNUMBER(SEARCH('WSF DASHBOARD'!$C$4,INDEX(MASTER_AREAS!$B:$B,1128)))),1127,""),""),IF('WSF DASHBOARD'!$B$4="Zone",IF(1127&lt;=$D$4,IF(OR('WSF DASHBOARD'!$C$4="",ISNUMBER(SEARCH('WSF DASHBOARD'!$C$4,INDEX(MASTER_ZONES!$B:$B,1128)))),1127,""),""),""))</f>
        <v/>
      </c>
      <c r="F1128">
        <f>IF('TRANSPORT DASHBOARD'!$B$4="Area",IF(1127&lt;=$I$3,IF(OR('TRANSPORT DASHBOARD'!$C$4="",ISNUMBER(SEARCH('TRANSPORT DASHBOARD'!$C$4,INDEX(MASTER_AREAS!$B:$B,1128)))),1127,""),""),IF('TRANSPORT DASHBOARD'!$B$4="Zone",IF(1127&lt;=$I$4,IF(OR('TRANSPORT DASHBOARD'!$C$4="",ISNUMBER(SEARCH('TRANSPORT DASHBOARD'!$C$4,INDEX(MASTER_ZONES!$B:$B,1128)))),1127,""),""),""))</f>
        <v/>
      </c>
    </row>
    <row r="1129">
      <c r="A1129">
        <f>IF('WSF DASHBOARD'!$B$4="Area",IF(1128&lt;=$D$3,IF(OR('WSF DASHBOARD'!$C$4="",ISNUMBER(SEARCH('WSF DASHBOARD'!$C$4,INDEX(MASTER_AREAS!$B:$B,1129)))),1128,""),""),IF('WSF DASHBOARD'!$B$4="Zone",IF(1128&lt;=$D$4,IF(OR('WSF DASHBOARD'!$C$4="",ISNUMBER(SEARCH('WSF DASHBOARD'!$C$4,INDEX(MASTER_ZONES!$B:$B,1129)))),1128,""),""),""))</f>
        <v/>
      </c>
      <c r="F1129">
        <f>IF('TRANSPORT DASHBOARD'!$B$4="Area",IF(1128&lt;=$I$3,IF(OR('TRANSPORT DASHBOARD'!$C$4="",ISNUMBER(SEARCH('TRANSPORT DASHBOARD'!$C$4,INDEX(MASTER_AREAS!$B:$B,1129)))),1128,""),""),IF('TRANSPORT DASHBOARD'!$B$4="Zone",IF(1128&lt;=$I$4,IF(OR('TRANSPORT DASHBOARD'!$C$4="",ISNUMBER(SEARCH('TRANSPORT DASHBOARD'!$C$4,INDEX(MASTER_ZONES!$B:$B,1129)))),1128,""),""),""))</f>
        <v/>
      </c>
    </row>
    <row r="1130">
      <c r="A1130">
        <f>IF('WSF DASHBOARD'!$B$4="Area",IF(1129&lt;=$D$3,IF(OR('WSF DASHBOARD'!$C$4="",ISNUMBER(SEARCH('WSF DASHBOARD'!$C$4,INDEX(MASTER_AREAS!$B:$B,1130)))),1129,""),""),IF('WSF DASHBOARD'!$B$4="Zone",IF(1129&lt;=$D$4,IF(OR('WSF DASHBOARD'!$C$4="",ISNUMBER(SEARCH('WSF DASHBOARD'!$C$4,INDEX(MASTER_ZONES!$B:$B,1130)))),1129,""),""),""))</f>
        <v/>
      </c>
      <c r="F1130">
        <f>IF('TRANSPORT DASHBOARD'!$B$4="Area",IF(1129&lt;=$I$3,IF(OR('TRANSPORT DASHBOARD'!$C$4="",ISNUMBER(SEARCH('TRANSPORT DASHBOARD'!$C$4,INDEX(MASTER_AREAS!$B:$B,1130)))),1129,""),""),IF('TRANSPORT DASHBOARD'!$B$4="Zone",IF(1129&lt;=$I$4,IF(OR('TRANSPORT DASHBOARD'!$C$4="",ISNUMBER(SEARCH('TRANSPORT DASHBOARD'!$C$4,INDEX(MASTER_ZONES!$B:$B,1130)))),1129,""),""),""))</f>
        <v/>
      </c>
    </row>
    <row r="1131">
      <c r="A1131">
        <f>IF('WSF DASHBOARD'!$B$4="Area",IF(1130&lt;=$D$3,IF(OR('WSF DASHBOARD'!$C$4="",ISNUMBER(SEARCH('WSF DASHBOARD'!$C$4,INDEX(MASTER_AREAS!$B:$B,1131)))),1130,""),""),IF('WSF DASHBOARD'!$B$4="Zone",IF(1130&lt;=$D$4,IF(OR('WSF DASHBOARD'!$C$4="",ISNUMBER(SEARCH('WSF DASHBOARD'!$C$4,INDEX(MASTER_ZONES!$B:$B,1131)))),1130,""),""),""))</f>
        <v/>
      </c>
      <c r="F1131">
        <f>IF('TRANSPORT DASHBOARD'!$B$4="Area",IF(1130&lt;=$I$3,IF(OR('TRANSPORT DASHBOARD'!$C$4="",ISNUMBER(SEARCH('TRANSPORT DASHBOARD'!$C$4,INDEX(MASTER_AREAS!$B:$B,1131)))),1130,""),""),IF('TRANSPORT DASHBOARD'!$B$4="Zone",IF(1130&lt;=$I$4,IF(OR('TRANSPORT DASHBOARD'!$C$4="",ISNUMBER(SEARCH('TRANSPORT DASHBOARD'!$C$4,INDEX(MASTER_ZONES!$B:$B,1131)))),1130,""),""),""))</f>
        <v/>
      </c>
    </row>
    <row r="1132">
      <c r="A1132">
        <f>IF('WSF DASHBOARD'!$B$4="Area",IF(1131&lt;=$D$3,IF(OR('WSF DASHBOARD'!$C$4="",ISNUMBER(SEARCH('WSF DASHBOARD'!$C$4,INDEX(MASTER_AREAS!$B:$B,1132)))),1131,""),""),IF('WSF DASHBOARD'!$B$4="Zone",IF(1131&lt;=$D$4,IF(OR('WSF DASHBOARD'!$C$4="",ISNUMBER(SEARCH('WSF DASHBOARD'!$C$4,INDEX(MASTER_ZONES!$B:$B,1132)))),1131,""),""),""))</f>
        <v/>
      </c>
      <c r="F1132">
        <f>IF('TRANSPORT DASHBOARD'!$B$4="Area",IF(1131&lt;=$I$3,IF(OR('TRANSPORT DASHBOARD'!$C$4="",ISNUMBER(SEARCH('TRANSPORT DASHBOARD'!$C$4,INDEX(MASTER_AREAS!$B:$B,1132)))),1131,""),""),IF('TRANSPORT DASHBOARD'!$B$4="Zone",IF(1131&lt;=$I$4,IF(OR('TRANSPORT DASHBOARD'!$C$4="",ISNUMBER(SEARCH('TRANSPORT DASHBOARD'!$C$4,INDEX(MASTER_ZONES!$B:$B,1132)))),1131,""),""),""))</f>
        <v/>
      </c>
    </row>
    <row r="1133">
      <c r="A1133">
        <f>IF('WSF DASHBOARD'!$B$4="Area",IF(1132&lt;=$D$3,IF(OR('WSF DASHBOARD'!$C$4="",ISNUMBER(SEARCH('WSF DASHBOARD'!$C$4,INDEX(MASTER_AREAS!$B:$B,1133)))),1132,""),""),IF('WSF DASHBOARD'!$B$4="Zone",IF(1132&lt;=$D$4,IF(OR('WSF DASHBOARD'!$C$4="",ISNUMBER(SEARCH('WSF DASHBOARD'!$C$4,INDEX(MASTER_ZONES!$B:$B,1133)))),1132,""),""),""))</f>
        <v/>
      </c>
      <c r="F1133">
        <f>IF('TRANSPORT DASHBOARD'!$B$4="Area",IF(1132&lt;=$I$3,IF(OR('TRANSPORT DASHBOARD'!$C$4="",ISNUMBER(SEARCH('TRANSPORT DASHBOARD'!$C$4,INDEX(MASTER_AREAS!$B:$B,1133)))),1132,""),""),IF('TRANSPORT DASHBOARD'!$B$4="Zone",IF(1132&lt;=$I$4,IF(OR('TRANSPORT DASHBOARD'!$C$4="",ISNUMBER(SEARCH('TRANSPORT DASHBOARD'!$C$4,INDEX(MASTER_ZONES!$B:$B,1133)))),1132,""),""),""))</f>
        <v/>
      </c>
    </row>
    <row r="1134">
      <c r="A1134">
        <f>IF('WSF DASHBOARD'!$B$4="Area",IF(1133&lt;=$D$3,IF(OR('WSF DASHBOARD'!$C$4="",ISNUMBER(SEARCH('WSF DASHBOARD'!$C$4,INDEX(MASTER_AREAS!$B:$B,1134)))),1133,""),""),IF('WSF DASHBOARD'!$B$4="Zone",IF(1133&lt;=$D$4,IF(OR('WSF DASHBOARD'!$C$4="",ISNUMBER(SEARCH('WSF DASHBOARD'!$C$4,INDEX(MASTER_ZONES!$B:$B,1134)))),1133,""),""),""))</f>
        <v/>
      </c>
      <c r="F1134">
        <f>IF('TRANSPORT DASHBOARD'!$B$4="Area",IF(1133&lt;=$I$3,IF(OR('TRANSPORT DASHBOARD'!$C$4="",ISNUMBER(SEARCH('TRANSPORT DASHBOARD'!$C$4,INDEX(MASTER_AREAS!$B:$B,1134)))),1133,""),""),IF('TRANSPORT DASHBOARD'!$B$4="Zone",IF(1133&lt;=$I$4,IF(OR('TRANSPORT DASHBOARD'!$C$4="",ISNUMBER(SEARCH('TRANSPORT DASHBOARD'!$C$4,INDEX(MASTER_ZONES!$B:$B,1134)))),1133,""),""),""))</f>
        <v/>
      </c>
    </row>
    <row r="1135">
      <c r="A1135">
        <f>IF('WSF DASHBOARD'!$B$4="Area",IF(1134&lt;=$D$3,IF(OR('WSF DASHBOARD'!$C$4="",ISNUMBER(SEARCH('WSF DASHBOARD'!$C$4,INDEX(MASTER_AREAS!$B:$B,1135)))),1134,""),""),IF('WSF DASHBOARD'!$B$4="Zone",IF(1134&lt;=$D$4,IF(OR('WSF DASHBOARD'!$C$4="",ISNUMBER(SEARCH('WSF DASHBOARD'!$C$4,INDEX(MASTER_ZONES!$B:$B,1135)))),1134,""),""),""))</f>
        <v/>
      </c>
      <c r="F1135">
        <f>IF('TRANSPORT DASHBOARD'!$B$4="Area",IF(1134&lt;=$I$3,IF(OR('TRANSPORT DASHBOARD'!$C$4="",ISNUMBER(SEARCH('TRANSPORT DASHBOARD'!$C$4,INDEX(MASTER_AREAS!$B:$B,1135)))),1134,""),""),IF('TRANSPORT DASHBOARD'!$B$4="Zone",IF(1134&lt;=$I$4,IF(OR('TRANSPORT DASHBOARD'!$C$4="",ISNUMBER(SEARCH('TRANSPORT DASHBOARD'!$C$4,INDEX(MASTER_ZONES!$B:$B,1135)))),1134,""),""),""))</f>
        <v/>
      </c>
    </row>
    <row r="1136">
      <c r="A1136">
        <f>IF('WSF DASHBOARD'!$B$4="Area",IF(1135&lt;=$D$3,IF(OR('WSF DASHBOARD'!$C$4="",ISNUMBER(SEARCH('WSF DASHBOARD'!$C$4,INDEX(MASTER_AREAS!$B:$B,1136)))),1135,""),""),IF('WSF DASHBOARD'!$B$4="Zone",IF(1135&lt;=$D$4,IF(OR('WSF DASHBOARD'!$C$4="",ISNUMBER(SEARCH('WSF DASHBOARD'!$C$4,INDEX(MASTER_ZONES!$B:$B,1136)))),1135,""),""),""))</f>
        <v/>
      </c>
      <c r="F1136">
        <f>IF('TRANSPORT DASHBOARD'!$B$4="Area",IF(1135&lt;=$I$3,IF(OR('TRANSPORT DASHBOARD'!$C$4="",ISNUMBER(SEARCH('TRANSPORT DASHBOARD'!$C$4,INDEX(MASTER_AREAS!$B:$B,1136)))),1135,""),""),IF('TRANSPORT DASHBOARD'!$B$4="Zone",IF(1135&lt;=$I$4,IF(OR('TRANSPORT DASHBOARD'!$C$4="",ISNUMBER(SEARCH('TRANSPORT DASHBOARD'!$C$4,INDEX(MASTER_ZONES!$B:$B,1136)))),1135,""),""),""))</f>
        <v/>
      </c>
    </row>
    <row r="1137">
      <c r="A1137">
        <f>IF('WSF DASHBOARD'!$B$4="Area",IF(1136&lt;=$D$3,IF(OR('WSF DASHBOARD'!$C$4="",ISNUMBER(SEARCH('WSF DASHBOARD'!$C$4,INDEX(MASTER_AREAS!$B:$B,1137)))),1136,""),""),IF('WSF DASHBOARD'!$B$4="Zone",IF(1136&lt;=$D$4,IF(OR('WSF DASHBOARD'!$C$4="",ISNUMBER(SEARCH('WSF DASHBOARD'!$C$4,INDEX(MASTER_ZONES!$B:$B,1137)))),1136,""),""),""))</f>
        <v/>
      </c>
      <c r="F1137">
        <f>IF('TRANSPORT DASHBOARD'!$B$4="Area",IF(1136&lt;=$I$3,IF(OR('TRANSPORT DASHBOARD'!$C$4="",ISNUMBER(SEARCH('TRANSPORT DASHBOARD'!$C$4,INDEX(MASTER_AREAS!$B:$B,1137)))),1136,""),""),IF('TRANSPORT DASHBOARD'!$B$4="Zone",IF(1136&lt;=$I$4,IF(OR('TRANSPORT DASHBOARD'!$C$4="",ISNUMBER(SEARCH('TRANSPORT DASHBOARD'!$C$4,INDEX(MASTER_ZONES!$B:$B,1137)))),1136,""),""),""))</f>
        <v/>
      </c>
    </row>
    <row r="1138">
      <c r="A1138">
        <f>IF('WSF DASHBOARD'!$B$4="Area",IF(1137&lt;=$D$3,IF(OR('WSF DASHBOARD'!$C$4="",ISNUMBER(SEARCH('WSF DASHBOARD'!$C$4,INDEX(MASTER_AREAS!$B:$B,1138)))),1137,""),""),IF('WSF DASHBOARD'!$B$4="Zone",IF(1137&lt;=$D$4,IF(OR('WSF DASHBOARD'!$C$4="",ISNUMBER(SEARCH('WSF DASHBOARD'!$C$4,INDEX(MASTER_ZONES!$B:$B,1138)))),1137,""),""),""))</f>
        <v/>
      </c>
      <c r="F1138">
        <f>IF('TRANSPORT DASHBOARD'!$B$4="Area",IF(1137&lt;=$I$3,IF(OR('TRANSPORT DASHBOARD'!$C$4="",ISNUMBER(SEARCH('TRANSPORT DASHBOARD'!$C$4,INDEX(MASTER_AREAS!$B:$B,1138)))),1137,""),""),IF('TRANSPORT DASHBOARD'!$B$4="Zone",IF(1137&lt;=$I$4,IF(OR('TRANSPORT DASHBOARD'!$C$4="",ISNUMBER(SEARCH('TRANSPORT DASHBOARD'!$C$4,INDEX(MASTER_ZONES!$B:$B,1138)))),1137,""),""),""))</f>
        <v/>
      </c>
    </row>
    <row r="1139">
      <c r="A1139">
        <f>IF('WSF DASHBOARD'!$B$4="Area",IF(1138&lt;=$D$3,IF(OR('WSF DASHBOARD'!$C$4="",ISNUMBER(SEARCH('WSF DASHBOARD'!$C$4,INDEX(MASTER_AREAS!$B:$B,1139)))),1138,""),""),IF('WSF DASHBOARD'!$B$4="Zone",IF(1138&lt;=$D$4,IF(OR('WSF DASHBOARD'!$C$4="",ISNUMBER(SEARCH('WSF DASHBOARD'!$C$4,INDEX(MASTER_ZONES!$B:$B,1139)))),1138,""),""),""))</f>
        <v/>
      </c>
      <c r="F1139">
        <f>IF('TRANSPORT DASHBOARD'!$B$4="Area",IF(1138&lt;=$I$3,IF(OR('TRANSPORT DASHBOARD'!$C$4="",ISNUMBER(SEARCH('TRANSPORT DASHBOARD'!$C$4,INDEX(MASTER_AREAS!$B:$B,1139)))),1138,""),""),IF('TRANSPORT DASHBOARD'!$B$4="Zone",IF(1138&lt;=$I$4,IF(OR('TRANSPORT DASHBOARD'!$C$4="",ISNUMBER(SEARCH('TRANSPORT DASHBOARD'!$C$4,INDEX(MASTER_ZONES!$B:$B,1139)))),1138,""),""),""))</f>
        <v/>
      </c>
    </row>
    <row r="1140">
      <c r="A1140">
        <f>IF('WSF DASHBOARD'!$B$4="Area",IF(1139&lt;=$D$3,IF(OR('WSF DASHBOARD'!$C$4="",ISNUMBER(SEARCH('WSF DASHBOARD'!$C$4,INDEX(MASTER_AREAS!$B:$B,1140)))),1139,""),""),IF('WSF DASHBOARD'!$B$4="Zone",IF(1139&lt;=$D$4,IF(OR('WSF DASHBOARD'!$C$4="",ISNUMBER(SEARCH('WSF DASHBOARD'!$C$4,INDEX(MASTER_ZONES!$B:$B,1140)))),1139,""),""),""))</f>
        <v/>
      </c>
      <c r="F1140">
        <f>IF('TRANSPORT DASHBOARD'!$B$4="Area",IF(1139&lt;=$I$3,IF(OR('TRANSPORT DASHBOARD'!$C$4="",ISNUMBER(SEARCH('TRANSPORT DASHBOARD'!$C$4,INDEX(MASTER_AREAS!$B:$B,1140)))),1139,""),""),IF('TRANSPORT DASHBOARD'!$B$4="Zone",IF(1139&lt;=$I$4,IF(OR('TRANSPORT DASHBOARD'!$C$4="",ISNUMBER(SEARCH('TRANSPORT DASHBOARD'!$C$4,INDEX(MASTER_ZONES!$B:$B,1140)))),1139,""),""),""))</f>
        <v/>
      </c>
    </row>
    <row r="1141">
      <c r="A1141">
        <f>IF('WSF DASHBOARD'!$B$4="Area",IF(1140&lt;=$D$3,IF(OR('WSF DASHBOARD'!$C$4="",ISNUMBER(SEARCH('WSF DASHBOARD'!$C$4,INDEX(MASTER_AREAS!$B:$B,1141)))),1140,""),""),IF('WSF DASHBOARD'!$B$4="Zone",IF(1140&lt;=$D$4,IF(OR('WSF DASHBOARD'!$C$4="",ISNUMBER(SEARCH('WSF DASHBOARD'!$C$4,INDEX(MASTER_ZONES!$B:$B,1141)))),1140,""),""),""))</f>
        <v/>
      </c>
      <c r="F1141">
        <f>IF('TRANSPORT DASHBOARD'!$B$4="Area",IF(1140&lt;=$I$3,IF(OR('TRANSPORT DASHBOARD'!$C$4="",ISNUMBER(SEARCH('TRANSPORT DASHBOARD'!$C$4,INDEX(MASTER_AREAS!$B:$B,1141)))),1140,""),""),IF('TRANSPORT DASHBOARD'!$B$4="Zone",IF(1140&lt;=$I$4,IF(OR('TRANSPORT DASHBOARD'!$C$4="",ISNUMBER(SEARCH('TRANSPORT DASHBOARD'!$C$4,INDEX(MASTER_ZONES!$B:$B,1141)))),1140,""),""),""))</f>
        <v/>
      </c>
    </row>
    <row r="1142">
      <c r="A1142">
        <f>IF('WSF DASHBOARD'!$B$4="Area",IF(1141&lt;=$D$3,IF(OR('WSF DASHBOARD'!$C$4="",ISNUMBER(SEARCH('WSF DASHBOARD'!$C$4,INDEX(MASTER_AREAS!$B:$B,1142)))),1141,""),""),IF('WSF DASHBOARD'!$B$4="Zone",IF(1141&lt;=$D$4,IF(OR('WSF DASHBOARD'!$C$4="",ISNUMBER(SEARCH('WSF DASHBOARD'!$C$4,INDEX(MASTER_ZONES!$B:$B,1142)))),1141,""),""),""))</f>
        <v/>
      </c>
      <c r="F1142">
        <f>IF('TRANSPORT DASHBOARD'!$B$4="Area",IF(1141&lt;=$I$3,IF(OR('TRANSPORT DASHBOARD'!$C$4="",ISNUMBER(SEARCH('TRANSPORT DASHBOARD'!$C$4,INDEX(MASTER_AREAS!$B:$B,1142)))),1141,""),""),IF('TRANSPORT DASHBOARD'!$B$4="Zone",IF(1141&lt;=$I$4,IF(OR('TRANSPORT DASHBOARD'!$C$4="",ISNUMBER(SEARCH('TRANSPORT DASHBOARD'!$C$4,INDEX(MASTER_ZONES!$B:$B,1142)))),1141,""),""),""))</f>
        <v/>
      </c>
    </row>
    <row r="1143">
      <c r="A1143">
        <f>IF('WSF DASHBOARD'!$B$4="Area",IF(1142&lt;=$D$3,IF(OR('WSF DASHBOARD'!$C$4="",ISNUMBER(SEARCH('WSF DASHBOARD'!$C$4,INDEX(MASTER_AREAS!$B:$B,1143)))),1142,""),""),IF('WSF DASHBOARD'!$B$4="Zone",IF(1142&lt;=$D$4,IF(OR('WSF DASHBOARD'!$C$4="",ISNUMBER(SEARCH('WSF DASHBOARD'!$C$4,INDEX(MASTER_ZONES!$B:$B,1143)))),1142,""),""),""))</f>
        <v/>
      </c>
      <c r="F1143">
        <f>IF('TRANSPORT DASHBOARD'!$B$4="Area",IF(1142&lt;=$I$3,IF(OR('TRANSPORT DASHBOARD'!$C$4="",ISNUMBER(SEARCH('TRANSPORT DASHBOARD'!$C$4,INDEX(MASTER_AREAS!$B:$B,1143)))),1142,""),""),IF('TRANSPORT DASHBOARD'!$B$4="Zone",IF(1142&lt;=$I$4,IF(OR('TRANSPORT DASHBOARD'!$C$4="",ISNUMBER(SEARCH('TRANSPORT DASHBOARD'!$C$4,INDEX(MASTER_ZONES!$B:$B,1143)))),1142,""),""),""))</f>
        <v/>
      </c>
    </row>
    <row r="1144">
      <c r="A1144">
        <f>IF('WSF DASHBOARD'!$B$4="Area",IF(1143&lt;=$D$3,IF(OR('WSF DASHBOARD'!$C$4="",ISNUMBER(SEARCH('WSF DASHBOARD'!$C$4,INDEX(MASTER_AREAS!$B:$B,1144)))),1143,""),""),IF('WSF DASHBOARD'!$B$4="Zone",IF(1143&lt;=$D$4,IF(OR('WSF DASHBOARD'!$C$4="",ISNUMBER(SEARCH('WSF DASHBOARD'!$C$4,INDEX(MASTER_ZONES!$B:$B,1144)))),1143,""),""),""))</f>
        <v/>
      </c>
      <c r="F1144">
        <f>IF('TRANSPORT DASHBOARD'!$B$4="Area",IF(1143&lt;=$I$3,IF(OR('TRANSPORT DASHBOARD'!$C$4="",ISNUMBER(SEARCH('TRANSPORT DASHBOARD'!$C$4,INDEX(MASTER_AREAS!$B:$B,1144)))),1143,""),""),IF('TRANSPORT DASHBOARD'!$B$4="Zone",IF(1143&lt;=$I$4,IF(OR('TRANSPORT DASHBOARD'!$C$4="",ISNUMBER(SEARCH('TRANSPORT DASHBOARD'!$C$4,INDEX(MASTER_ZONES!$B:$B,1144)))),1143,""),""),""))</f>
        <v/>
      </c>
    </row>
    <row r="1145">
      <c r="A1145">
        <f>IF('WSF DASHBOARD'!$B$4="Area",IF(1144&lt;=$D$3,IF(OR('WSF DASHBOARD'!$C$4="",ISNUMBER(SEARCH('WSF DASHBOARD'!$C$4,INDEX(MASTER_AREAS!$B:$B,1145)))),1144,""),""),IF('WSF DASHBOARD'!$B$4="Zone",IF(1144&lt;=$D$4,IF(OR('WSF DASHBOARD'!$C$4="",ISNUMBER(SEARCH('WSF DASHBOARD'!$C$4,INDEX(MASTER_ZONES!$B:$B,1145)))),1144,""),""),""))</f>
        <v/>
      </c>
      <c r="F1145">
        <f>IF('TRANSPORT DASHBOARD'!$B$4="Area",IF(1144&lt;=$I$3,IF(OR('TRANSPORT DASHBOARD'!$C$4="",ISNUMBER(SEARCH('TRANSPORT DASHBOARD'!$C$4,INDEX(MASTER_AREAS!$B:$B,1145)))),1144,""),""),IF('TRANSPORT DASHBOARD'!$B$4="Zone",IF(1144&lt;=$I$4,IF(OR('TRANSPORT DASHBOARD'!$C$4="",ISNUMBER(SEARCH('TRANSPORT DASHBOARD'!$C$4,INDEX(MASTER_ZONES!$B:$B,1145)))),1144,""),""),""))</f>
        <v/>
      </c>
    </row>
    <row r="1146">
      <c r="A1146">
        <f>IF('WSF DASHBOARD'!$B$4="Area",IF(1145&lt;=$D$3,IF(OR('WSF DASHBOARD'!$C$4="",ISNUMBER(SEARCH('WSF DASHBOARD'!$C$4,INDEX(MASTER_AREAS!$B:$B,1146)))),1145,""),""),IF('WSF DASHBOARD'!$B$4="Zone",IF(1145&lt;=$D$4,IF(OR('WSF DASHBOARD'!$C$4="",ISNUMBER(SEARCH('WSF DASHBOARD'!$C$4,INDEX(MASTER_ZONES!$B:$B,1146)))),1145,""),""),""))</f>
        <v/>
      </c>
      <c r="F1146">
        <f>IF('TRANSPORT DASHBOARD'!$B$4="Area",IF(1145&lt;=$I$3,IF(OR('TRANSPORT DASHBOARD'!$C$4="",ISNUMBER(SEARCH('TRANSPORT DASHBOARD'!$C$4,INDEX(MASTER_AREAS!$B:$B,1146)))),1145,""),""),IF('TRANSPORT DASHBOARD'!$B$4="Zone",IF(1145&lt;=$I$4,IF(OR('TRANSPORT DASHBOARD'!$C$4="",ISNUMBER(SEARCH('TRANSPORT DASHBOARD'!$C$4,INDEX(MASTER_ZONES!$B:$B,1146)))),1145,""),""),""))</f>
        <v/>
      </c>
    </row>
    <row r="1147">
      <c r="A1147">
        <f>IF('WSF DASHBOARD'!$B$4="Area",IF(1146&lt;=$D$3,IF(OR('WSF DASHBOARD'!$C$4="",ISNUMBER(SEARCH('WSF DASHBOARD'!$C$4,INDEX(MASTER_AREAS!$B:$B,1147)))),1146,""),""),IF('WSF DASHBOARD'!$B$4="Zone",IF(1146&lt;=$D$4,IF(OR('WSF DASHBOARD'!$C$4="",ISNUMBER(SEARCH('WSF DASHBOARD'!$C$4,INDEX(MASTER_ZONES!$B:$B,1147)))),1146,""),""),""))</f>
        <v/>
      </c>
      <c r="F1147">
        <f>IF('TRANSPORT DASHBOARD'!$B$4="Area",IF(1146&lt;=$I$3,IF(OR('TRANSPORT DASHBOARD'!$C$4="",ISNUMBER(SEARCH('TRANSPORT DASHBOARD'!$C$4,INDEX(MASTER_AREAS!$B:$B,1147)))),1146,""),""),IF('TRANSPORT DASHBOARD'!$B$4="Zone",IF(1146&lt;=$I$4,IF(OR('TRANSPORT DASHBOARD'!$C$4="",ISNUMBER(SEARCH('TRANSPORT DASHBOARD'!$C$4,INDEX(MASTER_ZONES!$B:$B,1147)))),1146,""),""),""))</f>
        <v/>
      </c>
    </row>
    <row r="1148">
      <c r="A1148">
        <f>IF('WSF DASHBOARD'!$B$4="Area",IF(1147&lt;=$D$3,IF(OR('WSF DASHBOARD'!$C$4="",ISNUMBER(SEARCH('WSF DASHBOARD'!$C$4,INDEX(MASTER_AREAS!$B:$B,1148)))),1147,""),""),IF('WSF DASHBOARD'!$B$4="Zone",IF(1147&lt;=$D$4,IF(OR('WSF DASHBOARD'!$C$4="",ISNUMBER(SEARCH('WSF DASHBOARD'!$C$4,INDEX(MASTER_ZONES!$B:$B,1148)))),1147,""),""),""))</f>
        <v/>
      </c>
      <c r="F1148">
        <f>IF('TRANSPORT DASHBOARD'!$B$4="Area",IF(1147&lt;=$I$3,IF(OR('TRANSPORT DASHBOARD'!$C$4="",ISNUMBER(SEARCH('TRANSPORT DASHBOARD'!$C$4,INDEX(MASTER_AREAS!$B:$B,1148)))),1147,""),""),IF('TRANSPORT DASHBOARD'!$B$4="Zone",IF(1147&lt;=$I$4,IF(OR('TRANSPORT DASHBOARD'!$C$4="",ISNUMBER(SEARCH('TRANSPORT DASHBOARD'!$C$4,INDEX(MASTER_ZONES!$B:$B,1148)))),1147,""),""),""))</f>
        <v/>
      </c>
    </row>
    <row r="1149">
      <c r="A1149">
        <f>IF('WSF DASHBOARD'!$B$4="Area",IF(1148&lt;=$D$3,IF(OR('WSF DASHBOARD'!$C$4="",ISNUMBER(SEARCH('WSF DASHBOARD'!$C$4,INDEX(MASTER_AREAS!$B:$B,1149)))),1148,""),""),IF('WSF DASHBOARD'!$B$4="Zone",IF(1148&lt;=$D$4,IF(OR('WSF DASHBOARD'!$C$4="",ISNUMBER(SEARCH('WSF DASHBOARD'!$C$4,INDEX(MASTER_ZONES!$B:$B,1149)))),1148,""),""),""))</f>
        <v/>
      </c>
      <c r="F1149">
        <f>IF('TRANSPORT DASHBOARD'!$B$4="Area",IF(1148&lt;=$I$3,IF(OR('TRANSPORT DASHBOARD'!$C$4="",ISNUMBER(SEARCH('TRANSPORT DASHBOARD'!$C$4,INDEX(MASTER_AREAS!$B:$B,1149)))),1148,""),""),IF('TRANSPORT DASHBOARD'!$B$4="Zone",IF(1148&lt;=$I$4,IF(OR('TRANSPORT DASHBOARD'!$C$4="",ISNUMBER(SEARCH('TRANSPORT DASHBOARD'!$C$4,INDEX(MASTER_ZONES!$B:$B,1149)))),1148,""),""),""))</f>
        <v/>
      </c>
    </row>
    <row r="1150">
      <c r="A1150">
        <f>IF('WSF DASHBOARD'!$B$4="Area",IF(1149&lt;=$D$3,IF(OR('WSF DASHBOARD'!$C$4="",ISNUMBER(SEARCH('WSF DASHBOARD'!$C$4,INDEX(MASTER_AREAS!$B:$B,1150)))),1149,""),""),IF('WSF DASHBOARD'!$B$4="Zone",IF(1149&lt;=$D$4,IF(OR('WSF DASHBOARD'!$C$4="",ISNUMBER(SEARCH('WSF DASHBOARD'!$C$4,INDEX(MASTER_ZONES!$B:$B,1150)))),1149,""),""),""))</f>
        <v/>
      </c>
      <c r="F1150">
        <f>IF('TRANSPORT DASHBOARD'!$B$4="Area",IF(1149&lt;=$I$3,IF(OR('TRANSPORT DASHBOARD'!$C$4="",ISNUMBER(SEARCH('TRANSPORT DASHBOARD'!$C$4,INDEX(MASTER_AREAS!$B:$B,1150)))),1149,""),""),IF('TRANSPORT DASHBOARD'!$B$4="Zone",IF(1149&lt;=$I$4,IF(OR('TRANSPORT DASHBOARD'!$C$4="",ISNUMBER(SEARCH('TRANSPORT DASHBOARD'!$C$4,INDEX(MASTER_ZONES!$B:$B,1150)))),1149,""),""),""))</f>
        <v/>
      </c>
    </row>
    <row r="1151">
      <c r="A1151">
        <f>IF('WSF DASHBOARD'!$B$4="Area",IF(1150&lt;=$D$3,IF(OR('WSF DASHBOARD'!$C$4="",ISNUMBER(SEARCH('WSF DASHBOARD'!$C$4,INDEX(MASTER_AREAS!$B:$B,1151)))),1150,""),""),IF('WSF DASHBOARD'!$B$4="Zone",IF(1150&lt;=$D$4,IF(OR('WSF DASHBOARD'!$C$4="",ISNUMBER(SEARCH('WSF DASHBOARD'!$C$4,INDEX(MASTER_ZONES!$B:$B,1151)))),1150,""),""),""))</f>
        <v/>
      </c>
      <c r="F1151">
        <f>IF('TRANSPORT DASHBOARD'!$B$4="Area",IF(1150&lt;=$I$3,IF(OR('TRANSPORT DASHBOARD'!$C$4="",ISNUMBER(SEARCH('TRANSPORT DASHBOARD'!$C$4,INDEX(MASTER_AREAS!$B:$B,1151)))),1150,""),""),IF('TRANSPORT DASHBOARD'!$B$4="Zone",IF(1150&lt;=$I$4,IF(OR('TRANSPORT DASHBOARD'!$C$4="",ISNUMBER(SEARCH('TRANSPORT DASHBOARD'!$C$4,INDEX(MASTER_ZONES!$B:$B,1151)))),1150,""),""),""))</f>
        <v/>
      </c>
    </row>
    <row r="1152">
      <c r="A1152">
        <f>IF('WSF DASHBOARD'!$B$4="Area",IF(1151&lt;=$D$3,IF(OR('WSF DASHBOARD'!$C$4="",ISNUMBER(SEARCH('WSF DASHBOARD'!$C$4,INDEX(MASTER_AREAS!$B:$B,1152)))),1151,""),""),IF('WSF DASHBOARD'!$B$4="Zone",IF(1151&lt;=$D$4,IF(OR('WSF DASHBOARD'!$C$4="",ISNUMBER(SEARCH('WSF DASHBOARD'!$C$4,INDEX(MASTER_ZONES!$B:$B,1152)))),1151,""),""),""))</f>
        <v/>
      </c>
      <c r="F1152">
        <f>IF('TRANSPORT DASHBOARD'!$B$4="Area",IF(1151&lt;=$I$3,IF(OR('TRANSPORT DASHBOARD'!$C$4="",ISNUMBER(SEARCH('TRANSPORT DASHBOARD'!$C$4,INDEX(MASTER_AREAS!$B:$B,1152)))),1151,""),""),IF('TRANSPORT DASHBOARD'!$B$4="Zone",IF(1151&lt;=$I$4,IF(OR('TRANSPORT DASHBOARD'!$C$4="",ISNUMBER(SEARCH('TRANSPORT DASHBOARD'!$C$4,INDEX(MASTER_ZONES!$B:$B,1152)))),1151,""),""),""))</f>
        <v/>
      </c>
    </row>
    <row r="1153">
      <c r="A1153">
        <f>IF('WSF DASHBOARD'!$B$4="Area",IF(1152&lt;=$D$3,IF(OR('WSF DASHBOARD'!$C$4="",ISNUMBER(SEARCH('WSF DASHBOARD'!$C$4,INDEX(MASTER_AREAS!$B:$B,1153)))),1152,""),""),IF('WSF DASHBOARD'!$B$4="Zone",IF(1152&lt;=$D$4,IF(OR('WSF DASHBOARD'!$C$4="",ISNUMBER(SEARCH('WSF DASHBOARD'!$C$4,INDEX(MASTER_ZONES!$B:$B,1153)))),1152,""),""),""))</f>
        <v/>
      </c>
      <c r="F1153">
        <f>IF('TRANSPORT DASHBOARD'!$B$4="Area",IF(1152&lt;=$I$3,IF(OR('TRANSPORT DASHBOARD'!$C$4="",ISNUMBER(SEARCH('TRANSPORT DASHBOARD'!$C$4,INDEX(MASTER_AREAS!$B:$B,1153)))),1152,""),""),IF('TRANSPORT DASHBOARD'!$B$4="Zone",IF(1152&lt;=$I$4,IF(OR('TRANSPORT DASHBOARD'!$C$4="",ISNUMBER(SEARCH('TRANSPORT DASHBOARD'!$C$4,INDEX(MASTER_ZONES!$B:$B,1153)))),1152,""),""),""))</f>
        <v/>
      </c>
    </row>
    <row r="1154">
      <c r="A1154">
        <f>IF('WSF DASHBOARD'!$B$4="Area",IF(1153&lt;=$D$3,IF(OR('WSF DASHBOARD'!$C$4="",ISNUMBER(SEARCH('WSF DASHBOARD'!$C$4,INDEX(MASTER_AREAS!$B:$B,1154)))),1153,""),""),IF('WSF DASHBOARD'!$B$4="Zone",IF(1153&lt;=$D$4,IF(OR('WSF DASHBOARD'!$C$4="",ISNUMBER(SEARCH('WSF DASHBOARD'!$C$4,INDEX(MASTER_ZONES!$B:$B,1154)))),1153,""),""),""))</f>
        <v/>
      </c>
      <c r="F1154">
        <f>IF('TRANSPORT DASHBOARD'!$B$4="Area",IF(1153&lt;=$I$3,IF(OR('TRANSPORT DASHBOARD'!$C$4="",ISNUMBER(SEARCH('TRANSPORT DASHBOARD'!$C$4,INDEX(MASTER_AREAS!$B:$B,1154)))),1153,""),""),IF('TRANSPORT DASHBOARD'!$B$4="Zone",IF(1153&lt;=$I$4,IF(OR('TRANSPORT DASHBOARD'!$C$4="",ISNUMBER(SEARCH('TRANSPORT DASHBOARD'!$C$4,INDEX(MASTER_ZONES!$B:$B,1154)))),1153,""),""),""))</f>
        <v/>
      </c>
    </row>
    <row r="1155">
      <c r="A1155">
        <f>IF('WSF DASHBOARD'!$B$4="Area",IF(1154&lt;=$D$3,IF(OR('WSF DASHBOARD'!$C$4="",ISNUMBER(SEARCH('WSF DASHBOARD'!$C$4,INDEX(MASTER_AREAS!$B:$B,1155)))),1154,""),""),IF('WSF DASHBOARD'!$B$4="Zone",IF(1154&lt;=$D$4,IF(OR('WSF DASHBOARD'!$C$4="",ISNUMBER(SEARCH('WSF DASHBOARD'!$C$4,INDEX(MASTER_ZONES!$B:$B,1155)))),1154,""),""),""))</f>
        <v/>
      </c>
      <c r="F1155">
        <f>IF('TRANSPORT DASHBOARD'!$B$4="Area",IF(1154&lt;=$I$3,IF(OR('TRANSPORT DASHBOARD'!$C$4="",ISNUMBER(SEARCH('TRANSPORT DASHBOARD'!$C$4,INDEX(MASTER_AREAS!$B:$B,1155)))),1154,""),""),IF('TRANSPORT DASHBOARD'!$B$4="Zone",IF(1154&lt;=$I$4,IF(OR('TRANSPORT DASHBOARD'!$C$4="",ISNUMBER(SEARCH('TRANSPORT DASHBOARD'!$C$4,INDEX(MASTER_ZONES!$B:$B,1155)))),1154,""),""),""))</f>
        <v/>
      </c>
    </row>
    <row r="1156">
      <c r="A1156">
        <f>IF('WSF DASHBOARD'!$B$4="Area",IF(1155&lt;=$D$3,IF(OR('WSF DASHBOARD'!$C$4="",ISNUMBER(SEARCH('WSF DASHBOARD'!$C$4,INDEX(MASTER_AREAS!$B:$B,1156)))),1155,""),""),IF('WSF DASHBOARD'!$B$4="Zone",IF(1155&lt;=$D$4,IF(OR('WSF DASHBOARD'!$C$4="",ISNUMBER(SEARCH('WSF DASHBOARD'!$C$4,INDEX(MASTER_ZONES!$B:$B,1156)))),1155,""),""),""))</f>
        <v/>
      </c>
      <c r="F1156">
        <f>IF('TRANSPORT DASHBOARD'!$B$4="Area",IF(1155&lt;=$I$3,IF(OR('TRANSPORT DASHBOARD'!$C$4="",ISNUMBER(SEARCH('TRANSPORT DASHBOARD'!$C$4,INDEX(MASTER_AREAS!$B:$B,1156)))),1155,""),""),IF('TRANSPORT DASHBOARD'!$B$4="Zone",IF(1155&lt;=$I$4,IF(OR('TRANSPORT DASHBOARD'!$C$4="",ISNUMBER(SEARCH('TRANSPORT DASHBOARD'!$C$4,INDEX(MASTER_ZONES!$B:$B,1156)))),1155,""),""),""))</f>
        <v/>
      </c>
    </row>
    <row r="1157">
      <c r="A1157">
        <f>IF('WSF DASHBOARD'!$B$4="Area",IF(1156&lt;=$D$3,IF(OR('WSF DASHBOARD'!$C$4="",ISNUMBER(SEARCH('WSF DASHBOARD'!$C$4,INDEX(MASTER_AREAS!$B:$B,1157)))),1156,""),""),IF('WSF DASHBOARD'!$B$4="Zone",IF(1156&lt;=$D$4,IF(OR('WSF DASHBOARD'!$C$4="",ISNUMBER(SEARCH('WSF DASHBOARD'!$C$4,INDEX(MASTER_ZONES!$B:$B,1157)))),1156,""),""),""))</f>
        <v/>
      </c>
      <c r="F1157">
        <f>IF('TRANSPORT DASHBOARD'!$B$4="Area",IF(1156&lt;=$I$3,IF(OR('TRANSPORT DASHBOARD'!$C$4="",ISNUMBER(SEARCH('TRANSPORT DASHBOARD'!$C$4,INDEX(MASTER_AREAS!$B:$B,1157)))),1156,""),""),IF('TRANSPORT DASHBOARD'!$B$4="Zone",IF(1156&lt;=$I$4,IF(OR('TRANSPORT DASHBOARD'!$C$4="",ISNUMBER(SEARCH('TRANSPORT DASHBOARD'!$C$4,INDEX(MASTER_ZONES!$B:$B,1157)))),1156,""),""),""))</f>
        <v/>
      </c>
    </row>
    <row r="1158">
      <c r="A1158">
        <f>IF('WSF DASHBOARD'!$B$4="Area",IF(1157&lt;=$D$3,IF(OR('WSF DASHBOARD'!$C$4="",ISNUMBER(SEARCH('WSF DASHBOARD'!$C$4,INDEX(MASTER_AREAS!$B:$B,1158)))),1157,""),""),IF('WSF DASHBOARD'!$B$4="Zone",IF(1157&lt;=$D$4,IF(OR('WSF DASHBOARD'!$C$4="",ISNUMBER(SEARCH('WSF DASHBOARD'!$C$4,INDEX(MASTER_ZONES!$B:$B,1158)))),1157,""),""),""))</f>
        <v/>
      </c>
      <c r="F1158">
        <f>IF('TRANSPORT DASHBOARD'!$B$4="Area",IF(1157&lt;=$I$3,IF(OR('TRANSPORT DASHBOARD'!$C$4="",ISNUMBER(SEARCH('TRANSPORT DASHBOARD'!$C$4,INDEX(MASTER_AREAS!$B:$B,1158)))),1157,""),""),IF('TRANSPORT DASHBOARD'!$B$4="Zone",IF(1157&lt;=$I$4,IF(OR('TRANSPORT DASHBOARD'!$C$4="",ISNUMBER(SEARCH('TRANSPORT DASHBOARD'!$C$4,INDEX(MASTER_ZONES!$B:$B,1158)))),1157,""),""),""))</f>
        <v/>
      </c>
    </row>
    <row r="1159">
      <c r="A1159">
        <f>IF('WSF DASHBOARD'!$B$4="Area",IF(1158&lt;=$D$3,IF(OR('WSF DASHBOARD'!$C$4="",ISNUMBER(SEARCH('WSF DASHBOARD'!$C$4,INDEX(MASTER_AREAS!$B:$B,1159)))),1158,""),""),IF('WSF DASHBOARD'!$B$4="Zone",IF(1158&lt;=$D$4,IF(OR('WSF DASHBOARD'!$C$4="",ISNUMBER(SEARCH('WSF DASHBOARD'!$C$4,INDEX(MASTER_ZONES!$B:$B,1159)))),1158,""),""),""))</f>
        <v/>
      </c>
      <c r="F1159">
        <f>IF('TRANSPORT DASHBOARD'!$B$4="Area",IF(1158&lt;=$I$3,IF(OR('TRANSPORT DASHBOARD'!$C$4="",ISNUMBER(SEARCH('TRANSPORT DASHBOARD'!$C$4,INDEX(MASTER_AREAS!$B:$B,1159)))),1158,""),""),IF('TRANSPORT DASHBOARD'!$B$4="Zone",IF(1158&lt;=$I$4,IF(OR('TRANSPORT DASHBOARD'!$C$4="",ISNUMBER(SEARCH('TRANSPORT DASHBOARD'!$C$4,INDEX(MASTER_ZONES!$B:$B,1159)))),1158,""),""),""))</f>
        <v/>
      </c>
    </row>
    <row r="1160">
      <c r="A1160">
        <f>IF('WSF DASHBOARD'!$B$4="Area",IF(1159&lt;=$D$3,IF(OR('WSF DASHBOARD'!$C$4="",ISNUMBER(SEARCH('WSF DASHBOARD'!$C$4,INDEX(MASTER_AREAS!$B:$B,1160)))),1159,""),""),IF('WSF DASHBOARD'!$B$4="Zone",IF(1159&lt;=$D$4,IF(OR('WSF DASHBOARD'!$C$4="",ISNUMBER(SEARCH('WSF DASHBOARD'!$C$4,INDEX(MASTER_ZONES!$B:$B,1160)))),1159,""),""),""))</f>
        <v/>
      </c>
      <c r="F1160">
        <f>IF('TRANSPORT DASHBOARD'!$B$4="Area",IF(1159&lt;=$I$3,IF(OR('TRANSPORT DASHBOARD'!$C$4="",ISNUMBER(SEARCH('TRANSPORT DASHBOARD'!$C$4,INDEX(MASTER_AREAS!$B:$B,1160)))),1159,""),""),IF('TRANSPORT DASHBOARD'!$B$4="Zone",IF(1159&lt;=$I$4,IF(OR('TRANSPORT DASHBOARD'!$C$4="",ISNUMBER(SEARCH('TRANSPORT DASHBOARD'!$C$4,INDEX(MASTER_ZONES!$B:$B,1160)))),1159,""),""),""))</f>
        <v/>
      </c>
    </row>
    <row r="1161">
      <c r="A1161">
        <f>IF('WSF DASHBOARD'!$B$4="Area",IF(1160&lt;=$D$3,IF(OR('WSF DASHBOARD'!$C$4="",ISNUMBER(SEARCH('WSF DASHBOARD'!$C$4,INDEX(MASTER_AREAS!$B:$B,1161)))),1160,""),""),IF('WSF DASHBOARD'!$B$4="Zone",IF(1160&lt;=$D$4,IF(OR('WSF DASHBOARD'!$C$4="",ISNUMBER(SEARCH('WSF DASHBOARD'!$C$4,INDEX(MASTER_ZONES!$B:$B,1161)))),1160,""),""),""))</f>
        <v/>
      </c>
      <c r="F1161">
        <f>IF('TRANSPORT DASHBOARD'!$B$4="Area",IF(1160&lt;=$I$3,IF(OR('TRANSPORT DASHBOARD'!$C$4="",ISNUMBER(SEARCH('TRANSPORT DASHBOARD'!$C$4,INDEX(MASTER_AREAS!$B:$B,1161)))),1160,""),""),IF('TRANSPORT DASHBOARD'!$B$4="Zone",IF(1160&lt;=$I$4,IF(OR('TRANSPORT DASHBOARD'!$C$4="",ISNUMBER(SEARCH('TRANSPORT DASHBOARD'!$C$4,INDEX(MASTER_ZONES!$B:$B,1161)))),1160,""),""),""))</f>
        <v/>
      </c>
    </row>
    <row r="1162">
      <c r="A1162">
        <f>IF('WSF DASHBOARD'!$B$4="Area",IF(1161&lt;=$D$3,IF(OR('WSF DASHBOARD'!$C$4="",ISNUMBER(SEARCH('WSF DASHBOARD'!$C$4,INDEX(MASTER_AREAS!$B:$B,1162)))),1161,""),""),IF('WSF DASHBOARD'!$B$4="Zone",IF(1161&lt;=$D$4,IF(OR('WSF DASHBOARD'!$C$4="",ISNUMBER(SEARCH('WSF DASHBOARD'!$C$4,INDEX(MASTER_ZONES!$B:$B,1162)))),1161,""),""),""))</f>
        <v/>
      </c>
      <c r="F1162">
        <f>IF('TRANSPORT DASHBOARD'!$B$4="Area",IF(1161&lt;=$I$3,IF(OR('TRANSPORT DASHBOARD'!$C$4="",ISNUMBER(SEARCH('TRANSPORT DASHBOARD'!$C$4,INDEX(MASTER_AREAS!$B:$B,1162)))),1161,""),""),IF('TRANSPORT DASHBOARD'!$B$4="Zone",IF(1161&lt;=$I$4,IF(OR('TRANSPORT DASHBOARD'!$C$4="",ISNUMBER(SEARCH('TRANSPORT DASHBOARD'!$C$4,INDEX(MASTER_ZONES!$B:$B,1162)))),1161,""),""),""))</f>
        <v/>
      </c>
    </row>
    <row r="1163">
      <c r="A1163">
        <f>IF('WSF DASHBOARD'!$B$4="Area",IF(1162&lt;=$D$3,IF(OR('WSF DASHBOARD'!$C$4="",ISNUMBER(SEARCH('WSF DASHBOARD'!$C$4,INDEX(MASTER_AREAS!$B:$B,1163)))),1162,""),""),IF('WSF DASHBOARD'!$B$4="Zone",IF(1162&lt;=$D$4,IF(OR('WSF DASHBOARD'!$C$4="",ISNUMBER(SEARCH('WSF DASHBOARD'!$C$4,INDEX(MASTER_ZONES!$B:$B,1163)))),1162,""),""),""))</f>
        <v/>
      </c>
      <c r="F1163">
        <f>IF('TRANSPORT DASHBOARD'!$B$4="Area",IF(1162&lt;=$I$3,IF(OR('TRANSPORT DASHBOARD'!$C$4="",ISNUMBER(SEARCH('TRANSPORT DASHBOARD'!$C$4,INDEX(MASTER_AREAS!$B:$B,1163)))),1162,""),""),IF('TRANSPORT DASHBOARD'!$B$4="Zone",IF(1162&lt;=$I$4,IF(OR('TRANSPORT DASHBOARD'!$C$4="",ISNUMBER(SEARCH('TRANSPORT DASHBOARD'!$C$4,INDEX(MASTER_ZONES!$B:$B,1163)))),1162,""),""),""))</f>
        <v/>
      </c>
    </row>
    <row r="1164">
      <c r="A1164">
        <f>IF('WSF DASHBOARD'!$B$4="Area",IF(1163&lt;=$D$3,IF(OR('WSF DASHBOARD'!$C$4="",ISNUMBER(SEARCH('WSF DASHBOARD'!$C$4,INDEX(MASTER_AREAS!$B:$B,1164)))),1163,""),""),IF('WSF DASHBOARD'!$B$4="Zone",IF(1163&lt;=$D$4,IF(OR('WSF DASHBOARD'!$C$4="",ISNUMBER(SEARCH('WSF DASHBOARD'!$C$4,INDEX(MASTER_ZONES!$B:$B,1164)))),1163,""),""),""))</f>
        <v/>
      </c>
      <c r="F1164">
        <f>IF('TRANSPORT DASHBOARD'!$B$4="Area",IF(1163&lt;=$I$3,IF(OR('TRANSPORT DASHBOARD'!$C$4="",ISNUMBER(SEARCH('TRANSPORT DASHBOARD'!$C$4,INDEX(MASTER_AREAS!$B:$B,1164)))),1163,""),""),IF('TRANSPORT DASHBOARD'!$B$4="Zone",IF(1163&lt;=$I$4,IF(OR('TRANSPORT DASHBOARD'!$C$4="",ISNUMBER(SEARCH('TRANSPORT DASHBOARD'!$C$4,INDEX(MASTER_ZONES!$B:$B,1164)))),1163,""),""),""))</f>
        <v/>
      </c>
    </row>
    <row r="1165">
      <c r="A1165">
        <f>IF('WSF DASHBOARD'!$B$4="Area",IF(1164&lt;=$D$3,IF(OR('WSF DASHBOARD'!$C$4="",ISNUMBER(SEARCH('WSF DASHBOARD'!$C$4,INDEX(MASTER_AREAS!$B:$B,1165)))),1164,""),""),IF('WSF DASHBOARD'!$B$4="Zone",IF(1164&lt;=$D$4,IF(OR('WSF DASHBOARD'!$C$4="",ISNUMBER(SEARCH('WSF DASHBOARD'!$C$4,INDEX(MASTER_ZONES!$B:$B,1165)))),1164,""),""),""))</f>
        <v/>
      </c>
      <c r="F1165">
        <f>IF('TRANSPORT DASHBOARD'!$B$4="Area",IF(1164&lt;=$I$3,IF(OR('TRANSPORT DASHBOARD'!$C$4="",ISNUMBER(SEARCH('TRANSPORT DASHBOARD'!$C$4,INDEX(MASTER_AREAS!$B:$B,1165)))),1164,""),""),IF('TRANSPORT DASHBOARD'!$B$4="Zone",IF(1164&lt;=$I$4,IF(OR('TRANSPORT DASHBOARD'!$C$4="",ISNUMBER(SEARCH('TRANSPORT DASHBOARD'!$C$4,INDEX(MASTER_ZONES!$B:$B,1165)))),1164,""),""),""))</f>
        <v/>
      </c>
    </row>
    <row r="1166">
      <c r="A1166">
        <f>IF('WSF DASHBOARD'!$B$4="Area",IF(1165&lt;=$D$3,IF(OR('WSF DASHBOARD'!$C$4="",ISNUMBER(SEARCH('WSF DASHBOARD'!$C$4,INDEX(MASTER_AREAS!$B:$B,1166)))),1165,""),""),IF('WSF DASHBOARD'!$B$4="Zone",IF(1165&lt;=$D$4,IF(OR('WSF DASHBOARD'!$C$4="",ISNUMBER(SEARCH('WSF DASHBOARD'!$C$4,INDEX(MASTER_ZONES!$B:$B,1166)))),1165,""),""),""))</f>
        <v/>
      </c>
      <c r="F1166">
        <f>IF('TRANSPORT DASHBOARD'!$B$4="Area",IF(1165&lt;=$I$3,IF(OR('TRANSPORT DASHBOARD'!$C$4="",ISNUMBER(SEARCH('TRANSPORT DASHBOARD'!$C$4,INDEX(MASTER_AREAS!$B:$B,1166)))),1165,""),""),IF('TRANSPORT DASHBOARD'!$B$4="Zone",IF(1165&lt;=$I$4,IF(OR('TRANSPORT DASHBOARD'!$C$4="",ISNUMBER(SEARCH('TRANSPORT DASHBOARD'!$C$4,INDEX(MASTER_ZONES!$B:$B,1166)))),1165,""),""),""))</f>
        <v/>
      </c>
    </row>
    <row r="1167">
      <c r="A1167">
        <f>IF('WSF DASHBOARD'!$B$4="Area",IF(1166&lt;=$D$3,IF(OR('WSF DASHBOARD'!$C$4="",ISNUMBER(SEARCH('WSF DASHBOARD'!$C$4,INDEX(MASTER_AREAS!$B:$B,1167)))),1166,""),""),IF('WSF DASHBOARD'!$B$4="Zone",IF(1166&lt;=$D$4,IF(OR('WSF DASHBOARD'!$C$4="",ISNUMBER(SEARCH('WSF DASHBOARD'!$C$4,INDEX(MASTER_ZONES!$B:$B,1167)))),1166,""),""),""))</f>
        <v/>
      </c>
      <c r="F1167">
        <f>IF('TRANSPORT DASHBOARD'!$B$4="Area",IF(1166&lt;=$I$3,IF(OR('TRANSPORT DASHBOARD'!$C$4="",ISNUMBER(SEARCH('TRANSPORT DASHBOARD'!$C$4,INDEX(MASTER_AREAS!$B:$B,1167)))),1166,""),""),IF('TRANSPORT DASHBOARD'!$B$4="Zone",IF(1166&lt;=$I$4,IF(OR('TRANSPORT DASHBOARD'!$C$4="",ISNUMBER(SEARCH('TRANSPORT DASHBOARD'!$C$4,INDEX(MASTER_ZONES!$B:$B,1167)))),1166,""),""),""))</f>
        <v/>
      </c>
    </row>
    <row r="1168">
      <c r="A1168">
        <f>IF('WSF DASHBOARD'!$B$4="Area",IF(1167&lt;=$D$3,IF(OR('WSF DASHBOARD'!$C$4="",ISNUMBER(SEARCH('WSF DASHBOARD'!$C$4,INDEX(MASTER_AREAS!$B:$B,1168)))),1167,""),""),IF('WSF DASHBOARD'!$B$4="Zone",IF(1167&lt;=$D$4,IF(OR('WSF DASHBOARD'!$C$4="",ISNUMBER(SEARCH('WSF DASHBOARD'!$C$4,INDEX(MASTER_ZONES!$B:$B,1168)))),1167,""),""),""))</f>
        <v/>
      </c>
      <c r="F1168">
        <f>IF('TRANSPORT DASHBOARD'!$B$4="Area",IF(1167&lt;=$I$3,IF(OR('TRANSPORT DASHBOARD'!$C$4="",ISNUMBER(SEARCH('TRANSPORT DASHBOARD'!$C$4,INDEX(MASTER_AREAS!$B:$B,1168)))),1167,""),""),IF('TRANSPORT DASHBOARD'!$B$4="Zone",IF(1167&lt;=$I$4,IF(OR('TRANSPORT DASHBOARD'!$C$4="",ISNUMBER(SEARCH('TRANSPORT DASHBOARD'!$C$4,INDEX(MASTER_ZONES!$B:$B,1168)))),1167,""),""),""))</f>
        <v/>
      </c>
    </row>
    <row r="1169">
      <c r="A1169">
        <f>IF('WSF DASHBOARD'!$B$4="Area",IF(1168&lt;=$D$3,IF(OR('WSF DASHBOARD'!$C$4="",ISNUMBER(SEARCH('WSF DASHBOARD'!$C$4,INDEX(MASTER_AREAS!$B:$B,1169)))),1168,""),""),IF('WSF DASHBOARD'!$B$4="Zone",IF(1168&lt;=$D$4,IF(OR('WSF DASHBOARD'!$C$4="",ISNUMBER(SEARCH('WSF DASHBOARD'!$C$4,INDEX(MASTER_ZONES!$B:$B,1169)))),1168,""),""),""))</f>
        <v/>
      </c>
      <c r="F1169">
        <f>IF('TRANSPORT DASHBOARD'!$B$4="Area",IF(1168&lt;=$I$3,IF(OR('TRANSPORT DASHBOARD'!$C$4="",ISNUMBER(SEARCH('TRANSPORT DASHBOARD'!$C$4,INDEX(MASTER_AREAS!$B:$B,1169)))),1168,""),""),IF('TRANSPORT DASHBOARD'!$B$4="Zone",IF(1168&lt;=$I$4,IF(OR('TRANSPORT DASHBOARD'!$C$4="",ISNUMBER(SEARCH('TRANSPORT DASHBOARD'!$C$4,INDEX(MASTER_ZONES!$B:$B,1169)))),1168,""),""),""))</f>
        <v/>
      </c>
    </row>
    <row r="1170">
      <c r="A1170">
        <f>IF('WSF DASHBOARD'!$B$4="Area",IF(1169&lt;=$D$3,IF(OR('WSF DASHBOARD'!$C$4="",ISNUMBER(SEARCH('WSF DASHBOARD'!$C$4,INDEX(MASTER_AREAS!$B:$B,1170)))),1169,""),""),IF('WSF DASHBOARD'!$B$4="Zone",IF(1169&lt;=$D$4,IF(OR('WSF DASHBOARD'!$C$4="",ISNUMBER(SEARCH('WSF DASHBOARD'!$C$4,INDEX(MASTER_ZONES!$B:$B,1170)))),1169,""),""),""))</f>
        <v/>
      </c>
      <c r="F1170">
        <f>IF('TRANSPORT DASHBOARD'!$B$4="Area",IF(1169&lt;=$I$3,IF(OR('TRANSPORT DASHBOARD'!$C$4="",ISNUMBER(SEARCH('TRANSPORT DASHBOARD'!$C$4,INDEX(MASTER_AREAS!$B:$B,1170)))),1169,""),""),IF('TRANSPORT DASHBOARD'!$B$4="Zone",IF(1169&lt;=$I$4,IF(OR('TRANSPORT DASHBOARD'!$C$4="",ISNUMBER(SEARCH('TRANSPORT DASHBOARD'!$C$4,INDEX(MASTER_ZONES!$B:$B,1170)))),1169,""),""),""))</f>
        <v/>
      </c>
    </row>
    <row r="1171">
      <c r="A1171">
        <f>IF('WSF DASHBOARD'!$B$4="Area",IF(1170&lt;=$D$3,IF(OR('WSF DASHBOARD'!$C$4="",ISNUMBER(SEARCH('WSF DASHBOARD'!$C$4,INDEX(MASTER_AREAS!$B:$B,1171)))),1170,""),""),IF('WSF DASHBOARD'!$B$4="Zone",IF(1170&lt;=$D$4,IF(OR('WSF DASHBOARD'!$C$4="",ISNUMBER(SEARCH('WSF DASHBOARD'!$C$4,INDEX(MASTER_ZONES!$B:$B,1171)))),1170,""),""),""))</f>
        <v/>
      </c>
      <c r="F1171">
        <f>IF('TRANSPORT DASHBOARD'!$B$4="Area",IF(1170&lt;=$I$3,IF(OR('TRANSPORT DASHBOARD'!$C$4="",ISNUMBER(SEARCH('TRANSPORT DASHBOARD'!$C$4,INDEX(MASTER_AREAS!$B:$B,1171)))),1170,""),""),IF('TRANSPORT DASHBOARD'!$B$4="Zone",IF(1170&lt;=$I$4,IF(OR('TRANSPORT DASHBOARD'!$C$4="",ISNUMBER(SEARCH('TRANSPORT DASHBOARD'!$C$4,INDEX(MASTER_ZONES!$B:$B,1171)))),1170,""),""),""))</f>
        <v/>
      </c>
    </row>
    <row r="1172">
      <c r="A1172">
        <f>IF('WSF DASHBOARD'!$B$4="Area",IF(1171&lt;=$D$3,IF(OR('WSF DASHBOARD'!$C$4="",ISNUMBER(SEARCH('WSF DASHBOARD'!$C$4,INDEX(MASTER_AREAS!$B:$B,1172)))),1171,""),""),IF('WSF DASHBOARD'!$B$4="Zone",IF(1171&lt;=$D$4,IF(OR('WSF DASHBOARD'!$C$4="",ISNUMBER(SEARCH('WSF DASHBOARD'!$C$4,INDEX(MASTER_ZONES!$B:$B,1172)))),1171,""),""),""))</f>
        <v/>
      </c>
      <c r="F1172">
        <f>IF('TRANSPORT DASHBOARD'!$B$4="Area",IF(1171&lt;=$I$3,IF(OR('TRANSPORT DASHBOARD'!$C$4="",ISNUMBER(SEARCH('TRANSPORT DASHBOARD'!$C$4,INDEX(MASTER_AREAS!$B:$B,1172)))),1171,""),""),IF('TRANSPORT DASHBOARD'!$B$4="Zone",IF(1171&lt;=$I$4,IF(OR('TRANSPORT DASHBOARD'!$C$4="",ISNUMBER(SEARCH('TRANSPORT DASHBOARD'!$C$4,INDEX(MASTER_ZONES!$B:$B,1172)))),1171,""),""),""))</f>
        <v/>
      </c>
    </row>
    <row r="1173">
      <c r="A1173">
        <f>IF('WSF DASHBOARD'!$B$4="Area",IF(1172&lt;=$D$3,IF(OR('WSF DASHBOARD'!$C$4="",ISNUMBER(SEARCH('WSF DASHBOARD'!$C$4,INDEX(MASTER_AREAS!$B:$B,1173)))),1172,""),""),IF('WSF DASHBOARD'!$B$4="Zone",IF(1172&lt;=$D$4,IF(OR('WSF DASHBOARD'!$C$4="",ISNUMBER(SEARCH('WSF DASHBOARD'!$C$4,INDEX(MASTER_ZONES!$B:$B,1173)))),1172,""),""),""))</f>
        <v/>
      </c>
      <c r="F1173">
        <f>IF('TRANSPORT DASHBOARD'!$B$4="Area",IF(1172&lt;=$I$3,IF(OR('TRANSPORT DASHBOARD'!$C$4="",ISNUMBER(SEARCH('TRANSPORT DASHBOARD'!$C$4,INDEX(MASTER_AREAS!$B:$B,1173)))),1172,""),""),IF('TRANSPORT DASHBOARD'!$B$4="Zone",IF(1172&lt;=$I$4,IF(OR('TRANSPORT DASHBOARD'!$C$4="",ISNUMBER(SEARCH('TRANSPORT DASHBOARD'!$C$4,INDEX(MASTER_ZONES!$B:$B,1173)))),1172,""),""),""))</f>
        <v/>
      </c>
    </row>
    <row r="1174">
      <c r="A1174">
        <f>IF('WSF DASHBOARD'!$B$4="Area",IF(1173&lt;=$D$3,IF(OR('WSF DASHBOARD'!$C$4="",ISNUMBER(SEARCH('WSF DASHBOARD'!$C$4,INDEX(MASTER_AREAS!$B:$B,1174)))),1173,""),""),IF('WSF DASHBOARD'!$B$4="Zone",IF(1173&lt;=$D$4,IF(OR('WSF DASHBOARD'!$C$4="",ISNUMBER(SEARCH('WSF DASHBOARD'!$C$4,INDEX(MASTER_ZONES!$B:$B,1174)))),1173,""),""),""))</f>
        <v/>
      </c>
      <c r="F1174">
        <f>IF('TRANSPORT DASHBOARD'!$B$4="Area",IF(1173&lt;=$I$3,IF(OR('TRANSPORT DASHBOARD'!$C$4="",ISNUMBER(SEARCH('TRANSPORT DASHBOARD'!$C$4,INDEX(MASTER_AREAS!$B:$B,1174)))),1173,""),""),IF('TRANSPORT DASHBOARD'!$B$4="Zone",IF(1173&lt;=$I$4,IF(OR('TRANSPORT DASHBOARD'!$C$4="",ISNUMBER(SEARCH('TRANSPORT DASHBOARD'!$C$4,INDEX(MASTER_ZONES!$B:$B,1174)))),1173,""),""),""))</f>
        <v/>
      </c>
    </row>
    <row r="1175">
      <c r="A1175">
        <f>IF('WSF DASHBOARD'!$B$4="Area",IF(1174&lt;=$D$3,IF(OR('WSF DASHBOARD'!$C$4="",ISNUMBER(SEARCH('WSF DASHBOARD'!$C$4,INDEX(MASTER_AREAS!$B:$B,1175)))),1174,""),""),IF('WSF DASHBOARD'!$B$4="Zone",IF(1174&lt;=$D$4,IF(OR('WSF DASHBOARD'!$C$4="",ISNUMBER(SEARCH('WSF DASHBOARD'!$C$4,INDEX(MASTER_ZONES!$B:$B,1175)))),1174,""),""),""))</f>
        <v/>
      </c>
      <c r="F1175">
        <f>IF('TRANSPORT DASHBOARD'!$B$4="Area",IF(1174&lt;=$I$3,IF(OR('TRANSPORT DASHBOARD'!$C$4="",ISNUMBER(SEARCH('TRANSPORT DASHBOARD'!$C$4,INDEX(MASTER_AREAS!$B:$B,1175)))),1174,""),""),IF('TRANSPORT DASHBOARD'!$B$4="Zone",IF(1174&lt;=$I$4,IF(OR('TRANSPORT DASHBOARD'!$C$4="",ISNUMBER(SEARCH('TRANSPORT DASHBOARD'!$C$4,INDEX(MASTER_ZONES!$B:$B,1175)))),1174,""),""),""))</f>
        <v/>
      </c>
    </row>
    <row r="1176">
      <c r="A1176">
        <f>IF('WSF DASHBOARD'!$B$4="Area",IF(1175&lt;=$D$3,IF(OR('WSF DASHBOARD'!$C$4="",ISNUMBER(SEARCH('WSF DASHBOARD'!$C$4,INDEX(MASTER_AREAS!$B:$B,1176)))),1175,""),""),IF('WSF DASHBOARD'!$B$4="Zone",IF(1175&lt;=$D$4,IF(OR('WSF DASHBOARD'!$C$4="",ISNUMBER(SEARCH('WSF DASHBOARD'!$C$4,INDEX(MASTER_ZONES!$B:$B,1176)))),1175,""),""),""))</f>
        <v/>
      </c>
      <c r="F1176">
        <f>IF('TRANSPORT DASHBOARD'!$B$4="Area",IF(1175&lt;=$I$3,IF(OR('TRANSPORT DASHBOARD'!$C$4="",ISNUMBER(SEARCH('TRANSPORT DASHBOARD'!$C$4,INDEX(MASTER_AREAS!$B:$B,1176)))),1175,""),""),IF('TRANSPORT DASHBOARD'!$B$4="Zone",IF(1175&lt;=$I$4,IF(OR('TRANSPORT DASHBOARD'!$C$4="",ISNUMBER(SEARCH('TRANSPORT DASHBOARD'!$C$4,INDEX(MASTER_ZONES!$B:$B,1176)))),1175,""),""),""))</f>
        <v/>
      </c>
    </row>
    <row r="1177">
      <c r="A1177">
        <f>IF('WSF DASHBOARD'!$B$4="Area",IF(1176&lt;=$D$3,IF(OR('WSF DASHBOARD'!$C$4="",ISNUMBER(SEARCH('WSF DASHBOARD'!$C$4,INDEX(MASTER_AREAS!$B:$B,1177)))),1176,""),""),IF('WSF DASHBOARD'!$B$4="Zone",IF(1176&lt;=$D$4,IF(OR('WSF DASHBOARD'!$C$4="",ISNUMBER(SEARCH('WSF DASHBOARD'!$C$4,INDEX(MASTER_ZONES!$B:$B,1177)))),1176,""),""),""))</f>
        <v/>
      </c>
      <c r="F1177">
        <f>IF('TRANSPORT DASHBOARD'!$B$4="Area",IF(1176&lt;=$I$3,IF(OR('TRANSPORT DASHBOARD'!$C$4="",ISNUMBER(SEARCH('TRANSPORT DASHBOARD'!$C$4,INDEX(MASTER_AREAS!$B:$B,1177)))),1176,""),""),IF('TRANSPORT DASHBOARD'!$B$4="Zone",IF(1176&lt;=$I$4,IF(OR('TRANSPORT DASHBOARD'!$C$4="",ISNUMBER(SEARCH('TRANSPORT DASHBOARD'!$C$4,INDEX(MASTER_ZONES!$B:$B,1177)))),1176,""),""),""))</f>
        <v/>
      </c>
    </row>
    <row r="1178">
      <c r="A1178">
        <f>IF('WSF DASHBOARD'!$B$4="Area",IF(1177&lt;=$D$3,IF(OR('WSF DASHBOARD'!$C$4="",ISNUMBER(SEARCH('WSF DASHBOARD'!$C$4,INDEX(MASTER_AREAS!$B:$B,1178)))),1177,""),""),IF('WSF DASHBOARD'!$B$4="Zone",IF(1177&lt;=$D$4,IF(OR('WSF DASHBOARD'!$C$4="",ISNUMBER(SEARCH('WSF DASHBOARD'!$C$4,INDEX(MASTER_ZONES!$B:$B,1178)))),1177,""),""),""))</f>
        <v/>
      </c>
      <c r="F1178">
        <f>IF('TRANSPORT DASHBOARD'!$B$4="Area",IF(1177&lt;=$I$3,IF(OR('TRANSPORT DASHBOARD'!$C$4="",ISNUMBER(SEARCH('TRANSPORT DASHBOARD'!$C$4,INDEX(MASTER_AREAS!$B:$B,1178)))),1177,""),""),IF('TRANSPORT DASHBOARD'!$B$4="Zone",IF(1177&lt;=$I$4,IF(OR('TRANSPORT DASHBOARD'!$C$4="",ISNUMBER(SEARCH('TRANSPORT DASHBOARD'!$C$4,INDEX(MASTER_ZONES!$B:$B,1178)))),1177,""),""),""))</f>
        <v/>
      </c>
    </row>
    <row r="1179">
      <c r="A1179">
        <f>IF('WSF DASHBOARD'!$B$4="Area",IF(1178&lt;=$D$3,IF(OR('WSF DASHBOARD'!$C$4="",ISNUMBER(SEARCH('WSF DASHBOARD'!$C$4,INDEX(MASTER_AREAS!$B:$B,1179)))),1178,""),""),IF('WSF DASHBOARD'!$B$4="Zone",IF(1178&lt;=$D$4,IF(OR('WSF DASHBOARD'!$C$4="",ISNUMBER(SEARCH('WSF DASHBOARD'!$C$4,INDEX(MASTER_ZONES!$B:$B,1179)))),1178,""),""),""))</f>
        <v/>
      </c>
      <c r="F1179">
        <f>IF('TRANSPORT DASHBOARD'!$B$4="Area",IF(1178&lt;=$I$3,IF(OR('TRANSPORT DASHBOARD'!$C$4="",ISNUMBER(SEARCH('TRANSPORT DASHBOARD'!$C$4,INDEX(MASTER_AREAS!$B:$B,1179)))),1178,""),""),IF('TRANSPORT DASHBOARD'!$B$4="Zone",IF(1178&lt;=$I$4,IF(OR('TRANSPORT DASHBOARD'!$C$4="",ISNUMBER(SEARCH('TRANSPORT DASHBOARD'!$C$4,INDEX(MASTER_ZONES!$B:$B,1179)))),1178,""),""),""))</f>
        <v/>
      </c>
    </row>
    <row r="1180">
      <c r="A1180">
        <f>IF('WSF DASHBOARD'!$B$4="Area",IF(1179&lt;=$D$3,IF(OR('WSF DASHBOARD'!$C$4="",ISNUMBER(SEARCH('WSF DASHBOARD'!$C$4,INDEX(MASTER_AREAS!$B:$B,1180)))),1179,""),""),IF('WSF DASHBOARD'!$B$4="Zone",IF(1179&lt;=$D$4,IF(OR('WSF DASHBOARD'!$C$4="",ISNUMBER(SEARCH('WSF DASHBOARD'!$C$4,INDEX(MASTER_ZONES!$B:$B,1180)))),1179,""),""),""))</f>
        <v/>
      </c>
      <c r="F1180">
        <f>IF('TRANSPORT DASHBOARD'!$B$4="Area",IF(1179&lt;=$I$3,IF(OR('TRANSPORT DASHBOARD'!$C$4="",ISNUMBER(SEARCH('TRANSPORT DASHBOARD'!$C$4,INDEX(MASTER_AREAS!$B:$B,1180)))),1179,""),""),IF('TRANSPORT DASHBOARD'!$B$4="Zone",IF(1179&lt;=$I$4,IF(OR('TRANSPORT DASHBOARD'!$C$4="",ISNUMBER(SEARCH('TRANSPORT DASHBOARD'!$C$4,INDEX(MASTER_ZONES!$B:$B,1180)))),1179,""),""),""))</f>
        <v/>
      </c>
    </row>
    <row r="1181">
      <c r="A1181">
        <f>IF('WSF DASHBOARD'!$B$4="Area",IF(1180&lt;=$D$3,IF(OR('WSF DASHBOARD'!$C$4="",ISNUMBER(SEARCH('WSF DASHBOARD'!$C$4,INDEX(MASTER_AREAS!$B:$B,1181)))),1180,""),""),IF('WSF DASHBOARD'!$B$4="Zone",IF(1180&lt;=$D$4,IF(OR('WSF DASHBOARD'!$C$4="",ISNUMBER(SEARCH('WSF DASHBOARD'!$C$4,INDEX(MASTER_ZONES!$B:$B,1181)))),1180,""),""),""))</f>
        <v/>
      </c>
      <c r="F1181">
        <f>IF('TRANSPORT DASHBOARD'!$B$4="Area",IF(1180&lt;=$I$3,IF(OR('TRANSPORT DASHBOARD'!$C$4="",ISNUMBER(SEARCH('TRANSPORT DASHBOARD'!$C$4,INDEX(MASTER_AREAS!$B:$B,1181)))),1180,""),""),IF('TRANSPORT DASHBOARD'!$B$4="Zone",IF(1180&lt;=$I$4,IF(OR('TRANSPORT DASHBOARD'!$C$4="",ISNUMBER(SEARCH('TRANSPORT DASHBOARD'!$C$4,INDEX(MASTER_ZONES!$B:$B,1181)))),1180,""),""),""))</f>
        <v/>
      </c>
    </row>
    <row r="1182">
      <c r="A1182">
        <f>IF('WSF DASHBOARD'!$B$4="Area",IF(1181&lt;=$D$3,IF(OR('WSF DASHBOARD'!$C$4="",ISNUMBER(SEARCH('WSF DASHBOARD'!$C$4,INDEX(MASTER_AREAS!$B:$B,1182)))),1181,""),""),IF('WSF DASHBOARD'!$B$4="Zone",IF(1181&lt;=$D$4,IF(OR('WSF DASHBOARD'!$C$4="",ISNUMBER(SEARCH('WSF DASHBOARD'!$C$4,INDEX(MASTER_ZONES!$B:$B,1182)))),1181,""),""),""))</f>
        <v/>
      </c>
      <c r="F1182">
        <f>IF('TRANSPORT DASHBOARD'!$B$4="Area",IF(1181&lt;=$I$3,IF(OR('TRANSPORT DASHBOARD'!$C$4="",ISNUMBER(SEARCH('TRANSPORT DASHBOARD'!$C$4,INDEX(MASTER_AREAS!$B:$B,1182)))),1181,""),""),IF('TRANSPORT DASHBOARD'!$B$4="Zone",IF(1181&lt;=$I$4,IF(OR('TRANSPORT DASHBOARD'!$C$4="",ISNUMBER(SEARCH('TRANSPORT DASHBOARD'!$C$4,INDEX(MASTER_ZONES!$B:$B,1182)))),1181,""),""),""))</f>
        <v/>
      </c>
    </row>
    <row r="1183">
      <c r="A1183">
        <f>IF('WSF DASHBOARD'!$B$4="Area",IF(1182&lt;=$D$3,IF(OR('WSF DASHBOARD'!$C$4="",ISNUMBER(SEARCH('WSF DASHBOARD'!$C$4,INDEX(MASTER_AREAS!$B:$B,1183)))),1182,""),""),IF('WSF DASHBOARD'!$B$4="Zone",IF(1182&lt;=$D$4,IF(OR('WSF DASHBOARD'!$C$4="",ISNUMBER(SEARCH('WSF DASHBOARD'!$C$4,INDEX(MASTER_ZONES!$B:$B,1183)))),1182,""),""),""))</f>
        <v/>
      </c>
      <c r="F1183">
        <f>IF('TRANSPORT DASHBOARD'!$B$4="Area",IF(1182&lt;=$I$3,IF(OR('TRANSPORT DASHBOARD'!$C$4="",ISNUMBER(SEARCH('TRANSPORT DASHBOARD'!$C$4,INDEX(MASTER_AREAS!$B:$B,1183)))),1182,""),""),IF('TRANSPORT DASHBOARD'!$B$4="Zone",IF(1182&lt;=$I$4,IF(OR('TRANSPORT DASHBOARD'!$C$4="",ISNUMBER(SEARCH('TRANSPORT DASHBOARD'!$C$4,INDEX(MASTER_ZONES!$B:$B,1183)))),1182,""),""),""))</f>
        <v/>
      </c>
    </row>
    <row r="1184">
      <c r="A1184">
        <f>IF('WSF DASHBOARD'!$B$4="Area",IF(1183&lt;=$D$3,IF(OR('WSF DASHBOARD'!$C$4="",ISNUMBER(SEARCH('WSF DASHBOARD'!$C$4,INDEX(MASTER_AREAS!$B:$B,1184)))),1183,""),""),IF('WSF DASHBOARD'!$B$4="Zone",IF(1183&lt;=$D$4,IF(OR('WSF DASHBOARD'!$C$4="",ISNUMBER(SEARCH('WSF DASHBOARD'!$C$4,INDEX(MASTER_ZONES!$B:$B,1184)))),1183,""),""),""))</f>
        <v/>
      </c>
      <c r="F1184">
        <f>IF('TRANSPORT DASHBOARD'!$B$4="Area",IF(1183&lt;=$I$3,IF(OR('TRANSPORT DASHBOARD'!$C$4="",ISNUMBER(SEARCH('TRANSPORT DASHBOARD'!$C$4,INDEX(MASTER_AREAS!$B:$B,1184)))),1183,""),""),IF('TRANSPORT DASHBOARD'!$B$4="Zone",IF(1183&lt;=$I$4,IF(OR('TRANSPORT DASHBOARD'!$C$4="",ISNUMBER(SEARCH('TRANSPORT DASHBOARD'!$C$4,INDEX(MASTER_ZONES!$B:$B,1184)))),1183,""),""),""))</f>
        <v/>
      </c>
    </row>
    <row r="1185">
      <c r="A1185">
        <f>IF('WSF DASHBOARD'!$B$4="Area",IF(1184&lt;=$D$3,IF(OR('WSF DASHBOARD'!$C$4="",ISNUMBER(SEARCH('WSF DASHBOARD'!$C$4,INDEX(MASTER_AREAS!$B:$B,1185)))),1184,""),""),IF('WSF DASHBOARD'!$B$4="Zone",IF(1184&lt;=$D$4,IF(OR('WSF DASHBOARD'!$C$4="",ISNUMBER(SEARCH('WSF DASHBOARD'!$C$4,INDEX(MASTER_ZONES!$B:$B,1185)))),1184,""),""),""))</f>
        <v/>
      </c>
      <c r="F1185">
        <f>IF('TRANSPORT DASHBOARD'!$B$4="Area",IF(1184&lt;=$I$3,IF(OR('TRANSPORT DASHBOARD'!$C$4="",ISNUMBER(SEARCH('TRANSPORT DASHBOARD'!$C$4,INDEX(MASTER_AREAS!$B:$B,1185)))),1184,""),""),IF('TRANSPORT DASHBOARD'!$B$4="Zone",IF(1184&lt;=$I$4,IF(OR('TRANSPORT DASHBOARD'!$C$4="",ISNUMBER(SEARCH('TRANSPORT DASHBOARD'!$C$4,INDEX(MASTER_ZONES!$B:$B,1185)))),1184,""),""),""))</f>
        <v/>
      </c>
    </row>
    <row r="1186">
      <c r="A1186">
        <f>IF('WSF DASHBOARD'!$B$4="Area",IF(1185&lt;=$D$3,IF(OR('WSF DASHBOARD'!$C$4="",ISNUMBER(SEARCH('WSF DASHBOARD'!$C$4,INDEX(MASTER_AREAS!$B:$B,1186)))),1185,""),""),IF('WSF DASHBOARD'!$B$4="Zone",IF(1185&lt;=$D$4,IF(OR('WSF DASHBOARD'!$C$4="",ISNUMBER(SEARCH('WSF DASHBOARD'!$C$4,INDEX(MASTER_ZONES!$B:$B,1186)))),1185,""),""),""))</f>
        <v/>
      </c>
      <c r="F1186">
        <f>IF('TRANSPORT DASHBOARD'!$B$4="Area",IF(1185&lt;=$I$3,IF(OR('TRANSPORT DASHBOARD'!$C$4="",ISNUMBER(SEARCH('TRANSPORT DASHBOARD'!$C$4,INDEX(MASTER_AREAS!$B:$B,1186)))),1185,""),""),IF('TRANSPORT DASHBOARD'!$B$4="Zone",IF(1185&lt;=$I$4,IF(OR('TRANSPORT DASHBOARD'!$C$4="",ISNUMBER(SEARCH('TRANSPORT DASHBOARD'!$C$4,INDEX(MASTER_ZONES!$B:$B,1186)))),1185,""),""),""))</f>
        <v/>
      </c>
    </row>
    <row r="1187">
      <c r="A1187">
        <f>IF('WSF DASHBOARD'!$B$4="Area",IF(1186&lt;=$D$3,IF(OR('WSF DASHBOARD'!$C$4="",ISNUMBER(SEARCH('WSF DASHBOARD'!$C$4,INDEX(MASTER_AREAS!$B:$B,1187)))),1186,""),""),IF('WSF DASHBOARD'!$B$4="Zone",IF(1186&lt;=$D$4,IF(OR('WSF DASHBOARD'!$C$4="",ISNUMBER(SEARCH('WSF DASHBOARD'!$C$4,INDEX(MASTER_ZONES!$B:$B,1187)))),1186,""),""),""))</f>
        <v/>
      </c>
      <c r="F1187">
        <f>IF('TRANSPORT DASHBOARD'!$B$4="Area",IF(1186&lt;=$I$3,IF(OR('TRANSPORT DASHBOARD'!$C$4="",ISNUMBER(SEARCH('TRANSPORT DASHBOARD'!$C$4,INDEX(MASTER_AREAS!$B:$B,1187)))),1186,""),""),IF('TRANSPORT DASHBOARD'!$B$4="Zone",IF(1186&lt;=$I$4,IF(OR('TRANSPORT DASHBOARD'!$C$4="",ISNUMBER(SEARCH('TRANSPORT DASHBOARD'!$C$4,INDEX(MASTER_ZONES!$B:$B,1187)))),1186,""),""),""))</f>
        <v/>
      </c>
    </row>
    <row r="1188">
      <c r="A1188">
        <f>IF('WSF DASHBOARD'!$B$4="Area",IF(1187&lt;=$D$3,IF(OR('WSF DASHBOARD'!$C$4="",ISNUMBER(SEARCH('WSF DASHBOARD'!$C$4,INDEX(MASTER_AREAS!$B:$B,1188)))),1187,""),""),IF('WSF DASHBOARD'!$B$4="Zone",IF(1187&lt;=$D$4,IF(OR('WSF DASHBOARD'!$C$4="",ISNUMBER(SEARCH('WSF DASHBOARD'!$C$4,INDEX(MASTER_ZONES!$B:$B,1188)))),1187,""),""),""))</f>
        <v/>
      </c>
      <c r="F1188">
        <f>IF('TRANSPORT DASHBOARD'!$B$4="Area",IF(1187&lt;=$I$3,IF(OR('TRANSPORT DASHBOARD'!$C$4="",ISNUMBER(SEARCH('TRANSPORT DASHBOARD'!$C$4,INDEX(MASTER_AREAS!$B:$B,1188)))),1187,""),""),IF('TRANSPORT DASHBOARD'!$B$4="Zone",IF(1187&lt;=$I$4,IF(OR('TRANSPORT DASHBOARD'!$C$4="",ISNUMBER(SEARCH('TRANSPORT DASHBOARD'!$C$4,INDEX(MASTER_ZONES!$B:$B,1188)))),1187,""),""),""))</f>
        <v/>
      </c>
    </row>
    <row r="1189">
      <c r="A1189">
        <f>IF('WSF DASHBOARD'!$B$4="Area",IF(1188&lt;=$D$3,IF(OR('WSF DASHBOARD'!$C$4="",ISNUMBER(SEARCH('WSF DASHBOARD'!$C$4,INDEX(MASTER_AREAS!$B:$B,1189)))),1188,""),""),IF('WSF DASHBOARD'!$B$4="Zone",IF(1188&lt;=$D$4,IF(OR('WSF DASHBOARD'!$C$4="",ISNUMBER(SEARCH('WSF DASHBOARD'!$C$4,INDEX(MASTER_ZONES!$B:$B,1189)))),1188,""),""),""))</f>
        <v/>
      </c>
      <c r="F1189">
        <f>IF('TRANSPORT DASHBOARD'!$B$4="Area",IF(1188&lt;=$I$3,IF(OR('TRANSPORT DASHBOARD'!$C$4="",ISNUMBER(SEARCH('TRANSPORT DASHBOARD'!$C$4,INDEX(MASTER_AREAS!$B:$B,1189)))),1188,""),""),IF('TRANSPORT DASHBOARD'!$B$4="Zone",IF(1188&lt;=$I$4,IF(OR('TRANSPORT DASHBOARD'!$C$4="",ISNUMBER(SEARCH('TRANSPORT DASHBOARD'!$C$4,INDEX(MASTER_ZONES!$B:$B,1189)))),1188,""),""),""))</f>
        <v/>
      </c>
    </row>
    <row r="1190">
      <c r="A1190">
        <f>IF('WSF DASHBOARD'!$B$4="Area",IF(1189&lt;=$D$3,IF(OR('WSF DASHBOARD'!$C$4="",ISNUMBER(SEARCH('WSF DASHBOARD'!$C$4,INDEX(MASTER_AREAS!$B:$B,1190)))),1189,""),""),IF('WSF DASHBOARD'!$B$4="Zone",IF(1189&lt;=$D$4,IF(OR('WSF DASHBOARD'!$C$4="",ISNUMBER(SEARCH('WSF DASHBOARD'!$C$4,INDEX(MASTER_ZONES!$B:$B,1190)))),1189,""),""),""))</f>
        <v/>
      </c>
      <c r="F1190">
        <f>IF('TRANSPORT DASHBOARD'!$B$4="Area",IF(1189&lt;=$I$3,IF(OR('TRANSPORT DASHBOARD'!$C$4="",ISNUMBER(SEARCH('TRANSPORT DASHBOARD'!$C$4,INDEX(MASTER_AREAS!$B:$B,1190)))),1189,""),""),IF('TRANSPORT DASHBOARD'!$B$4="Zone",IF(1189&lt;=$I$4,IF(OR('TRANSPORT DASHBOARD'!$C$4="",ISNUMBER(SEARCH('TRANSPORT DASHBOARD'!$C$4,INDEX(MASTER_ZONES!$B:$B,1190)))),1189,""),""),""))</f>
        <v/>
      </c>
    </row>
    <row r="1191">
      <c r="A1191">
        <f>IF('WSF DASHBOARD'!$B$4="Area",IF(1190&lt;=$D$3,IF(OR('WSF DASHBOARD'!$C$4="",ISNUMBER(SEARCH('WSF DASHBOARD'!$C$4,INDEX(MASTER_AREAS!$B:$B,1191)))),1190,""),""),IF('WSF DASHBOARD'!$B$4="Zone",IF(1190&lt;=$D$4,IF(OR('WSF DASHBOARD'!$C$4="",ISNUMBER(SEARCH('WSF DASHBOARD'!$C$4,INDEX(MASTER_ZONES!$B:$B,1191)))),1190,""),""),""))</f>
        <v/>
      </c>
      <c r="F1191">
        <f>IF('TRANSPORT DASHBOARD'!$B$4="Area",IF(1190&lt;=$I$3,IF(OR('TRANSPORT DASHBOARD'!$C$4="",ISNUMBER(SEARCH('TRANSPORT DASHBOARD'!$C$4,INDEX(MASTER_AREAS!$B:$B,1191)))),1190,""),""),IF('TRANSPORT DASHBOARD'!$B$4="Zone",IF(1190&lt;=$I$4,IF(OR('TRANSPORT DASHBOARD'!$C$4="",ISNUMBER(SEARCH('TRANSPORT DASHBOARD'!$C$4,INDEX(MASTER_ZONES!$B:$B,1191)))),1190,""),""),""))</f>
        <v/>
      </c>
    </row>
    <row r="1192">
      <c r="A1192">
        <f>IF('WSF DASHBOARD'!$B$4="Area",IF(1191&lt;=$D$3,IF(OR('WSF DASHBOARD'!$C$4="",ISNUMBER(SEARCH('WSF DASHBOARD'!$C$4,INDEX(MASTER_AREAS!$B:$B,1192)))),1191,""),""),IF('WSF DASHBOARD'!$B$4="Zone",IF(1191&lt;=$D$4,IF(OR('WSF DASHBOARD'!$C$4="",ISNUMBER(SEARCH('WSF DASHBOARD'!$C$4,INDEX(MASTER_ZONES!$B:$B,1192)))),1191,""),""),""))</f>
        <v/>
      </c>
      <c r="F1192">
        <f>IF('TRANSPORT DASHBOARD'!$B$4="Area",IF(1191&lt;=$I$3,IF(OR('TRANSPORT DASHBOARD'!$C$4="",ISNUMBER(SEARCH('TRANSPORT DASHBOARD'!$C$4,INDEX(MASTER_AREAS!$B:$B,1192)))),1191,""),""),IF('TRANSPORT DASHBOARD'!$B$4="Zone",IF(1191&lt;=$I$4,IF(OR('TRANSPORT DASHBOARD'!$C$4="",ISNUMBER(SEARCH('TRANSPORT DASHBOARD'!$C$4,INDEX(MASTER_ZONES!$B:$B,1192)))),1191,""),""),""))</f>
        <v/>
      </c>
    </row>
    <row r="1193">
      <c r="A1193">
        <f>IF('WSF DASHBOARD'!$B$4="Area",IF(1192&lt;=$D$3,IF(OR('WSF DASHBOARD'!$C$4="",ISNUMBER(SEARCH('WSF DASHBOARD'!$C$4,INDEX(MASTER_AREAS!$B:$B,1193)))),1192,""),""),IF('WSF DASHBOARD'!$B$4="Zone",IF(1192&lt;=$D$4,IF(OR('WSF DASHBOARD'!$C$4="",ISNUMBER(SEARCH('WSF DASHBOARD'!$C$4,INDEX(MASTER_ZONES!$B:$B,1193)))),1192,""),""),""))</f>
        <v/>
      </c>
      <c r="F1193">
        <f>IF('TRANSPORT DASHBOARD'!$B$4="Area",IF(1192&lt;=$I$3,IF(OR('TRANSPORT DASHBOARD'!$C$4="",ISNUMBER(SEARCH('TRANSPORT DASHBOARD'!$C$4,INDEX(MASTER_AREAS!$B:$B,1193)))),1192,""),""),IF('TRANSPORT DASHBOARD'!$B$4="Zone",IF(1192&lt;=$I$4,IF(OR('TRANSPORT DASHBOARD'!$C$4="",ISNUMBER(SEARCH('TRANSPORT DASHBOARD'!$C$4,INDEX(MASTER_ZONES!$B:$B,1193)))),1192,""),""),""))</f>
        <v/>
      </c>
    </row>
    <row r="1194">
      <c r="A1194">
        <f>IF('WSF DASHBOARD'!$B$4="Area",IF(1193&lt;=$D$3,IF(OR('WSF DASHBOARD'!$C$4="",ISNUMBER(SEARCH('WSF DASHBOARD'!$C$4,INDEX(MASTER_AREAS!$B:$B,1194)))),1193,""),""),IF('WSF DASHBOARD'!$B$4="Zone",IF(1193&lt;=$D$4,IF(OR('WSF DASHBOARD'!$C$4="",ISNUMBER(SEARCH('WSF DASHBOARD'!$C$4,INDEX(MASTER_ZONES!$B:$B,1194)))),1193,""),""),""))</f>
        <v/>
      </c>
      <c r="F1194">
        <f>IF('TRANSPORT DASHBOARD'!$B$4="Area",IF(1193&lt;=$I$3,IF(OR('TRANSPORT DASHBOARD'!$C$4="",ISNUMBER(SEARCH('TRANSPORT DASHBOARD'!$C$4,INDEX(MASTER_AREAS!$B:$B,1194)))),1193,""),""),IF('TRANSPORT DASHBOARD'!$B$4="Zone",IF(1193&lt;=$I$4,IF(OR('TRANSPORT DASHBOARD'!$C$4="",ISNUMBER(SEARCH('TRANSPORT DASHBOARD'!$C$4,INDEX(MASTER_ZONES!$B:$B,1194)))),1193,""),""),""))</f>
        <v/>
      </c>
    </row>
    <row r="1195">
      <c r="A1195">
        <f>IF('WSF DASHBOARD'!$B$4="Area",IF(1194&lt;=$D$3,IF(OR('WSF DASHBOARD'!$C$4="",ISNUMBER(SEARCH('WSF DASHBOARD'!$C$4,INDEX(MASTER_AREAS!$B:$B,1195)))),1194,""),""),IF('WSF DASHBOARD'!$B$4="Zone",IF(1194&lt;=$D$4,IF(OR('WSF DASHBOARD'!$C$4="",ISNUMBER(SEARCH('WSF DASHBOARD'!$C$4,INDEX(MASTER_ZONES!$B:$B,1195)))),1194,""),""),""))</f>
        <v/>
      </c>
      <c r="F1195">
        <f>IF('TRANSPORT DASHBOARD'!$B$4="Area",IF(1194&lt;=$I$3,IF(OR('TRANSPORT DASHBOARD'!$C$4="",ISNUMBER(SEARCH('TRANSPORT DASHBOARD'!$C$4,INDEX(MASTER_AREAS!$B:$B,1195)))),1194,""),""),IF('TRANSPORT DASHBOARD'!$B$4="Zone",IF(1194&lt;=$I$4,IF(OR('TRANSPORT DASHBOARD'!$C$4="",ISNUMBER(SEARCH('TRANSPORT DASHBOARD'!$C$4,INDEX(MASTER_ZONES!$B:$B,1195)))),1194,""),""),""))</f>
        <v/>
      </c>
    </row>
    <row r="1196">
      <c r="A1196">
        <f>IF('WSF DASHBOARD'!$B$4="Area",IF(1195&lt;=$D$3,IF(OR('WSF DASHBOARD'!$C$4="",ISNUMBER(SEARCH('WSF DASHBOARD'!$C$4,INDEX(MASTER_AREAS!$B:$B,1196)))),1195,""),""),IF('WSF DASHBOARD'!$B$4="Zone",IF(1195&lt;=$D$4,IF(OR('WSF DASHBOARD'!$C$4="",ISNUMBER(SEARCH('WSF DASHBOARD'!$C$4,INDEX(MASTER_ZONES!$B:$B,1196)))),1195,""),""),""))</f>
        <v/>
      </c>
      <c r="F1196">
        <f>IF('TRANSPORT DASHBOARD'!$B$4="Area",IF(1195&lt;=$I$3,IF(OR('TRANSPORT DASHBOARD'!$C$4="",ISNUMBER(SEARCH('TRANSPORT DASHBOARD'!$C$4,INDEX(MASTER_AREAS!$B:$B,1196)))),1195,""),""),IF('TRANSPORT DASHBOARD'!$B$4="Zone",IF(1195&lt;=$I$4,IF(OR('TRANSPORT DASHBOARD'!$C$4="",ISNUMBER(SEARCH('TRANSPORT DASHBOARD'!$C$4,INDEX(MASTER_ZONES!$B:$B,1196)))),1195,""),""),""))</f>
        <v/>
      </c>
    </row>
    <row r="1197">
      <c r="A1197">
        <f>IF('WSF DASHBOARD'!$B$4="Area",IF(1196&lt;=$D$3,IF(OR('WSF DASHBOARD'!$C$4="",ISNUMBER(SEARCH('WSF DASHBOARD'!$C$4,INDEX(MASTER_AREAS!$B:$B,1197)))),1196,""),""),IF('WSF DASHBOARD'!$B$4="Zone",IF(1196&lt;=$D$4,IF(OR('WSF DASHBOARD'!$C$4="",ISNUMBER(SEARCH('WSF DASHBOARD'!$C$4,INDEX(MASTER_ZONES!$B:$B,1197)))),1196,""),""),""))</f>
        <v/>
      </c>
      <c r="F1197">
        <f>IF('TRANSPORT DASHBOARD'!$B$4="Area",IF(1196&lt;=$I$3,IF(OR('TRANSPORT DASHBOARD'!$C$4="",ISNUMBER(SEARCH('TRANSPORT DASHBOARD'!$C$4,INDEX(MASTER_AREAS!$B:$B,1197)))),1196,""),""),IF('TRANSPORT DASHBOARD'!$B$4="Zone",IF(1196&lt;=$I$4,IF(OR('TRANSPORT DASHBOARD'!$C$4="",ISNUMBER(SEARCH('TRANSPORT DASHBOARD'!$C$4,INDEX(MASTER_ZONES!$B:$B,1197)))),1196,""),""),""))</f>
        <v/>
      </c>
    </row>
    <row r="1198">
      <c r="A1198">
        <f>IF('WSF DASHBOARD'!$B$4="Area",IF(1197&lt;=$D$3,IF(OR('WSF DASHBOARD'!$C$4="",ISNUMBER(SEARCH('WSF DASHBOARD'!$C$4,INDEX(MASTER_AREAS!$B:$B,1198)))),1197,""),""),IF('WSF DASHBOARD'!$B$4="Zone",IF(1197&lt;=$D$4,IF(OR('WSF DASHBOARD'!$C$4="",ISNUMBER(SEARCH('WSF DASHBOARD'!$C$4,INDEX(MASTER_ZONES!$B:$B,1198)))),1197,""),""),""))</f>
        <v/>
      </c>
      <c r="F1198">
        <f>IF('TRANSPORT DASHBOARD'!$B$4="Area",IF(1197&lt;=$I$3,IF(OR('TRANSPORT DASHBOARD'!$C$4="",ISNUMBER(SEARCH('TRANSPORT DASHBOARD'!$C$4,INDEX(MASTER_AREAS!$B:$B,1198)))),1197,""),""),IF('TRANSPORT DASHBOARD'!$B$4="Zone",IF(1197&lt;=$I$4,IF(OR('TRANSPORT DASHBOARD'!$C$4="",ISNUMBER(SEARCH('TRANSPORT DASHBOARD'!$C$4,INDEX(MASTER_ZONES!$B:$B,1198)))),1197,""),""),""))</f>
        <v/>
      </c>
    </row>
    <row r="1199">
      <c r="A1199">
        <f>IF('WSF DASHBOARD'!$B$4="Area",IF(1198&lt;=$D$3,IF(OR('WSF DASHBOARD'!$C$4="",ISNUMBER(SEARCH('WSF DASHBOARD'!$C$4,INDEX(MASTER_AREAS!$B:$B,1199)))),1198,""),""),IF('WSF DASHBOARD'!$B$4="Zone",IF(1198&lt;=$D$4,IF(OR('WSF DASHBOARD'!$C$4="",ISNUMBER(SEARCH('WSF DASHBOARD'!$C$4,INDEX(MASTER_ZONES!$B:$B,1199)))),1198,""),""),""))</f>
        <v/>
      </c>
      <c r="F1199">
        <f>IF('TRANSPORT DASHBOARD'!$B$4="Area",IF(1198&lt;=$I$3,IF(OR('TRANSPORT DASHBOARD'!$C$4="",ISNUMBER(SEARCH('TRANSPORT DASHBOARD'!$C$4,INDEX(MASTER_AREAS!$B:$B,1199)))),1198,""),""),IF('TRANSPORT DASHBOARD'!$B$4="Zone",IF(1198&lt;=$I$4,IF(OR('TRANSPORT DASHBOARD'!$C$4="",ISNUMBER(SEARCH('TRANSPORT DASHBOARD'!$C$4,INDEX(MASTER_ZONES!$B:$B,1199)))),1198,""),""),""))</f>
        <v/>
      </c>
    </row>
    <row r="1200">
      <c r="A1200">
        <f>IF('WSF DASHBOARD'!$B$4="Area",IF(1199&lt;=$D$3,IF(OR('WSF DASHBOARD'!$C$4="",ISNUMBER(SEARCH('WSF DASHBOARD'!$C$4,INDEX(MASTER_AREAS!$B:$B,1200)))),1199,""),""),IF('WSF DASHBOARD'!$B$4="Zone",IF(1199&lt;=$D$4,IF(OR('WSF DASHBOARD'!$C$4="",ISNUMBER(SEARCH('WSF DASHBOARD'!$C$4,INDEX(MASTER_ZONES!$B:$B,1200)))),1199,""),""),""))</f>
        <v/>
      </c>
      <c r="F1200">
        <f>IF('TRANSPORT DASHBOARD'!$B$4="Area",IF(1199&lt;=$I$3,IF(OR('TRANSPORT DASHBOARD'!$C$4="",ISNUMBER(SEARCH('TRANSPORT DASHBOARD'!$C$4,INDEX(MASTER_AREAS!$B:$B,1200)))),1199,""),""),IF('TRANSPORT DASHBOARD'!$B$4="Zone",IF(1199&lt;=$I$4,IF(OR('TRANSPORT DASHBOARD'!$C$4="",ISNUMBER(SEARCH('TRANSPORT DASHBOARD'!$C$4,INDEX(MASTER_ZONES!$B:$B,1200)))),1199,""),""),""))</f>
        <v/>
      </c>
    </row>
    <row r="1201">
      <c r="A1201">
        <f>IF('WSF DASHBOARD'!$B$4="Area",IF(1200&lt;=$D$3,IF(OR('WSF DASHBOARD'!$C$4="",ISNUMBER(SEARCH('WSF DASHBOARD'!$C$4,INDEX(MASTER_AREAS!$B:$B,1201)))),1200,""),""),IF('WSF DASHBOARD'!$B$4="Zone",IF(1200&lt;=$D$4,IF(OR('WSF DASHBOARD'!$C$4="",ISNUMBER(SEARCH('WSF DASHBOARD'!$C$4,INDEX(MASTER_ZONES!$B:$B,1201)))),1200,""),""),""))</f>
        <v/>
      </c>
      <c r="F1201">
        <f>IF('TRANSPORT DASHBOARD'!$B$4="Area",IF(1200&lt;=$I$3,IF(OR('TRANSPORT DASHBOARD'!$C$4="",ISNUMBER(SEARCH('TRANSPORT DASHBOARD'!$C$4,INDEX(MASTER_AREAS!$B:$B,1201)))),1200,""),""),IF('TRANSPORT DASHBOARD'!$B$4="Zone",IF(1200&lt;=$I$4,IF(OR('TRANSPORT DASHBOARD'!$C$4="",ISNUMBER(SEARCH('TRANSPORT DASHBOARD'!$C$4,INDEX(MASTER_ZONES!$B:$B,1201)))),1200,""),""),""))</f>
        <v/>
      </c>
    </row>
    <row r="1202">
      <c r="A1202">
        <f>IF('WSF DASHBOARD'!$B$4="Area",IF(1201&lt;=$D$3,IF(OR('WSF DASHBOARD'!$C$4="",ISNUMBER(SEARCH('WSF DASHBOARD'!$C$4,INDEX(MASTER_AREAS!$B:$B,1202)))),1201,""),""),IF('WSF DASHBOARD'!$B$4="Zone",IF(1201&lt;=$D$4,IF(OR('WSF DASHBOARD'!$C$4="",ISNUMBER(SEARCH('WSF DASHBOARD'!$C$4,INDEX(MASTER_ZONES!$B:$B,1202)))),1201,""),""),""))</f>
        <v/>
      </c>
      <c r="F1202">
        <f>IF('TRANSPORT DASHBOARD'!$B$4="Area",IF(1201&lt;=$I$3,IF(OR('TRANSPORT DASHBOARD'!$C$4="",ISNUMBER(SEARCH('TRANSPORT DASHBOARD'!$C$4,INDEX(MASTER_AREAS!$B:$B,1202)))),1201,""),""),IF('TRANSPORT DASHBOARD'!$B$4="Zone",IF(1201&lt;=$I$4,IF(OR('TRANSPORT DASHBOARD'!$C$4="",ISNUMBER(SEARCH('TRANSPORT DASHBOARD'!$C$4,INDEX(MASTER_ZONES!$B:$B,1202)))),1201,""),""),""))</f>
        <v/>
      </c>
    </row>
    <row r="1203">
      <c r="A1203">
        <f>IF('WSF DASHBOARD'!$B$4="Area",IF(1202&lt;=$D$3,IF(OR('WSF DASHBOARD'!$C$4="",ISNUMBER(SEARCH('WSF DASHBOARD'!$C$4,INDEX(MASTER_AREAS!$B:$B,1203)))),1202,""),""),IF('WSF DASHBOARD'!$B$4="Zone",IF(1202&lt;=$D$4,IF(OR('WSF DASHBOARD'!$C$4="",ISNUMBER(SEARCH('WSF DASHBOARD'!$C$4,INDEX(MASTER_ZONES!$B:$B,1203)))),1202,""),""),""))</f>
        <v/>
      </c>
      <c r="F1203">
        <f>IF('TRANSPORT DASHBOARD'!$B$4="Area",IF(1202&lt;=$I$3,IF(OR('TRANSPORT DASHBOARD'!$C$4="",ISNUMBER(SEARCH('TRANSPORT DASHBOARD'!$C$4,INDEX(MASTER_AREAS!$B:$B,1203)))),1202,""),""),IF('TRANSPORT DASHBOARD'!$B$4="Zone",IF(1202&lt;=$I$4,IF(OR('TRANSPORT DASHBOARD'!$C$4="",ISNUMBER(SEARCH('TRANSPORT DASHBOARD'!$C$4,INDEX(MASTER_ZONES!$B:$B,1203)))),1202,""),""),""))</f>
        <v/>
      </c>
    </row>
    <row r="1204">
      <c r="A1204">
        <f>IF('WSF DASHBOARD'!$B$4="Area",IF(1203&lt;=$D$3,IF(OR('WSF DASHBOARD'!$C$4="",ISNUMBER(SEARCH('WSF DASHBOARD'!$C$4,INDEX(MASTER_AREAS!$B:$B,1204)))),1203,""),""),IF('WSF DASHBOARD'!$B$4="Zone",IF(1203&lt;=$D$4,IF(OR('WSF DASHBOARD'!$C$4="",ISNUMBER(SEARCH('WSF DASHBOARD'!$C$4,INDEX(MASTER_ZONES!$B:$B,1204)))),1203,""),""),""))</f>
        <v/>
      </c>
      <c r="F1204">
        <f>IF('TRANSPORT DASHBOARD'!$B$4="Area",IF(1203&lt;=$I$3,IF(OR('TRANSPORT DASHBOARD'!$C$4="",ISNUMBER(SEARCH('TRANSPORT DASHBOARD'!$C$4,INDEX(MASTER_AREAS!$B:$B,1204)))),1203,""),""),IF('TRANSPORT DASHBOARD'!$B$4="Zone",IF(1203&lt;=$I$4,IF(OR('TRANSPORT DASHBOARD'!$C$4="",ISNUMBER(SEARCH('TRANSPORT DASHBOARD'!$C$4,INDEX(MASTER_ZONES!$B:$B,1204)))),1203,""),""),""))</f>
        <v/>
      </c>
    </row>
    <row r="1205">
      <c r="A1205">
        <f>IF('WSF DASHBOARD'!$B$4="Area",IF(1204&lt;=$D$3,IF(OR('WSF DASHBOARD'!$C$4="",ISNUMBER(SEARCH('WSF DASHBOARD'!$C$4,INDEX(MASTER_AREAS!$B:$B,1205)))),1204,""),""),IF('WSF DASHBOARD'!$B$4="Zone",IF(1204&lt;=$D$4,IF(OR('WSF DASHBOARD'!$C$4="",ISNUMBER(SEARCH('WSF DASHBOARD'!$C$4,INDEX(MASTER_ZONES!$B:$B,1205)))),1204,""),""),""))</f>
        <v/>
      </c>
      <c r="F1205">
        <f>IF('TRANSPORT DASHBOARD'!$B$4="Area",IF(1204&lt;=$I$3,IF(OR('TRANSPORT DASHBOARD'!$C$4="",ISNUMBER(SEARCH('TRANSPORT DASHBOARD'!$C$4,INDEX(MASTER_AREAS!$B:$B,1205)))),1204,""),""),IF('TRANSPORT DASHBOARD'!$B$4="Zone",IF(1204&lt;=$I$4,IF(OR('TRANSPORT DASHBOARD'!$C$4="",ISNUMBER(SEARCH('TRANSPORT DASHBOARD'!$C$4,INDEX(MASTER_ZONES!$B:$B,1205)))),1204,""),""),""))</f>
        <v/>
      </c>
    </row>
    <row r="1206">
      <c r="A1206">
        <f>IF('WSF DASHBOARD'!$B$4="Area",IF(1205&lt;=$D$3,IF(OR('WSF DASHBOARD'!$C$4="",ISNUMBER(SEARCH('WSF DASHBOARD'!$C$4,INDEX(MASTER_AREAS!$B:$B,1206)))),1205,""),""),IF('WSF DASHBOARD'!$B$4="Zone",IF(1205&lt;=$D$4,IF(OR('WSF DASHBOARD'!$C$4="",ISNUMBER(SEARCH('WSF DASHBOARD'!$C$4,INDEX(MASTER_ZONES!$B:$B,1206)))),1205,""),""),""))</f>
        <v/>
      </c>
      <c r="F1206">
        <f>IF('TRANSPORT DASHBOARD'!$B$4="Area",IF(1205&lt;=$I$3,IF(OR('TRANSPORT DASHBOARD'!$C$4="",ISNUMBER(SEARCH('TRANSPORT DASHBOARD'!$C$4,INDEX(MASTER_AREAS!$B:$B,1206)))),1205,""),""),IF('TRANSPORT DASHBOARD'!$B$4="Zone",IF(1205&lt;=$I$4,IF(OR('TRANSPORT DASHBOARD'!$C$4="",ISNUMBER(SEARCH('TRANSPORT DASHBOARD'!$C$4,INDEX(MASTER_ZONES!$B:$B,1206)))),1205,""),""),""))</f>
        <v/>
      </c>
    </row>
    <row r="1207">
      <c r="A1207">
        <f>IF('WSF DASHBOARD'!$B$4="Area",IF(1206&lt;=$D$3,IF(OR('WSF DASHBOARD'!$C$4="",ISNUMBER(SEARCH('WSF DASHBOARD'!$C$4,INDEX(MASTER_AREAS!$B:$B,1207)))),1206,""),""),IF('WSF DASHBOARD'!$B$4="Zone",IF(1206&lt;=$D$4,IF(OR('WSF DASHBOARD'!$C$4="",ISNUMBER(SEARCH('WSF DASHBOARD'!$C$4,INDEX(MASTER_ZONES!$B:$B,1207)))),1206,""),""),""))</f>
        <v/>
      </c>
      <c r="F1207">
        <f>IF('TRANSPORT DASHBOARD'!$B$4="Area",IF(1206&lt;=$I$3,IF(OR('TRANSPORT DASHBOARD'!$C$4="",ISNUMBER(SEARCH('TRANSPORT DASHBOARD'!$C$4,INDEX(MASTER_AREAS!$B:$B,1207)))),1206,""),""),IF('TRANSPORT DASHBOARD'!$B$4="Zone",IF(1206&lt;=$I$4,IF(OR('TRANSPORT DASHBOARD'!$C$4="",ISNUMBER(SEARCH('TRANSPORT DASHBOARD'!$C$4,INDEX(MASTER_ZONES!$B:$B,1207)))),1206,""),""),""))</f>
        <v/>
      </c>
    </row>
    <row r="1208">
      <c r="A1208">
        <f>IF('WSF DASHBOARD'!$B$4="Area",IF(1207&lt;=$D$3,IF(OR('WSF DASHBOARD'!$C$4="",ISNUMBER(SEARCH('WSF DASHBOARD'!$C$4,INDEX(MASTER_AREAS!$B:$B,1208)))),1207,""),""),IF('WSF DASHBOARD'!$B$4="Zone",IF(1207&lt;=$D$4,IF(OR('WSF DASHBOARD'!$C$4="",ISNUMBER(SEARCH('WSF DASHBOARD'!$C$4,INDEX(MASTER_ZONES!$B:$B,1208)))),1207,""),""),""))</f>
        <v/>
      </c>
      <c r="F1208">
        <f>IF('TRANSPORT DASHBOARD'!$B$4="Area",IF(1207&lt;=$I$3,IF(OR('TRANSPORT DASHBOARD'!$C$4="",ISNUMBER(SEARCH('TRANSPORT DASHBOARD'!$C$4,INDEX(MASTER_AREAS!$B:$B,1208)))),1207,""),""),IF('TRANSPORT DASHBOARD'!$B$4="Zone",IF(1207&lt;=$I$4,IF(OR('TRANSPORT DASHBOARD'!$C$4="",ISNUMBER(SEARCH('TRANSPORT DASHBOARD'!$C$4,INDEX(MASTER_ZONES!$B:$B,1208)))),1207,""),""),""))</f>
        <v/>
      </c>
    </row>
    <row r="1209">
      <c r="A1209">
        <f>IF('WSF DASHBOARD'!$B$4="Area",IF(1208&lt;=$D$3,IF(OR('WSF DASHBOARD'!$C$4="",ISNUMBER(SEARCH('WSF DASHBOARD'!$C$4,INDEX(MASTER_AREAS!$B:$B,1209)))),1208,""),""),IF('WSF DASHBOARD'!$B$4="Zone",IF(1208&lt;=$D$4,IF(OR('WSF DASHBOARD'!$C$4="",ISNUMBER(SEARCH('WSF DASHBOARD'!$C$4,INDEX(MASTER_ZONES!$B:$B,1209)))),1208,""),""),""))</f>
        <v/>
      </c>
      <c r="F1209">
        <f>IF('TRANSPORT DASHBOARD'!$B$4="Area",IF(1208&lt;=$I$3,IF(OR('TRANSPORT DASHBOARD'!$C$4="",ISNUMBER(SEARCH('TRANSPORT DASHBOARD'!$C$4,INDEX(MASTER_AREAS!$B:$B,1209)))),1208,""),""),IF('TRANSPORT DASHBOARD'!$B$4="Zone",IF(1208&lt;=$I$4,IF(OR('TRANSPORT DASHBOARD'!$C$4="",ISNUMBER(SEARCH('TRANSPORT DASHBOARD'!$C$4,INDEX(MASTER_ZONES!$B:$B,1209)))),1208,""),""),""))</f>
        <v/>
      </c>
    </row>
    <row r="1210">
      <c r="A1210">
        <f>IF('WSF DASHBOARD'!$B$4="Area",IF(1209&lt;=$D$3,IF(OR('WSF DASHBOARD'!$C$4="",ISNUMBER(SEARCH('WSF DASHBOARD'!$C$4,INDEX(MASTER_AREAS!$B:$B,1210)))),1209,""),""),IF('WSF DASHBOARD'!$B$4="Zone",IF(1209&lt;=$D$4,IF(OR('WSF DASHBOARD'!$C$4="",ISNUMBER(SEARCH('WSF DASHBOARD'!$C$4,INDEX(MASTER_ZONES!$B:$B,1210)))),1209,""),""),""))</f>
        <v/>
      </c>
      <c r="F1210">
        <f>IF('TRANSPORT DASHBOARD'!$B$4="Area",IF(1209&lt;=$I$3,IF(OR('TRANSPORT DASHBOARD'!$C$4="",ISNUMBER(SEARCH('TRANSPORT DASHBOARD'!$C$4,INDEX(MASTER_AREAS!$B:$B,1210)))),1209,""),""),IF('TRANSPORT DASHBOARD'!$B$4="Zone",IF(1209&lt;=$I$4,IF(OR('TRANSPORT DASHBOARD'!$C$4="",ISNUMBER(SEARCH('TRANSPORT DASHBOARD'!$C$4,INDEX(MASTER_ZONES!$B:$B,1210)))),1209,""),""),""))</f>
        <v/>
      </c>
    </row>
    <row r="1211">
      <c r="A1211">
        <f>IF('WSF DASHBOARD'!$B$4="Area",IF(1210&lt;=$D$3,IF(OR('WSF DASHBOARD'!$C$4="",ISNUMBER(SEARCH('WSF DASHBOARD'!$C$4,INDEX(MASTER_AREAS!$B:$B,1211)))),1210,""),""),IF('WSF DASHBOARD'!$B$4="Zone",IF(1210&lt;=$D$4,IF(OR('WSF DASHBOARD'!$C$4="",ISNUMBER(SEARCH('WSF DASHBOARD'!$C$4,INDEX(MASTER_ZONES!$B:$B,1211)))),1210,""),""),""))</f>
        <v/>
      </c>
      <c r="F1211">
        <f>IF('TRANSPORT DASHBOARD'!$B$4="Area",IF(1210&lt;=$I$3,IF(OR('TRANSPORT DASHBOARD'!$C$4="",ISNUMBER(SEARCH('TRANSPORT DASHBOARD'!$C$4,INDEX(MASTER_AREAS!$B:$B,1211)))),1210,""),""),IF('TRANSPORT DASHBOARD'!$B$4="Zone",IF(1210&lt;=$I$4,IF(OR('TRANSPORT DASHBOARD'!$C$4="",ISNUMBER(SEARCH('TRANSPORT DASHBOARD'!$C$4,INDEX(MASTER_ZONES!$B:$B,1211)))),1210,""),""),""))</f>
        <v/>
      </c>
    </row>
    <row r="1212">
      <c r="A1212">
        <f>IF('WSF DASHBOARD'!$B$4="Area",IF(1211&lt;=$D$3,IF(OR('WSF DASHBOARD'!$C$4="",ISNUMBER(SEARCH('WSF DASHBOARD'!$C$4,INDEX(MASTER_AREAS!$B:$B,1212)))),1211,""),""),IF('WSF DASHBOARD'!$B$4="Zone",IF(1211&lt;=$D$4,IF(OR('WSF DASHBOARD'!$C$4="",ISNUMBER(SEARCH('WSF DASHBOARD'!$C$4,INDEX(MASTER_ZONES!$B:$B,1212)))),1211,""),""),""))</f>
        <v/>
      </c>
      <c r="F1212">
        <f>IF('TRANSPORT DASHBOARD'!$B$4="Area",IF(1211&lt;=$I$3,IF(OR('TRANSPORT DASHBOARD'!$C$4="",ISNUMBER(SEARCH('TRANSPORT DASHBOARD'!$C$4,INDEX(MASTER_AREAS!$B:$B,1212)))),1211,""),""),IF('TRANSPORT DASHBOARD'!$B$4="Zone",IF(1211&lt;=$I$4,IF(OR('TRANSPORT DASHBOARD'!$C$4="",ISNUMBER(SEARCH('TRANSPORT DASHBOARD'!$C$4,INDEX(MASTER_ZONES!$B:$B,1212)))),1211,""),""),""))</f>
        <v/>
      </c>
    </row>
    <row r="1213">
      <c r="A1213">
        <f>IF('WSF DASHBOARD'!$B$4="Area",IF(1212&lt;=$D$3,IF(OR('WSF DASHBOARD'!$C$4="",ISNUMBER(SEARCH('WSF DASHBOARD'!$C$4,INDEX(MASTER_AREAS!$B:$B,1213)))),1212,""),""),IF('WSF DASHBOARD'!$B$4="Zone",IF(1212&lt;=$D$4,IF(OR('WSF DASHBOARD'!$C$4="",ISNUMBER(SEARCH('WSF DASHBOARD'!$C$4,INDEX(MASTER_ZONES!$B:$B,1213)))),1212,""),""),""))</f>
        <v/>
      </c>
      <c r="F1213">
        <f>IF('TRANSPORT DASHBOARD'!$B$4="Area",IF(1212&lt;=$I$3,IF(OR('TRANSPORT DASHBOARD'!$C$4="",ISNUMBER(SEARCH('TRANSPORT DASHBOARD'!$C$4,INDEX(MASTER_AREAS!$B:$B,1213)))),1212,""),""),IF('TRANSPORT DASHBOARD'!$B$4="Zone",IF(1212&lt;=$I$4,IF(OR('TRANSPORT DASHBOARD'!$C$4="",ISNUMBER(SEARCH('TRANSPORT DASHBOARD'!$C$4,INDEX(MASTER_ZONES!$B:$B,1213)))),1212,""),""),""))</f>
        <v/>
      </c>
    </row>
    <row r="1214">
      <c r="A1214">
        <f>IF('WSF DASHBOARD'!$B$4="Area",IF(1213&lt;=$D$3,IF(OR('WSF DASHBOARD'!$C$4="",ISNUMBER(SEARCH('WSF DASHBOARD'!$C$4,INDEX(MASTER_AREAS!$B:$B,1214)))),1213,""),""),IF('WSF DASHBOARD'!$B$4="Zone",IF(1213&lt;=$D$4,IF(OR('WSF DASHBOARD'!$C$4="",ISNUMBER(SEARCH('WSF DASHBOARD'!$C$4,INDEX(MASTER_ZONES!$B:$B,1214)))),1213,""),""),""))</f>
        <v/>
      </c>
      <c r="F1214">
        <f>IF('TRANSPORT DASHBOARD'!$B$4="Area",IF(1213&lt;=$I$3,IF(OR('TRANSPORT DASHBOARD'!$C$4="",ISNUMBER(SEARCH('TRANSPORT DASHBOARD'!$C$4,INDEX(MASTER_AREAS!$B:$B,1214)))),1213,""),""),IF('TRANSPORT DASHBOARD'!$B$4="Zone",IF(1213&lt;=$I$4,IF(OR('TRANSPORT DASHBOARD'!$C$4="",ISNUMBER(SEARCH('TRANSPORT DASHBOARD'!$C$4,INDEX(MASTER_ZONES!$B:$B,1214)))),1213,""),""),""))</f>
        <v/>
      </c>
    </row>
    <row r="1215">
      <c r="A1215">
        <f>IF('WSF DASHBOARD'!$B$4="Area",IF(1214&lt;=$D$3,IF(OR('WSF DASHBOARD'!$C$4="",ISNUMBER(SEARCH('WSF DASHBOARD'!$C$4,INDEX(MASTER_AREAS!$B:$B,1215)))),1214,""),""),IF('WSF DASHBOARD'!$B$4="Zone",IF(1214&lt;=$D$4,IF(OR('WSF DASHBOARD'!$C$4="",ISNUMBER(SEARCH('WSF DASHBOARD'!$C$4,INDEX(MASTER_ZONES!$B:$B,1215)))),1214,""),""),""))</f>
        <v/>
      </c>
      <c r="F1215">
        <f>IF('TRANSPORT DASHBOARD'!$B$4="Area",IF(1214&lt;=$I$3,IF(OR('TRANSPORT DASHBOARD'!$C$4="",ISNUMBER(SEARCH('TRANSPORT DASHBOARD'!$C$4,INDEX(MASTER_AREAS!$B:$B,1215)))),1214,""),""),IF('TRANSPORT DASHBOARD'!$B$4="Zone",IF(1214&lt;=$I$4,IF(OR('TRANSPORT DASHBOARD'!$C$4="",ISNUMBER(SEARCH('TRANSPORT DASHBOARD'!$C$4,INDEX(MASTER_ZONES!$B:$B,1215)))),1214,""),""),""))</f>
        <v/>
      </c>
    </row>
    <row r="1216">
      <c r="A1216">
        <f>IF('WSF DASHBOARD'!$B$4="Area",IF(1215&lt;=$D$3,IF(OR('WSF DASHBOARD'!$C$4="",ISNUMBER(SEARCH('WSF DASHBOARD'!$C$4,INDEX(MASTER_AREAS!$B:$B,1216)))),1215,""),""),IF('WSF DASHBOARD'!$B$4="Zone",IF(1215&lt;=$D$4,IF(OR('WSF DASHBOARD'!$C$4="",ISNUMBER(SEARCH('WSF DASHBOARD'!$C$4,INDEX(MASTER_ZONES!$B:$B,1216)))),1215,""),""),""))</f>
        <v/>
      </c>
      <c r="F1216">
        <f>IF('TRANSPORT DASHBOARD'!$B$4="Area",IF(1215&lt;=$I$3,IF(OR('TRANSPORT DASHBOARD'!$C$4="",ISNUMBER(SEARCH('TRANSPORT DASHBOARD'!$C$4,INDEX(MASTER_AREAS!$B:$B,1216)))),1215,""),""),IF('TRANSPORT DASHBOARD'!$B$4="Zone",IF(1215&lt;=$I$4,IF(OR('TRANSPORT DASHBOARD'!$C$4="",ISNUMBER(SEARCH('TRANSPORT DASHBOARD'!$C$4,INDEX(MASTER_ZONES!$B:$B,1216)))),1215,""),""),""))</f>
        <v/>
      </c>
    </row>
    <row r="1217">
      <c r="A1217">
        <f>IF('WSF DASHBOARD'!$B$4="Area",IF(1216&lt;=$D$3,IF(OR('WSF DASHBOARD'!$C$4="",ISNUMBER(SEARCH('WSF DASHBOARD'!$C$4,INDEX(MASTER_AREAS!$B:$B,1217)))),1216,""),""),IF('WSF DASHBOARD'!$B$4="Zone",IF(1216&lt;=$D$4,IF(OR('WSF DASHBOARD'!$C$4="",ISNUMBER(SEARCH('WSF DASHBOARD'!$C$4,INDEX(MASTER_ZONES!$B:$B,1217)))),1216,""),""),""))</f>
        <v/>
      </c>
      <c r="F1217">
        <f>IF('TRANSPORT DASHBOARD'!$B$4="Area",IF(1216&lt;=$I$3,IF(OR('TRANSPORT DASHBOARD'!$C$4="",ISNUMBER(SEARCH('TRANSPORT DASHBOARD'!$C$4,INDEX(MASTER_AREAS!$B:$B,1217)))),1216,""),""),IF('TRANSPORT DASHBOARD'!$B$4="Zone",IF(1216&lt;=$I$4,IF(OR('TRANSPORT DASHBOARD'!$C$4="",ISNUMBER(SEARCH('TRANSPORT DASHBOARD'!$C$4,INDEX(MASTER_ZONES!$B:$B,1217)))),1216,""),""),""))</f>
        <v/>
      </c>
    </row>
    <row r="1218">
      <c r="A1218">
        <f>IF('WSF DASHBOARD'!$B$4="Area",IF(1217&lt;=$D$3,IF(OR('WSF DASHBOARD'!$C$4="",ISNUMBER(SEARCH('WSF DASHBOARD'!$C$4,INDEX(MASTER_AREAS!$B:$B,1218)))),1217,""),""),IF('WSF DASHBOARD'!$B$4="Zone",IF(1217&lt;=$D$4,IF(OR('WSF DASHBOARD'!$C$4="",ISNUMBER(SEARCH('WSF DASHBOARD'!$C$4,INDEX(MASTER_ZONES!$B:$B,1218)))),1217,""),""),""))</f>
        <v/>
      </c>
      <c r="F1218">
        <f>IF('TRANSPORT DASHBOARD'!$B$4="Area",IF(1217&lt;=$I$3,IF(OR('TRANSPORT DASHBOARD'!$C$4="",ISNUMBER(SEARCH('TRANSPORT DASHBOARD'!$C$4,INDEX(MASTER_AREAS!$B:$B,1218)))),1217,""),""),IF('TRANSPORT DASHBOARD'!$B$4="Zone",IF(1217&lt;=$I$4,IF(OR('TRANSPORT DASHBOARD'!$C$4="",ISNUMBER(SEARCH('TRANSPORT DASHBOARD'!$C$4,INDEX(MASTER_ZONES!$B:$B,1218)))),1217,""),""),""))</f>
        <v/>
      </c>
    </row>
    <row r="1219">
      <c r="A1219">
        <f>IF('WSF DASHBOARD'!$B$4="Area",IF(1218&lt;=$D$3,IF(OR('WSF DASHBOARD'!$C$4="",ISNUMBER(SEARCH('WSF DASHBOARD'!$C$4,INDEX(MASTER_AREAS!$B:$B,1219)))),1218,""),""),IF('WSF DASHBOARD'!$B$4="Zone",IF(1218&lt;=$D$4,IF(OR('WSF DASHBOARD'!$C$4="",ISNUMBER(SEARCH('WSF DASHBOARD'!$C$4,INDEX(MASTER_ZONES!$B:$B,1219)))),1218,""),""),""))</f>
        <v/>
      </c>
      <c r="F1219">
        <f>IF('TRANSPORT DASHBOARD'!$B$4="Area",IF(1218&lt;=$I$3,IF(OR('TRANSPORT DASHBOARD'!$C$4="",ISNUMBER(SEARCH('TRANSPORT DASHBOARD'!$C$4,INDEX(MASTER_AREAS!$B:$B,1219)))),1218,""),""),IF('TRANSPORT DASHBOARD'!$B$4="Zone",IF(1218&lt;=$I$4,IF(OR('TRANSPORT DASHBOARD'!$C$4="",ISNUMBER(SEARCH('TRANSPORT DASHBOARD'!$C$4,INDEX(MASTER_ZONES!$B:$B,1219)))),1218,""),""),""))</f>
        <v/>
      </c>
    </row>
    <row r="1220">
      <c r="A1220">
        <f>IF('WSF DASHBOARD'!$B$4="Area",IF(1219&lt;=$D$3,IF(OR('WSF DASHBOARD'!$C$4="",ISNUMBER(SEARCH('WSF DASHBOARD'!$C$4,INDEX(MASTER_AREAS!$B:$B,1220)))),1219,""),""),IF('WSF DASHBOARD'!$B$4="Zone",IF(1219&lt;=$D$4,IF(OR('WSF DASHBOARD'!$C$4="",ISNUMBER(SEARCH('WSF DASHBOARD'!$C$4,INDEX(MASTER_ZONES!$B:$B,1220)))),1219,""),""),""))</f>
        <v/>
      </c>
      <c r="F1220">
        <f>IF('TRANSPORT DASHBOARD'!$B$4="Area",IF(1219&lt;=$I$3,IF(OR('TRANSPORT DASHBOARD'!$C$4="",ISNUMBER(SEARCH('TRANSPORT DASHBOARD'!$C$4,INDEX(MASTER_AREAS!$B:$B,1220)))),1219,""),""),IF('TRANSPORT DASHBOARD'!$B$4="Zone",IF(1219&lt;=$I$4,IF(OR('TRANSPORT DASHBOARD'!$C$4="",ISNUMBER(SEARCH('TRANSPORT DASHBOARD'!$C$4,INDEX(MASTER_ZONES!$B:$B,1220)))),1219,""),""),""))</f>
        <v/>
      </c>
    </row>
    <row r="1221">
      <c r="A1221">
        <f>IF('WSF DASHBOARD'!$B$4="Area",IF(1220&lt;=$D$3,IF(OR('WSF DASHBOARD'!$C$4="",ISNUMBER(SEARCH('WSF DASHBOARD'!$C$4,INDEX(MASTER_AREAS!$B:$B,1221)))),1220,""),""),IF('WSF DASHBOARD'!$B$4="Zone",IF(1220&lt;=$D$4,IF(OR('WSF DASHBOARD'!$C$4="",ISNUMBER(SEARCH('WSF DASHBOARD'!$C$4,INDEX(MASTER_ZONES!$B:$B,1221)))),1220,""),""),""))</f>
        <v/>
      </c>
      <c r="F1221">
        <f>IF('TRANSPORT DASHBOARD'!$B$4="Area",IF(1220&lt;=$I$3,IF(OR('TRANSPORT DASHBOARD'!$C$4="",ISNUMBER(SEARCH('TRANSPORT DASHBOARD'!$C$4,INDEX(MASTER_AREAS!$B:$B,1221)))),1220,""),""),IF('TRANSPORT DASHBOARD'!$B$4="Zone",IF(1220&lt;=$I$4,IF(OR('TRANSPORT DASHBOARD'!$C$4="",ISNUMBER(SEARCH('TRANSPORT DASHBOARD'!$C$4,INDEX(MASTER_ZONES!$B:$B,1221)))),1220,""),""),""))</f>
        <v/>
      </c>
    </row>
    <row r="1222">
      <c r="A1222">
        <f>IF('WSF DASHBOARD'!$B$4="Area",IF(1221&lt;=$D$3,IF(OR('WSF DASHBOARD'!$C$4="",ISNUMBER(SEARCH('WSF DASHBOARD'!$C$4,INDEX(MASTER_AREAS!$B:$B,1222)))),1221,""),""),IF('WSF DASHBOARD'!$B$4="Zone",IF(1221&lt;=$D$4,IF(OR('WSF DASHBOARD'!$C$4="",ISNUMBER(SEARCH('WSF DASHBOARD'!$C$4,INDEX(MASTER_ZONES!$B:$B,1222)))),1221,""),""),""))</f>
        <v/>
      </c>
      <c r="F1222">
        <f>IF('TRANSPORT DASHBOARD'!$B$4="Area",IF(1221&lt;=$I$3,IF(OR('TRANSPORT DASHBOARD'!$C$4="",ISNUMBER(SEARCH('TRANSPORT DASHBOARD'!$C$4,INDEX(MASTER_AREAS!$B:$B,1222)))),1221,""),""),IF('TRANSPORT DASHBOARD'!$B$4="Zone",IF(1221&lt;=$I$4,IF(OR('TRANSPORT DASHBOARD'!$C$4="",ISNUMBER(SEARCH('TRANSPORT DASHBOARD'!$C$4,INDEX(MASTER_ZONES!$B:$B,1222)))),1221,""),""),""))</f>
        <v/>
      </c>
    </row>
    <row r="1223">
      <c r="A1223">
        <f>IF('WSF DASHBOARD'!$B$4="Area",IF(1222&lt;=$D$3,IF(OR('WSF DASHBOARD'!$C$4="",ISNUMBER(SEARCH('WSF DASHBOARD'!$C$4,INDEX(MASTER_AREAS!$B:$B,1223)))),1222,""),""),IF('WSF DASHBOARD'!$B$4="Zone",IF(1222&lt;=$D$4,IF(OR('WSF DASHBOARD'!$C$4="",ISNUMBER(SEARCH('WSF DASHBOARD'!$C$4,INDEX(MASTER_ZONES!$B:$B,1223)))),1222,""),""),""))</f>
        <v/>
      </c>
      <c r="F1223">
        <f>IF('TRANSPORT DASHBOARD'!$B$4="Area",IF(1222&lt;=$I$3,IF(OR('TRANSPORT DASHBOARD'!$C$4="",ISNUMBER(SEARCH('TRANSPORT DASHBOARD'!$C$4,INDEX(MASTER_AREAS!$B:$B,1223)))),1222,""),""),IF('TRANSPORT DASHBOARD'!$B$4="Zone",IF(1222&lt;=$I$4,IF(OR('TRANSPORT DASHBOARD'!$C$4="",ISNUMBER(SEARCH('TRANSPORT DASHBOARD'!$C$4,INDEX(MASTER_ZONES!$B:$B,1223)))),1222,""),""),""))</f>
        <v/>
      </c>
    </row>
    <row r="1224">
      <c r="A1224">
        <f>IF('WSF DASHBOARD'!$B$4="Area",IF(1223&lt;=$D$3,IF(OR('WSF DASHBOARD'!$C$4="",ISNUMBER(SEARCH('WSF DASHBOARD'!$C$4,INDEX(MASTER_AREAS!$B:$B,1224)))),1223,""),""),IF('WSF DASHBOARD'!$B$4="Zone",IF(1223&lt;=$D$4,IF(OR('WSF DASHBOARD'!$C$4="",ISNUMBER(SEARCH('WSF DASHBOARD'!$C$4,INDEX(MASTER_ZONES!$B:$B,1224)))),1223,""),""),""))</f>
        <v/>
      </c>
      <c r="F1224">
        <f>IF('TRANSPORT DASHBOARD'!$B$4="Area",IF(1223&lt;=$I$3,IF(OR('TRANSPORT DASHBOARD'!$C$4="",ISNUMBER(SEARCH('TRANSPORT DASHBOARD'!$C$4,INDEX(MASTER_AREAS!$B:$B,1224)))),1223,""),""),IF('TRANSPORT DASHBOARD'!$B$4="Zone",IF(1223&lt;=$I$4,IF(OR('TRANSPORT DASHBOARD'!$C$4="",ISNUMBER(SEARCH('TRANSPORT DASHBOARD'!$C$4,INDEX(MASTER_ZONES!$B:$B,1224)))),1223,""),""),""))</f>
        <v/>
      </c>
    </row>
    <row r="1225">
      <c r="A1225">
        <f>IF('WSF DASHBOARD'!$B$4="Area",IF(1224&lt;=$D$3,IF(OR('WSF DASHBOARD'!$C$4="",ISNUMBER(SEARCH('WSF DASHBOARD'!$C$4,INDEX(MASTER_AREAS!$B:$B,1225)))),1224,""),""),IF('WSF DASHBOARD'!$B$4="Zone",IF(1224&lt;=$D$4,IF(OR('WSF DASHBOARD'!$C$4="",ISNUMBER(SEARCH('WSF DASHBOARD'!$C$4,INDEX(MASTER_ZONES!$B:$B,1225)))),1224,""),""),""))</f>
        <v/>
      </c>
      <c r="F1225">
        <f>IF('TRANSPORT DASHBOARD'!$B$4="Area",IF(1224&lt;=$I$3,IF(OR('TRANSPORT DASHBOARD'!$C$4="",ISNUMBER(SEARCH('TRANSPORT DASHBOARD'!$C$4,INDEX(MASTER_AREAS!$B:$B,1225)))),1224,""),""),IF('TRANSPORT DASHBOARD'!$B$4="Zone",IF(1224&lt;=$I$4,IF(OR('TRANSPORT DASHBOARD'!$C$4="",ISNUMBER(SEARCH('TRANSPORT DASHBOARD'!$C$4,INDEX(MASTER_ZONES!$B:$B,1225)))),1224,""),""),""))</f>
        <v/>
      </c>
    </row>
    <row r="1226">
      <c r="A1226">
        <f>IF('WSF DASHBOARD'!$B$4="Area",IF(1225&lt;=$D$3,IF(OR('WSF DASHBOARD'!$C$4="",ISNUMBER(SEARCH('WSF DASHBOARD'!$C$4,INDEX(MASTER_AREAS!$B:$B,1226)))),1225,""),""),IF('WSF DASHBOARD'!$B$4="Zone",IF(1225&lt;=$D$4,IF(OR('WSF DASHBOARD'!$C$4="",ISNUMBER(SEARCH('WSF DASHBOARD'!$C$4,INDEX(MASTER_ZONES!$B:$B,1226)))),1225,""),""),""))</f>
        <v/>
      </c>
      <c r="F1226">
        <f>IF('TRANSPORT DASHBOARD'!$B$4="Area",IF(1225&lt;=$I$3,IF(OR('TRANSPORT DASHBOARD'!$C$4="",ISNUMBER(SEARCH('TRANSPORT DASHBOARD'!$C$4,INDEX(MASTER_AREAS!$B:$B,1226)))),1225,""),""),IF('TRANSPORT DASHBOARD'!$B$4="Zone",IF(1225&lt;=$I$4,IF(OR('TRANSPORT DASHBOARD'!$C$4="",ISNUMBER(SEARCH('TRANSPORT DASHBOARD'!$C$4,INDEX(MASTER_ZONES!$B:$B,1226)))),1225,""),""),""))</f>
        <v/>
      </c>
    </row>
    <row r="1227">
      <c r="A1227">
        <f>IF('WSF DASHBOARD'!$B$4="Area",IF(1226&lt;=$D$3,IF(OR('WSF DASHBOARD'!$C$4="",ISNUMBER(SEARCH('WSF DASHBOARD'!$C$4,INDEX(MASTER_AREAS!$B:$B,1227)))),1226,""),""),IF('WSF DASHBOARD'!$B$4="Zone",IF(1226&lt;=$D$4,IF(OR('WSF DASHBOARD'!$C$4="",ISNUMBER(SEARCH('WSF DASHBOARD'!$C$4,INDEX(MASTER_ZONES!$B:$B,1227)))),1226,""),""),""))</f>
        <v/>
      </c>
      <c r="F1227">
        <f>IF('TRANSPORT DASHBOARD'!$B$4="Area",IF(1226&lt;=$I$3,IF(OR('TRANSPORT DASHBOARD'!$C$4="",ISNUMBER(SEARCH('TRANSPORT DASHBOARD'!$C$4,INDEX(MASTER_AREAS!$B:$B,1227)))),1226,""),""),IF('TRANSPORT DASHBOARD'!$B$4="Zone",IF(1226&lt;=$I$4,IF(OR('TRANSPORT DASHBOARD'!$C$4="",ISNUMBER(SEARCH('TRANSPORT DASHBOARD'!$C$4,INDEX(MASTER_ZONES!$B:$B,1227)))),1226,""),""),""))</f>
        <v/>
      </c>
    </row>
    <row r="1228">
      <c r="A1228">
        <f>IF('WSF DASHBOARD'!$B$4="Area",IF(1227&lt;=$D$3,IF(OR('WSF DASHBOARD'!$C$4="",ISNUMBER(SEARCH('WSF DASHBOARD'!$C$4,INDEX(MASTER_AREAS!$B:$B,1228)))),1227,""),""),IF('WSF DASHBOARD'!$B$4="Zone",IF(1227&lt;=$D$4,IF(OR('WSF DASHBOARD'!$C$4="",ISNUMBER(SEARCH('WSF DASHBOARD'!$C$4,INDEX(MASTER_ZONES!$B:$B,1228)))),1227,""),""),""))</f>
        <v/>
      </c>
      <c r="F1228">
        <f>IF('TRANSPORT DASHBOARD'!$B$4="Area",IF(1227&lt;=$I$3,IF(OR('TRANSPORT DASHBOARD'!$C$4="",ISNUMBER(SEARCH('TRANSPORT DASHBOARD'!$C$4,INDEX(MASTER_AREAS!$B:$B,1228)))),1227,""),""),IF('TRANSPORT DASHBOARD'!$B$4="Zone",IF(1227&lt;=$I$4,IF(OR('TRANSPORT DASHBOARD'!$C$4="",ISNUMBER(SEARCH('TRANSPORT DASHBOARD'!$C$4,INDEX(MASTER_ZONES!$B:$B,1228)))),1227,""),""),""))</f>
        <v/>
      </c>
    </row>
    <row r="1229">
      <c r="A1229">
        <f>IF('WSF DASHBOARD'!$B$4="Area",IF(1228&lt;=$D$3,IF(OR('WSF DASHBOARD'!$C$4="",ISNUMBER(SEARCH('WSF DASHBOARD'!$C$4,INDEX(MASTER_AREAS!$B:$B,1229)))),1228,""),""),IF('WSF DASHBOARD'!$B$4="Zone",IF(1228&lt;=$D$4,IF(OR('WSF DASHBOARD'!$C$4="",ISNUMBER(SEARCH('WSF DASHBOARD'!$C$4,INDEX(MASTER_ZONES!$B:$B,1229)))),1228,""),""),""))</f>
        <v/>
      </c>
      <c r="F1229">
        <f>IF('TRANSPORT DASHBOARD'!$B$4="Area",IF(1228&lt;=$I$3,IF(OR('TRANSPORT DASHBOARD'!$C$4="",ISNUMBER(SEARCH('TRANSPORT DASHBOARD'!$C$4,INDEX(MASTER_AREAS!$B:$B,1229)))),1228,""),""),IF('TRANSPORT DASHBOARD'!$B$4="Zone",IF(1228&lt;=$I$4,IF(OR('TRANSPORT DASHBOARD'!$C$4="",ISNUMBER(SEARCH('TRANSPORT DASHBOARD'!$C$4,INDEX(MASTER_ZONES!$B:$B,1229)))),1228,""),""),""))</f>
        <v/>
      </c>
    </row>
    <row r="1230">
      <c r="A1230">
        <f>IF('WSF DASHBOARD'!$B$4="Area",IF(1229&lt;=$D$3,IF(OR('WSF DASHBOARD'!$C$4="",ISNUMBER(SEARCH('WSF DASHBOARD'!$C$4,INDEX(MASTER_AREAS!$B:$B,1230)))),1229,""),""),IF('WSF DASHBOARD'!$B$4="Zone",IF(1229&lt;=$D$4,IF(OR('WSF DASHBOARD'!$C$4="",ISNUMBER(SEARCH('WSF DASHBOARD'!$C$4,INDEX(MASTER_ZONES!$B:$B,1230)))),1229,""),""),""))</f>
        <v/>
      </c>
      <c r="F1230">
        <f>IF('TRANSPORT DASHBOARD'!$B$4="Area",IF(1229&lt;=$I$3,IF(OR('TRANSPORT DASHBOARD'!$C$4="",ISNUMBER(SEARCH('TRANSPORT DASHBOARD'!$C$4,INDEX(MASTER_AREAS!$B:$B,1230)))),1229,""),""),IF('TRANSPORT DASHBOARD'!$B$4="Zone",IF(1229&lt;=$I$4,IF(OR('TRANSPORT DASHBOARD'!$C$4="",ISNUMBER(SEARCH('TRANSPORT DASHBOARD'!$C$4,INDEX(MASTER_ZONES!$B:$B,1230)))),1229,""),""),""))</f>
        <v/>
      </c>
    </row>
    <row r="1231">
      <c r="A1231">
        <f>IF('WSF DASHBOARD'!$B$4="Area",IF(1230&lt;=$D$3,IF(OR('WSF DASHBOARD'!$C$4="",ISNUMBER(SEARCH('WSF DASHBOARD'!$C$4,INDEX(MASTER_AREAS!$B:$B,1231)))),1230,""),""),IF('WSF DASHBOARD'!$B$4="Zone",IF(1230&lt;=$D$4,IF(OR('WSF DASHBOARD'!$C$4="",ISNUMBER(SEARCH('WSF DASHBOARD'!$C$4,INDEX(MASTER_ZONES!$B:$B,1231)))),1230,""),""),""))</f>
        <v/>
      </c>
      <c r="F1231">
        <f>IF('TRANSPORT DASHBOARD'!$B$4="Area",IF(1230&lt;=$I$3,IF(OR('TRANSPORT DASHBOARD'!$C$4="",ISNUMBER(SEARCH('TRANSPORT DASHBOARD'!$C$4,INDEX(MASTER_AREAS!$B:$B,1231)))),1230,""),""),IF('TRANSPORT DASHBOARD'!$B$4="Zone",IF(1230&lt;=$I$4,IF(OR('TRANSPORT DASHBOARD'!$C$4="",ISNUMBER(SEARCH('TRANSPORT DASHBOARD'!$C$4,INDEX(MASTER_ZONES!$B:$B,1231)))),1230,""),""),""))</f>
        <v/>
      </c>
    </row>
    <row r="1232">
      <c r="A1232">
        <f>IF('WSF DASHBOARD'!$B$4="Area",IF(1231&lt;=$D$3,IF(OR('WSF DASHBOARD'!$C$4="",ISNUMBER(SEARCH('WSF DASHBOARD'!$C$4,INDEX(MASTER_AREAS!$B:$B,1232)))),1231,""),""),IF('WSF DASHBOARD'!$B$4="Zone",IF(1231&lt;=$D$4,IF(OR('WSF DASHBOARD'!$C$4="",ISNUMBER(SEARCH('WSF DASHBOARD'!$C$4,INDEX(MASTER_ZONES!$B:$B,1232)))),1231,""),""),""))</f>
        <v/>
      </c>
      <c r="F1232">
        <f>IF('TRANSPORT DASHBOARD'!$B$4="Area",IF(1231&lt;=$I$3,IF(OR('TRANSPORT DASHBOARD'!$C$4="",ISNUMBER(SEARCH('TRANSPORT DASHBOARD'!$C$4,INDEX(MASTER_AREAS!$B:$B,1232)))),1231,""),""),IF('TRANSPORT DASHBOARD'!$B$4="Zone",IF(1231&lt;=$I$4,IF(OR('TRANSPORT DASHBOARD'!$C$4="",ISNUMBER(SEARCH('TRANSPORT DASHBOARD'!$C$4,INDEX(MASTER_ZONES!$B:$B,1232)))),1231,""),""),""))</f>
        <v/>
      </c>
    </row>
    <row r="1233">
      <c r="A1233">
        <f>IF('WSF DASHBOARD'!$B$4="Area",IF(1232&lt;=$D$3,IF(OR('WSF DASHBOARD'!$C$4="",ISNUMBER(SEARCH('WSF DASHBOARD'!$C$4,INDEX(MASTER_AREAS!$B:$B,1233)))),1232,""),""),IF('WSF DASHBOARD'!$B$4="Zone",IF(1232&lt;=$D$4,IF(OR('WSF DASHBOARD'!$C$4="",ISNUMBER(SEARCH('WSF DASHBOARD'!$C$4,INDEX(MASTER_ZONES!$B:$B,1233)))),1232,""),""),""))</f>
        <v/>
      </c>
      <c r="F1233">
        <f>IF('TRANSPORT DASHBOARD'!$B$4="Area",IF(1232&lt;=$I$3,IF(OR('TRANSPORT DASHBOARD'!$C$4="",ISNUMBER(SEARCH('TRANSPORT DASHBOARD'!$C$4,INDEX(MASTER_AREAS!$B:$B,1233)))),1232,""),""),IF('TRANSPORT DASHBOARD'!$B$4="Zone",IF(1232&lt;=$I$4,IF(OR('TRANSPORT DASHBOARD'!$C$4="",ISNUMBER(SEARCH('TRANSPORT DASHBOARD'!$C$4,INDEX(MASTER_ZONES!$B:$B,1233)))),1232,""),""),""))</f>
        <v/>
      </c>
    </row>
    <row r="1234">
      <c r="A1234">
        <f>IF('WSF DASHBOARD'!$B$4="Area",IF(1233&lt;=$D$3,IF(OR('WSF DASHBOARD'!$C$4="",ISNUMBER(SEARCH('WSF DASHBOARD'!$C$4,INDEX(MASTER_AREAS!$B:$B,1234)))),1233,""),""),IF('WSF DASHBOARD'!$B$4="Zone",IF(1233&lt;=$D$4,IF(OR('WSF DASHBOARD'!$C$4="",ISNUMBER(SEARCH('WSF DASHBOARD'!$C$4,INDEX(MASTER_ZONES!$B:$B,1234)))),1233,""),""),""))</f>
        <v/>
      </c>
      <c r="F1234">
        <f>IF('TRANSPORT DASHBOARD'!$B$4="Area",IF(1233&lt;=$I$3,IF(OR('TRANSPORT DASHBOARD'!$C$4="",ISNUMBER(SEARCH('TRANSPORT DASHBOARD'!$C$4,INDEX(MASTER_AREAS!$B:$B,1234)))),1233,""),""),IF('TRANSPORT DASHBOARD'!$B$4="Zone",IF(1233&lt;=$I$4,IF(OR('TRANSPORT DASHBOARD'!$C$4="",ISNUMBER(SEARCH('TRANSPORT DASHBOARD'!$C$4,INDEX(MASTER_ZONES!$B:$B,1234)))),1233,""),""),""))</f>
        <v/>
      </c>
    </row>
    <row r="1235">
      <c r="A1235">
        <f>IF('WSF DASHBOARD'!$B$4="Area",IF(1234&lt;=$D$3,IF(OR('WSF DASHBOARD'!$C$4="",ISNUMBER(SEARCH('WSF DASHBOARD'!$C$4,INDEX(MASTER_AREAS!$B:$B,1235)))),1234,""),""),IF('WSF DASHBOARD'!$B$4="Zone",IF(1234&lt;=$D$4,IF(OR('WSF DASHBOARD'!$C$4="",ISNUMBER(SEARCH('WSF DASHBOARD'!$C$4,INDEX(MASTER_ZONES!$B:$B,1235)))),1234,""),""),""))</f>
        <v/>
      </c>
      <c r="F1235">
        <f>IF('TRANSPORT DASHBOARD'!$B$4="Area",IF(1234&lt;=$I$3,IF(OR('TRANSPORT DASHBOARD'!$C$4="",ISNUMBER(SEARCH('TRANSPORT DASHBOARD'!$C$4,INDEX(MASTER_AREAS!$B:$B,1235)))),1234,""),""),IF('TRANSPORT DASHBOARD'!$B$4="Zone",IF(1234&lt;=$I$4,IF(OR('TRANSPORT DASHBOARD'!$C$4="",ISNUMBER(SEARCH('TRANSPORT DASHBOARD'!$C$4,INDEX(MASTER_ZONES!$B:$B,1235)))),1234,""),""),""))</f>
        <v/>
      </c>
    </row>
    <row r="1236">
      <c r="A1236">
        <f>IF('WSF DASHBOARD'!$B$4="Area",IF(1235&lt;=$D$3,IF(OR('WSF DASHBOARD'!$C$4="",ISNUMBER(SEARCH('WSF DASHBOARD'!$C$4,INDEX(MASTER_AREAS!$B:$B,1236)))),1235,""),""),IF('WSF DASHBOARD'!$B$4="Zone",IF(1235&lt;=$D$4,IF(OR('WSF DASHBOARD'!$C$4="",ISNUMBER(SEARCH('WSF DASHBOARD'!$C$4,INDEX(MASTER_ZONES!$B:$B,1236)))),1235,""),""),""))</f>
        <v/>
      </c>
      <c r="F1236">
        <f>IF('TRANSPORT DASHBOARD'!$B$4="Area",IF(1235&lt;=$I$3,IF(OR('TRANSPORT DASHBOARD'!$C$4="",ISNUMBER(SEARCH('TRANSPORT DASHBOARD'!$C$4,INDEX(MASTER_AREAS!$B:$B,1236)))),1235,""),""),IF('TRANSPORT DASHBOARD'!$B$4="Zone",IF(1235&lt;=$I$4,IF(OR('TRANSPORT DASHBOARD'!$C$4="",ISNUMBER(SEARCH('TRANSPORT DASHBOARD'!$C$4,INDEX(MASTER_ZONES!$B:$B,1236)))),1235,""),""),""))</f>
        <v/>
      </c>
    </row>
    <row r="1237">
      <c r="A1237">
        <f>IF('WSF DASHBOARD'!$B$4="Area",IF(1236&lt;=$D$3,IF(OR('WSF DASHBOARD'!$C$4="",ISNUMBER(SEARCH('WSF DASHBOARD'!$C$4,INDEX(MASTER_AREAS!$B:$B,1237)))),1236,""),""),IF('WSF DASHBOARD'!$B$4="Zone",IF(1236&lt;=$D$4,IF(OR('WSF DASHBOARD'!$C$4="",ISNUMBER(SEARCH('WSF DASHBOARD'!$C$4,INDEX(MASTER_ZONES!$B:$B,1237)))),1236,""),""),""))</f>
        <v/>
      </c>
      <c r="F1237">
        <f>IF('TRANSPORT DASHBOARD'!$B$4="Area",IF(1236&lt;=$I$3,IF(OR('TRANSPORT DASHBOARD'!$C$4="",ISNUMBER(SEARCH('TRANSPORT DASHBOARD'!$C$4,INDEX(MASTER_AREAS!$B:$B,1237)))),1236,""),""),IF('TRANSPORT DASHBOARD'!$B$4="Zone",IF(1236&lt;=$I$4,IF(OR('TRANSPORT DASHBOARD'!$C$4="",ISNUMBER(SEARCH('TRANSPORT DASHBOARD'!$C$4,INDEX(MASTER_ZONES!$B:$B,1237)))),1236,""),""),""))</f>
        <v/>
      </c>
    </row>
    <row r="1238">
      <c r="A1238">
        <f>IF('WSF DASHBOARD'!$B$4="Area",IF(1237&lt;=$D$3,IF(OR('WSF DASHBOARD'!$C$4="",ISNUMBER(SEARCH('WSF DASHBOARD'!$C$4,INDEX(MASTER_AREAS!$B:$B,1238)))),1237,""),""),IF('WSF DASHBOARD'!$B$4="Zone",IF(1237&lt;=$D$4,IF(OR('WSF DASHBOARD'!$C$4="",ISNUMBER(SEARCH('WSF DASHBOARD'!$C$4,INDEX(MASTER_ZONES!$B:$B,1238)))),1237,""),""),""))</f>
        <v/>
      </c>
      <c r="F1238">
        <f>IF('TRANSPORT DASHBOARD'!$B$4="Area",IF(1237&lt;=$I$3,IF(OR('TRANSPORT DASHBOARD'!$C$4="",ISNUMBER(SEARCH('TRANSPORT DASHBOARD'!$C$4,INDEX(MASTER_AREAS!$B:$B,1238)))),1237,""),""),IF('TRANSPORT DASHBOARD'!$B$4="Zone",IF(1237&lt;=$I$4,IF(OR('TRANSPORT DASHBOARD'!$C$4="",ISNUMBER(SEARCH('TRANSPORT DASHBOARD'!$C$4,INDEX(MASTER_ZONES!$B:$B,1238)))),1237,""),""),""))</f>
        <v/>
      </c>
    </row>
    <row r="1239">
      <c r="A1239">
        <f>IF('WSF DASHBOARD'!$B$4="Area",IF(1238&lt;=$D$3,IF(OR('WSF DASHBOARD'!$C$4="",ISNUMBER(SEARCH('WSF DASHBOARD'!$C$4,INDEX(MASTER_AREAS!$B:$B,1239)))),1238,""),""),IF('WSF DASHBOARD'!$B$4="Zone",IF(1238&lt;=$D$4,IF(OR('WSF DASHBOARD'!$C$4="",ISNUMBER(SEARCH('WSF DASHBOARD'!$C$4,INDEX(MASTER_ZONES!$B:$B,1239)))),1238,""),""),""))</f>
        <v/>
      </c>
      <c r="F1239">
        <f>IF('TRANSPORT DASHBOARD'!$B$4="Area",IF(1238&lt;=$I$3,IF(OR('TRANSPORT DASHBOARD'!$C$4="",ISNUMBER(SEARCH('TRANSPORT DASHBOARD'!$C$4,INDEX(MASTER_AREAS!$B:$B,1239)))),1238,""),""),IF('TRANSPORT DASHBOARD'!$B$4="Zone",IF(1238&lt;=$I$4,IF(OR('TRANSPORT DASHBOARD'!$C$4="",ISNUMBER(SEARCH('TRANSPORT DASHBOARD'!$C$4,INDEX(MASTER_ZONES!$B:$B,1239)))),1238,""),""),""))</f>
        <v/>
      </c>
    </row>
    <row r="1240">
      <c r="A1240">
        <f>IF('WSF DASHBOARD'!$B$4="Area",IF(1239&lt;=$D$3,IF(OR('WSF DASHBOARD'!$C$4="",ISNUMBER(SEARCH('WSF DASHBOARD'!$C$4,INDEX(MASTER_AREAS!$B:$B,1240)))),1239,""),""),IF('WSF DASHBOARD'!$B$4="Zone",IF(1239&lt;=$D$4,IF(OR('WSF DASHBOARD'!$C$4="",ISNUMBER(SEARCH('WSF DASHBOARD'!$C$4,INDEX(MASTER_ZONES!$B:$B,1240)))),1239,""),""),""))</f>
        <v/>
      </c>
      <c r="F1240">
        <f>IF('TRANSPORT DASHBOARD'!$B$4="Area",IF(1239&lt;=$I$3,IF(OR('TRANSPORT DASHBOARD'!$C$4="",ISNUMBER(SEARCH('TRANSPORT DASHBOARD'!$C$4,INDEX(MASTER_AREAS!$B:$B,1240)))),1239,""),""),IF('TRANSPORT DASHBOARD'!$B$4="Zone",IF(1239&lt;=$I$4,IF(OR('TRANSPORT DASHBOARD'!$C$4="",ISNUMBER(SEARCH('TRANSPORT DASHBOARD'!$C$4,INDEX(MASTER_ZONES!$B:$B,1240)))),1239,""),""),""))</f>
        <v/>
      </c>
    </row>
    <row r="1241">
      <c r="A1241">
        <f>IF('WSF DASHBOARD'!$B$4="Area",IF(1240&lt;=$D$3,IF(OR('WSF DASHBOARD'!$C$4="",ISNUMBER(SEARCH('WSF DASHBOARD'!$C$4,INDEX(MASTER_AREAS!$B:$B,1241)))),1240,""),""),IF('WSF DASHBOARD'!$B$4="Zone",IF(1240&lt;=$D$4,IF(OR('WSF DASHBOARD'!$C$4="",ISNUMBER(SEARCH('WSF DASHBOARD'!$C$4,INDEX(MASTER_ZONES!$B:$B,1241)))),1240,""),""),""))</f>
        <v/>
      </c>
      <c r="F1241">
        <f>IF('TRANSPORT DASHBOARD'!$B$4="Area",IF(1240&lt;=$I$3,IF(OR('TRANSPORT DASHBOARD'!$C$4="",ISNUMBER(SEARCH('TRANSPORT DASHBOARD'!$C$4,INDEX(MASTER_AREAS!$B:$B,1241)))),1240,""),""),IF('TRANSPORT DASHBOARD'!$B$4="Zone",IF(1240&lt;=$I$4,IF(OR('TRANSPORT DASHBOARD'!$C$4="",ISNUMBER(SEARCH('TRANSPORT DASHBOARD'!$C$4,INDEX(MASTER_ZONES!$B:$B,1241)))),1240,""),""),""))</f>
        <v/>
      </c>
    </row>
    <row r="1242">
      <c r="A1242">
        <f>IF('WSF DASHBOARD'!$B$4="Area",IF(1241&lt;=$D$3,IF(OR('WSF DASHBOARD'!$C$4="",ISNUMBER(SEARCH('WSF DASHBOARD'!$C$4,INDEX(MASTER_AREAS!$B:$B,1242)))),1241,""),""),IF('WSF DASHBOARD'!$B$4="Zone",IF(1241&lt;=$D$4,IF(OR('WSF DASHBOARD'!$C$4="",ISNUMBER(SEARCH('WSF DASHBOARD'!$C$4,INDEX(MASTER_ZONES!$B:$B,1242)))),1241,""),""),""))</f>
        <v/>
      </c>
      <c r="F1242">
        <f>IF('TRANSPORT DASHBOARD'!$B$4="Area",IF(1241&lt;=$I$3,IF(OR('TRANSPORT DASHBOARD'!$C$4="",ISNUMBER(SEARCH('TRANSPORT DASHBOARD'!$C$4,INDEX(MASTER_AREAS!$B:$B,1242)))),1241,""),""),IF('TRANSPORT DASHBOARD'!$B$4="Zone",IF(1241&lt;=$I$4,IF(OR('TRANSPORT DASHBOARD'!$C$4="",ISNUMBER(SEARCH('TRANSPORT DASHBOARD'!$C$4,INDEX(MASTER_ZONES!$B:$B,1242)))),1241,""),""),""))</f>
        <v/>
      </c>
    </row>
    <row r="1243">
      <c r="A1243">
        <f>IF('WSF DASHBOARD'!$B$4="Area",IF(1242&lt;=$D$3,IF(OR('WSF DASHBOARD'!$C$4="",ISNUMBER(SEARCH('WSF DASHBOARD'!$C$4,INDEX(MASTER_AREAS!$B:$B,1243)))),1242,""),""),IF('WSF DASHBOARD'!$B$4="Zone",IF(1242&lt;=$D$4,IF(OR('WSF DASHBOARD'!$C$4="",ISNUMBER(SEARCH('WSF DASHBOARD'!$C$4,INDEX(MASTER_ZONES!$B:$B,1243)))),1242,""),""),""))</f>
        <v/>
      </c>
      <c r="F1243">
        <f>IF('TRANSPORT DASHBOARD'!$B$4="Area",IF(1242&lt;=$I$3,IF(OR('TRANSPORT DASHBOARD'!$C$4="",ISNUMBER(SEARCH('TRANSPORT DASHBOARD'!$C$4,INDEX(MASTER_AREAS!$B:$B,1243)))),1242,""),""),IF('TRANSPORT DASHBOARD'!$B$4="Zone",IF(1242&lt;=$I$4,IF(OR('TRANSPORT DASHBOARD'!$C$4="",ISNUMBER(SEARCH('TRANSPORT DASHBOARD'!$C$4,INDEX(MASTER_ZONES!$B:$B,1243)))),1242,""),""),""))</f>
        <v/>
      </c>
    </row>
    <row r="1244">
      <c r="A1244">
        <f>IF('WSF DASHBOARD'!$B$4="Area",IF(1243&lt;=$D$3,IF(OR('WSF DASHBOARD'!$C$4="",ISNUMBER(SEARCH('WSF DASHBOARD'!$C$4,INDEX(MASTER_AREAS!$B:$B,1244)))),1243,""),""),IF('WSF DASHBOARD'!$B$4="Zone",IF(1243&lt;=$D$4,IF(OR('WSF DASHBOARD'!$C$4="",ISNUMBER(SEARCH('WSF DASHBOARD'!$C$4,INDEX(MASTER_ZONES!$B:$B,1244)))),1243,""),""),""))</f>
        <v/>
      </c>
      <c r="F1244">
        <f>IF('TRANSPORT DASHBOARD'!$B$4="Area",IF(1243&lt;=$I$3,IF(OR('TRANSPORT DASHBOARD'!$C$4="",ISNUMBER(SEARCH('TRANSPORT DASHBOARD'!$C$4,INDEX(MASTER_AREAS!$B:$B,1244)))),1243,""),""),IF('TRANSPORT DASHBOARD'!$B$4="Zone",IF(1243&lt;=$I$4,IF(OR('TRANSPORT DASHBOARD'!$C$4="",ISNUMBER(SEARCH('TRANSPORT DASHBOARD'!$C$4,INDEX(MASTER_ZONES!$B:$B,1244)))),1243,""),""),""))</f>
        <v/>
      </c>
    </row>
    <row r="1245">
      <c r="A1245">
        <f>IF('WSF DASHBOARD'!$B$4="Area",IF(1244&lt;=$D$3,IF(OR('WSF DASHBOARD'!$C$4="",ISNUMBER(SEARCH('WSF DASHBOARD'!$C$4,INDEX(MASTER_AREAS!$B:$B,1245)))),1244,""),""),IF('WSF DASHBOARD'!$B$4="Zone",IF(1244&lt;=$D$4,IF(OR('WSF DASHBOARD'!$C$4="",ISNUMBER(SEARCH('WSF DASHBOARD'!$C$4,INDEX(MASTER_ZONES!$B:$B,1245)))),1244,""),""),""))</f>
        <v/>
      </c>
      <c r="F1245">
        <f>IF('TRANSPORT DASHBOARD'!$B$4="Area",IF(1244&lt;=$I$3,IF(OR('TRANSPORT DASHBOARD'!$C$4="",ISNUMBER(SEARCH('TRANSPORT DASHBOARD'!$C$4,INDEX(MASTER_AREAS!$B:$B,1245)))),1244,""),""),IF('TRANSPORT DASHBOARD'!$B$4="Zone",IF(1244&lt;=$I$4,IF(OR('TRANSPORT DASHBOARD'!$C$4="",ISNUMBER(SEARCH('TRANSPORT DASHBOARD'!$C$4,INDEX(MASTER_ZONES!$B:$B,1245)))),1244,""),""),""))</f>
        <v/>
      </c>
    </row>
    <row r="1246">
      <c r="A1246">
        <f>IF('WSF DASHBOARD'!$B$4="Area",IF(1245&lt;=$D$3,IF(OR('WSF DASHBOARD'!$C$4="",ISNUMBER(SEARCH('WSF DASHBOARD'!$C$4,INDEX(MASTER_AREAS!$B:$B,1246)))),1245,""),""),IF('WSF DASHBOARD'!$B$4="Zone",IF(1245&lt;=$D$4,IF(OR('WSF DASHBOARD'!$C$4="",ISNUMBER(SEARCH('WSF DASHBOARD'!$C$4,INDEX(MASTER_ZONES!$B:$B,1246)))),1245,""),""),""))</f>
        <v/>
      </c>
      <c r="F1246">
        <f>IF('TRANSPORT DASHBOARD'!$B$4="Area",IF(1245&lt;=$I$3,IF(OR('TRANSPORT DASHBOARD'!$C$4="",ISNUMBER(SEARCH('TRANSPORT DASHBOARD'!$C$4,INDEX(MASTER_AREAS!$B:$B,1246)))),1245,""),""),IF('TRANSPORT DASHBOARD'!$B$4="Zone",IF(1245&lt;=$I$4,IF(OR('TRANSPORT DASHBOARD'!$C$4="",ISNUMBER(SEARCH('TRANSPORT DASHBOARD'!$C$4,INDEX(MASTER_ZONES!$B:$B,1246)))),1245,""),""),""))</f>
        <v/>
      </c>
    </row>
    <row r="1247">
      <c r="A1247">
        <f>IF('WSF DASHBOARD'!$B$4="Area",IF(1246&lt;=$D$3,IF(OR('WSF DASHBOARD'!$C$4="",ISNUMBER(SEARCH('WSF DASHBOARD'!$C$4,INDEX(MASTER_AREAS!$B:$B,1247)))),1246,""),""),IF('WSF DASHBOARD'!$B$4="Zone",IF(1246&lt;=$D$4,IF(OR('WSF DASHBOARD'!$C$4="",ISNUMBER(SEARCH('WSF DASHBOARD'!$C$4,INDEX(MASTER_ZONES!$B:$B,1247)))),1246,""),""),""))</f>
        <v/>
      </c>
      <c r="F1247">
        <f>IF('TRANSPORT DASHBOARD'!$B$4="Area",IF(1246&lt;=$I$3,IF(OR('TRANSPORT DASHBOARD'!$C$4="",ISNUMBER(SEARCH('TRANSPORT DASHBOARD'!$C$4,INDEX(MASTER_AREAS!$B:$B,1247)))),1246,""),""),IF('TRANSPORT DASHBOARD'!$B$4="Zone",IF(1246&lt;=$I$4,IF(OR('TRANSPORT DASHBOARD'!$C$4="",ISNUMBER(SEARCH('TRANSPORT DASHBOARD'!$C$4,INDEX(MASTER_ZONES!$B:$B,1247)))),1246,""),""),""))</f>
        <v/>
      </c>
    </row>
    <row r="1248">
      <c r="A1248">
        <f>IF('WSF DASHBOARD'!$B$4="Area",IF(1247&lt;=$D$3,IF(OR('WSF DASHBOARD'!$C$4="",ISNUMBER(SEARCH('WSF DASHBOARD'!$C$4,INDEX(MASTER_AREAS!$B:$B,1248)))),1247,""),""),IF('WSF DASHBOARD'!$B$4="Zone",IF(1247&lt;=$D$4,IF(OR('WSF DASHBOARD'!$C$4="",ISNUMBER(SEARCH('WSF DASHBOARD'!$C$4,INDEX(MASTER_ZONES!$B:$B,1248)))),1247,""),""),""))</f>
        <v/>
      </c>
      <c r="F1248">
        <f>IF('TRANSPORT DASHBOARD'!$B$4="Area",IF(1247&lt;=$I$3,IF(OR('TRANSPORT DASHBOARD'!$C$4="",ISNUMBER(SEARCH('TRANSPORT DASHBOARD'!$C$4,INDEX(MASTER_AREAS!$B:$B,1248)))),1247,""),""),IF('TRANSPORT DASHBOARD'!$B$4="Zone",IF(1247&lt;=$I$4,IF(OR('TRANSPORT DASHBOARD'!$C$4="",ISNUMBER(SEARCH('TRANSPORT DASHBOARD'!$C$4,INDEX(MASTER_ZONES!$B:$B,1248)))),1247,""),""),""))</f>
        <v/>
      </c>
    </row>
    <row r="1249">
      <c r="A1249">
        <f>IF('WSF DASHBOARD'!$B$4="Area",IF(1248&lt;=$D$3,IF(OR('WSF DASHBOARD'!$C$4="",ISNUMBER(SEARCH('WSF DASHBOARD'!$C$4,INDEX(MASTER_AREAS!$B:$B,1249)))),1248,""),""),IF('WSF DASHBOARD'!$B$4="Zone",IF(1248&lt;=$D$4,IF(OR('WSF DASHBOARD'!$C$4="",ISNUMBER(SEARCH('WSF DASHBOARD'!$C$4,INDEX(MASTER_ZONES!$B:$B,1249)))),1248,""),""),""))</f>
        <v/>
      </c>
      <c r="F1249">
        <f>IF('TRANSPORT DASHBOARD'!$B$4="Area",IF(1248&lt;=$I$3,IF(OR('TRANSPORT DASHBOARD'!$C$4="",ISNUMBER(SEARCH('TRANSPORT DASHBOARD'!$C$4,INDEX(MASTER_AREAS!$B:$B,1249)))),1248,""),""),IF('TRANSPORT DASHBOARD'!$B$4="Zone",IF(1248&lt;=$I$4,IF(OR('TRANSPORT DASHBOARD'!$C$4="",ISNUMBER(SEARCH('TRANSPORT DASHBOARD'!$C$4,INDEX(MASTER_ZONES!$B:$B,1249)))),1248,""),""),""))</f>
        <v/>
      </c>
    </row>
    <row r="1250">
      <c r="A1250">
        <f>IF('WSF DASHBOARD'!$B$4="Area",IF(1249&lt;=$D$3,IF(OR('WSF DASHBOARD'!$C$4="",ISNUMBER(SEARCH('WSF DASHBOARD'!$C$4,INDEX(MASTER_AREAS!$B:$B,1250)))),1249,""),""),IF('WSF DASHBOARD'!$B$4="Zone",IF(1249&lt;=$D$4,IF(OR('WSF DASHBOARD'!$C$4="",ISNUMBER(SEARCH('WSF DASHBOARD'!$C$4,INDEX(MASTER_ZONES!$B:$B,1250)))),1249,""),""),""))</f>
        <v/>
      </c>
      <c r="F1250">
        <f>IF('TRANSPORT DASHBOARD'!$B$4="Area",IF(1249&lt;=$I$3,IF(OR('TRANSPORT DASHBOARD'!$C$4="",ISNUMBER(SEARCH('TRANSPORT DASHBOARD'!$C$4,INDEX(MASTER_AREAS!$B:$B,1250)))),1249,""),""),IF('TRANSPORT DASHBOARD'!$B$4="Zone",IF(1249&lt;=$I$4,IF(OR('TRANSPORT DASHBOARD'!$C$4="",ISNUMBER(SEARCH('TRANSPORT DASHBOARD'!$C$4,INDEX(MASTER_ZONES!$B:$B,1250)))),1249,""),""),""))</f>
        <v/>
      </c>
    </row>
    <row r="1251">
      <c r="A1251">
        <f>IF('WSF DASHBOARD'!$B$4="Area",IF(1250&lt;=$D$3,IF(OR('WSF DASHBOARD'!$C$4="",ISNUMBER(SEARCH('WSF DASHBOARD'!$C$4,INDEX(MASTER_AREAS!$B:$B,1251)))),1250,""),""),IF('WSF DASHBOARD'!$B$4="Zone",IF(1250&lt;=$D$4,IF(OR('WSF DASHBOARD'!$C$4="",ISNUMBER(SEARCH('WSF DASHBOARD'!$C$4,INDEX(MASTER_ZONES!$B:$B,1251)))),1250,""),""),""))</f>
        <v/>
      </c>
      <c r="F1251">
        <f>IF('TRANSPORT DASHBOARD'!$B$4="Area",IF(1250&lt;=$I$3,IF(OR('TRANSPORT DASHBOARD'!$C$4="",ISNUMBER(SEARCH('TRANSPORT DASHBOARD'!$C$4,INDEX(MASTER_AREAS!$B:$B,1251)))),1250,""),""),IF('TRANSPORT DASHBOARD'!$B$4="Zone",IF(1250&lt;=$I$4,IF(OR('TRANSPORT DASHBOARD'!$C$4="",ISNUMBER(SEARCH('TRANSPORT DASHBOARD'!$C$4,INDEX(MASTER_ZONES!$B:$B,1251)))),1250,""),""),""))</f>
        <v/>
      </c>
    </row>
    <row r="1252">
      <c r="A1252">
        <f>IF('WSF DASHBOARD'!$B$4="Area",IF(1251&lt;=$D$3,IF(OR('WSF DASHBOARD'!$C$4="",ISNUMBER(SEARCH('WSF DASHBOARD'!$C$4,INDEX(MASTER_AREAS!$B:$B,1252)))),1251,""),""),IF('WSF DASHBOARD'!$B$4="Zone",IF(1251&lt;=$D$4,IF(OR('WSF DASHBOARD'!$C$4="",ISNUMBER(SEARCH('WSF DASHBOARD'!$C$4,INDEX(MASTER_ZONES!$B:$B,1252)))),1251,""),""),""))</f>
        <v/>
      </c>
      <c r="F1252">
        <f>IF('TRANSPORT DASHBOARD'!$B$4="Area",IF(1251&lt;=$I$3,IF(OR('TRANSPORT DASHBOARD'!$C$4="",ISNUMBER(SEARCH('TRANSPORT DASHBOARD'!$C$4,INDEX(MASTER_AREAS!$B:$B,1252)))),1251,""),""),IF('TRANSPORT DASHBOARD'!$B$4="Zone",IF(1251&lt;=$I$4,IF(OR('TRANSPORT DASHBOARD'!$C$4="",ISNUMBER(SEARCH('TRANSPORT DASHBOARD'!$C$4,INDEX(MASTER_ZONES!$B:$B,1252)))),1251,""),""),""))</f>
        <v/>
      </c>
    </row>
    <row r="1253">
      <c r="A1253">
        <f>IF('WSF DASHBOARD'!$B$4="Area",IF(1252&lt;=$D$3,IF(OR('WSF DASHBOARD'!$C$4="",ISNUMBER(SEARCH('WSF DASHBOARD'!$C$4,INDEX(MASTER_AREAS!$B:$B,1253)))),1252,""),""),IF('WSF DASHBOARD'!$B$4="Zone",IF(1252&lt;=$D$4,IF(OR('WSF DASHBOARD'!$C$4="",ISNUMBER(SEARCH('WSF DASHBOARD'!$C$4,INDEX(MASTER_ZONES!$B:$B,1253)))),1252,""),""),""))</f>
        <v/>
      </c>
      <c r="F1253">
        <f>IF('TRANSPORT DASHBOARD'!$B$4="Area",IF(1252&lt;=$I$3,IF(OR('TRANSPORT DASHBOARD'!$C$4="",ISNUMBER(SEARCH('TRANSPORT DASHBOARD'!$C$4,INDEX(MASTER_AREAS!$B:$B,1253)))),1252,""),""),IF('TRANSPORT DASHBOARD'!$B$4="Zone",IF(1252&lt;=$I$4,IF(OR('TRANSPORT DASHBOARD'!$C$4="",ISNUMBER(SEARCH('TRANSPORT DASHBOARD'!$C$4,INDEX(MASTER_ZONES!$B:$B,1253)))),1252,""),""),""))</f>
        <v/>
      </c>
    </row>
    <row r="1254">
      <c r="A1254">
        <f>IF('WSF DASHBOARD'!$B$4="Area",IF(1253&lt;=$D$3,IF(OR('WSF DASHBOARD'!$C$4="",ISNUMBER(SEARCH('WSF DASHBOARD'!$C$4,INDEX(MASTER_AREAS!$B:$B,1254)))),1253,""),""),IF('WSF DASHBOARD'!$B$4="Zone",IF(1253&lt;=$D$4,IF(OR('WSF DASHBOARD'!$C$4="",ISNUMBER(SEARCH('WSF DASHBOARD'!$C$4,INDEX(MASTER_ZONES!$B:$B,1254)))),1253,""),""),""))</f>
        <v/>
      </c>
      <c r="F1254">
        <f>IF('TRANSPORT DASHBOARD'!$B$4="Area",IF(1253&lt;=$I$3,IF(OR('TRANSPORT DASHBOARD'!$C$4="",ISNUMBER(SEARCH('TRANSPORT DASHBOARD'!$C$4,INDEX(MASTER_AREAS!$B:$B,1254)))),1253,""),""),IF('TRANSPORT DASHBOARD'!$B$4="Zone",IF(1253&lt;=$I$4,IF(OR('TRANSPORT DASHBOARD'!$C$4="",ISNUMBER(SEARCH('TRANSPORT DASHBOARD'!$C$4,INDEX(MASTER_ZONES!$B:$B,1254)))),1253,""),""),""))</f>
        <v/>
      </c>
    </row>
    <row r="1255">
      <c r="A1255">
        <f>IF('WSF DASHBOARD'!$B$4="Area",IF(1254&lt;=$D$3,IF(OR('WSF DASHBOARD'!$C$4="",ISNUMBER(SEARCH('WSF DASHBOARD'!$C$4,INDEX(MASTER_AREAS!$B:$B,1255)))),1254,""),""),IF('WSF DASHBOARD'!$B$4="Zone",IF(1254&lt;=$D$4,IF(OR('WSF DASHBOARD'!$C$4="",ISNUMBER(SEARCH('WSF DASHBOARD'!$C$4,INDEX(MASTER_ZONES!$B:$B,1255)))),1254,""),""),""))</f>
        <v/>
      </c>
      <c r="F1255">
        <f>IF('TRANSPORT DASHBOARD'!$B$4="Area",IF(1254&lt;=$I$3,IF(OR('TRANSPORT DASHBOARD'!$C$4="",ISNUMBER(SEARCH('TRANSPORT DASHBOARD'!$C$4,INDEX(MASTER_AREAS!$B:$B,1255)))),1254,""),""),IF('TRANSPORT DASHBOARD'!$B$4="Zone",IF(1254&lt;=$I$4,IF(OR('TRANSPORT DASHBOARD'!$C$4="",ISNUMBER(SEARCH('TRANSPORT DASHBOARD'!$C$4,INDEX(MASTER_ZONES!$B:$B,1255)))),1254,""),""),""))</f>
        <v/>
      </c>
    </row>
    <row r="1256">
      <c r="A1256">
        <f>IF('WSF DASHBOARD'!$B$4="Area",IF(1255&lt;=$D$3,IF(OR('WSF DASHBOARD'!$C$4="",ISNUMBER(SEARCH('WSF DASHBOARD'!$C$4,INDEX(MASTER_AREAS!$B:$B,1256)))),1255,""),""),IF('WSF DASHBOARD'!$B$4="Zone",IF(1255&lt;=$D$4,IF(OR('WSF DASHBOARD'!$C$4="",ISNUMBER(SEARCH('WSF DASHBOARD'!$C$4,INDEX(MASTER_ZONES!$B:$B,1256)))),1255,""),""),""))</f>
        <v/>
      </c>
      <c r="F1256">
        <f>IF('TRANSPORT DASHBOARD'!$B$4="Area",IF(1255&lt;=$I$3,IF(OR('TRANSPORT DASHBOARD'!$C$4="",ISNUMBER(SEARCH('TRANSPORT DASHBOARD'!$C$4,INDEX(MASTER_AREAS!$B:$B,1256)))),1255,""),""),IF('TRANSPORT DASHBOARD'!$B$4="Zone",IF(1255&lt;=$I$4,IF(OR('TRANSPORT DASHBOARD'!$C$4="",ISNUMBER(SEARCH('TRANSPORT DASHBOARD'!$C$4,INDEX(MASTER_ZONES!$B:$B,1256)))),1255,""),""),""))</f>
        <v/>
      </c>
    </row>
    <row r="1257">
      <c r="A1257">
        <f>IF('WSF DASHBOARD'!$B$4="Area",IF(1256&lt;=$D$3,IF(OR('WSF DASHBOARD'!$C$4="",ISNUMBER(SEARCH('WSF DASHBOARD'!$C$4,INDEX(MASTER_AREAS!$B:$B,1257)))),1256,""),""),IF('WSF DASHBOARD'!$B$4="Zone",IF(1256&lt;=$D$4,IF(OR('WSF DASHBOARD'!$C$4="",ISNUMBER(SEARCH('WSF DASHBOARD'!$C$4,INDEX(MASTER_ZONES!$B:$B,1257)))),1256,""),""),""))</f>
        <v/>
      </c>
      <c r="F1257">
        <f>IF('TRANSPORT DASHBOARD'!$B$4="Area",IF(1256&lt;=$I$3,IF(OR('TRANSPORT DASHBOARD'!$C$4="",ISNUMBER(SEARCH('TRANSPORT DASHBOARD'!$C$4,INDEX(MASTER_AREAS!$B:$B,1257)))),1256,""),""),IF('TRANSPORT DASHBOARD'!$B$4="Zone",IF(1256&lt;=$I$4,IF(OR('TRANSPORT DASHBOARD'!$C$4="",ISNUMBER(SEARCH('TRANSPORT DASHBOARD'!$C$4,INDEX(MASTER_ZONES!$B:$B,1257)))),1256,""),""),""))</f>
        <v/>
      </c>
    </row>
    <row r="1258">
      <c r="A1258">
        <f>IF('WSF DASHBOARD'!$B$4="Area",IF(1257&lt;=$D$3,IF(OR('WSF DASHBOARD'!$C$4="",ISNUMBER(SEARCH('WSF DASHBOARD'!$C$4,INDEX(MASTER_AREAS!$B:$B,1258)))),1257,""),""),IF('WSF DASHBOARD'!$B$4="Zone",IF(1257&lt;=$D$4,IF(OR('WSF DASHBOARD'!$C$4="",ISNUMBER(SEARCH('WSF DASHBOARD'!$C$4,INDEX(MASTER_ZONES!$B:$B,1258)))),1257,""),""),""))</f>
        <v/>
      </c>
      <c r="F1258">
        <f>IF('TRANSPORT DASHBOARD'!$B$4="Area",IF(1257&lt;=$I$3,IF(OR('TRANSPORT DASHBOARD'!$C$4="",ISNUMBER(SEARCH('TRANSPORT DASHBOARD'!$C$4,INDEX(MASTER_AREAS!$B:$B,1258)))),1257,""),""),IF('TRANSPORT DASHBOARD'!$B$4="Zone",IF(1257&lt;=$I$4,IF(OR('TRANSPORT DASHBOARD'!$C$4="",ISNUMBER(SEARCH('TRANSPORT DASHBOARD'!$C$4,INDEX(MASTER_ZONES!$B:$B,1258)))),1257,""),""),""))</f>
        <v/>
      </c>
    </row>
    <row r="1259">
      <c r="A1259">
        <f>IF('WSF DASHBOARD'!$B$4="Area",IF(1258&lt;=$D$3,IF(OR('WSF DASHBOARD'!$C$4="",ISNUMBER(SEARCH('WSF DASHBOARD'!$C$4,INDEX(MASTER_AREAS!$B:$B,1259)))),1258,""),""),IF('WSF DASHBOARD'!$B$4="Zone",IF(1258&lt;=$D$4,IF(OR('WSF DASHBOARD'!$C$4="",ISNUMBER(SEARCH('WSF DASHBOARD'!$C$4,INDEX(MASTER_ZONES!$B:$B,1259)))),1258,""),""),""))</f>
        <v/>
      </c>
      <c r="F1259">
        <f>IF('TRANSPORT DASHBOARD'!$B$4="Area",IF(1258&lt;=$I$3,IF(OR('TRANSPORT DASHBOARD'!$C$4="",ISNUMBER(SEARCH('TRANSPORT DASHBOARD'!$C$4,INDEX(MASTER_AREAS!$B:$B,1259)))),1258,""),""),IF('TRANSPORT DASHBOARD'!$B$4="Zone",IF(1258&lt;=$I$4,IF(OR('TRANSPORT DASHBOARD'!$C$4="",ISNUMBER(SEARCH('TRANSPORT DASHBOARD'!$C$4,INDEX(MASTER_ZONES!$B:$B,1259)))),1258,""),""),""))</f>
        <v/>
      </c>
    </row>
    <row r="1260">
      <c r="A1260">
        <f>IF('WSF DASHBOARD'!$B$4="Area",IF(1259&lt;=$D$3,IF(OR('WSF DASHBOARD'!$C$4="",ISNUMBER(SEARCH('WSF DASHBOARD'!$C$4,INDEX(MASTER_AREAS!$B:$B,1260)))),1259,""),""),IF('WSF DASHBOARD'!$B$4="Zone",IF(1259&lt;=$D$4,IF(OR('WSF DASHBOARD'!$C$4="",ISNUMBER(SEARCH('WSF DASHBOARD'!$C$4,INDEX(MASTER_ZONES!$B:$B,1260)))),1259,""),""),""))</f>
        <v/>
      </c>
      <c r="F1260">
        <f>IF('TRANSPORT DASHBOARD'!$B$4="Area",IF(1259&lt;=$I$3,IF(OR('TRANSPORT DASHBOARD'!$C$4="",ISNUMBER(SEARCH('TRANSPORT DASHBOARD'!$C$4,INDEX(MASTER_AREAS!$B:$B,1260)))),1259,""),""),IF('TRANSPORT DASHBOARD'!$B$4="Zone",IF(1259&lt;=$I$4,IF(OR('TRANSPORT DASHBOARD'!$C$4="",ISNUMBER(SEARCH('TRANSPORT DASHBOARD'!$C$4,INDEX(MASTER_ZONES!$B:$B,1260)))),1259,""),""),""))</f>
        <v/>
      </c>
    </row>
    <row r="1261">
      <c r="A1261">
        <f>IF('WSF DASHBOARD'!$B$4="Area",IF(1260&lt;=$D$3,IF(OR('WSF DASHBOARD'!$C$4="",ISNUMBER(SEARCH('WSF DASHBOARD'!$C$4,INDEX(MASTER_AREAS!$B:$B,1261)))),1260,""),""),IF('WSF DASHBOARD'!$B$4="Zone",IF(1260&lt;=$D$4,IF(OR('WSF DASHBOARD'!$C$4="",ISNUMBER(SEARCH('WSF DASHBOARD'!$C$4,INDEX(MASTER_ZONES!$B:$B,1261)))),1260,""),""),""))</f>
        <v/>
      </c>
      <c r="F1261">
        <f>IF('TRANSPORT DASHBOARD'!$B$4="Area",IF(1260&lt;=$I$3,IF(OR('TRANSPORT DASHBOARD'!$C$4="",ISNUMBER(SEARCH('TRANSPORT DASHBOARD'!$C$4,INDEX(MASTER_AREAS!$B:$B,1261)))),1260,""),""),IF('TRANSPORT DASHBOARD'!$B$4="Zone",IF(1260&lt;=$I$4,IF(OR('TRANSPORT DASHBOARD'!$C$4="",ISNUMBER(SEARCH('TRANSPORT DASHBOARD'!$C$4,INDEX(MASTER_ZONES!$B:$B,1261)))),1260,""),""),""))</f>
        <v/>
      </c>
    </row>
    <row r="1262">
      <c r="A1262">
        <f>IF('WSF DASHBOARD'!$B$4="Area",IF(1261&lt;=$D$3,IF(OR('WSF DASHBOARD'!$C$4="",ISNUMBER(SEARCH('WSF DASHBOARD'!$C$4,INDEX(MASTER_AREAS!$B:$B,1262)))),1261,""),""),IF('WSF DASHBOARD'!$B$4="Zone",IF(1261&lt;=$D$4,IF(OR('WSF DASHBOARD'!$C$4="",ISNUMBER(SEARCH('WSF DASHBOARD'!$C$4,INDEX(MASTER_ZONES!$B:$B,1262)))),1261,""),""),""))</f>
        <v/>
      </c>
      <c r="F1262">
        <f>IF('TRANSPORT DASHBOARD'!$B$4="Area",IF(1261&lt;=$I$3,IF(OR('TRANSPORT DASHBOARD'!$C$4="",ISNUMBER(SEARCH('TRANSPORT DASHBOARD'!$C$4,INDEX(MASTER_AREAS!$B:$B,1262)))),1261,""),""),IF('TRANSPORT DASHBOARD'!$B$4="Zone",IF(1261&lt;=$I$4,IF(OR('TRANSPORT DASHBOARD'!$C$4="",ISNUMBER(SEARCH('TRANSPORT DASHBOARD'!$C$4,INDEX(MASTER_ZONES!$B:$B,1262)))),1261,""),""),""))</f>
        <v/>
      </c>
    </row>
    <row r="1263">
      <c r="A1263">
        <f>IF('WSF DASHBOARD'!$B$4="Area",IF(1262&lt;=$D$3,IF(OR('WSF DASHBOARD'!$C$4="",ISNUMBER(SEARCH('WSF DASHBOARD'!$C$4,INDEX(MASTER_AREAS!$B:$B,1263)))),1262,""),""),IF('WSF DASHBOARD'!$B$4="Zone",IF(1262&lt;=$D$4,IF(OR('WSF DASHBOARD'!$C$4="",ISNUMBER(SEARCH('WSF DASHBOARD'!$C$4,INDEX(MASTER_ZONES!$B:$B,1263)))),1262,""),""),""))</f>
        <v/>
      </c>
      <c r="F1263">
        <f>IF('TRANSPORT DASHBOARD'!$B$4="Area",IF(1262&lt;=$I$3,IF(OR('TRANSPORT DASHBOARD'!$C$4="",ISNUMBER(SEARCH('TRANSPORT DASHBOARD'!$C$4,INDEX(MASTER_AREAS!$B:$B,1263)))),1262,""),""),IF('TRANSPORT DASHBOARD'!$B$4="Zone",IF(1262&lt;=$I$4,IF(OR('TRANSPORT DASHBOARD'!$C$4="",ISNUMBER(SEARCH('TRANSPORT DASHBOARD'!$C$4,INDEX(MASTER_ZONES!$B:$B,1263)))),1262,""),""),""))</f>
        <v/>
      </c>
    </row>
    <row r="1264">
      <c r="A1264">
        <f>IF('WSF DASHBOARD'!$B$4="Area",IF(1263&lt;=$D$3,IF(OR('WSF DASHBOARD'!$C$4="",ISNUMBER(SEARCH('WSF DASHBOARD'!$C$4,INDEX(MASTER_AREAS!$B:$B,1264)))),1263,""),""),IF('WSF DASHBOARD'!$B$4="Zone",IF(1263&lt;=$D$4,IF(OR('WSF DASHBOARD'!$C$4="",ISNUMBER(SEARCH('WSF DASHBOARD'!$C$4,INDEX(MASTER_ZONES!$B:$B,1264)))),1263,""),""),""))</f>
        <v/>
      </c>
      <c r="F1264">
        <f>IF('TRANSPORT DASHBOARD'!$B$4="Area",IF(1263&lt;=$I$3,IF(OR('TRANSPORT DASHBOARD'!$C$4="",ISNUMBER(SEARCH('TRANSPORT DASHBOARD'!$C$4,INDEX(MASTER_AREAS!$B:$B,1264)))),1263,""),""),IF('TRANSPORT DASHBOARD'!$B$4="Zone",IF(1263&lt;=$I$4,IF(OR('TRANSPORT DASHBOARD'!$C$4="",ISNUMBER(SEARCH('TRANSPORT DASHBOARD'!$C$4,INDEX(MASTER_ZONES!$B:$B,1264)))),1263,""),""),""))</f>
        <v/>
      </c>
    </row>
    <row r="1265">
      <c r="A1265">
        <f>IF('WSF DASHBOARD'!$B$4="Area",IF(1264&lt;=$D$3,IF(OR('WSF DASHBOARD'!$C$4="",ISNUMBER(SEARCH('WSF DASHBOARD'!$C$4,INDEX(MASTER_AREAS!$B:$B,1265)))),1264,""),""),IF('WSF DASHBOARD'!$B$4="Zone",IF(1264&lt;=$D$4,IF(OR('WSF DASHBOARD'!$C$4="",ISNUMBER(SEARCH('WSF DASHBOARD'!$C$4,INDEX(MASTER_ZONES!$B:$B,1265)))),1264,""),""),""))</f>
        <v/>
      </c>
      <c r="F1265">
        <f>IF('TRANSPORT DASHBOARD'!$B$4="Area",IF(1264&lt;=$I$3,IF(OR('TRANSPORT DASHBOARD'!$C$4="",ISNUMBER(SEARCH('TRANSPORT DASHBOARD'!$C$4,INDEX(MASTER_AREAS!$B:$B,1265)))),1264,""),""),IF('TRANSPORT DASHBOARD'!$B$4="Zone",IF(1264&lt;=$I$4,IF(OR('TRANSPORT DASHBOARD'!$C$4="",ISNUMBER(SEARCH('TRANSPORT DASHBOARD'!$C$4,INDEX(MASTER_ZONES!$B:$B,1265)))),1264,""),""),""))</f>
        <v/>
      </c>
    </row>
    <row r="1266">
      <c r="A1266">
        <f>IF('WSF DASHBOARD'!$B$4="Area",IF(1265&lt;=$D$3,IF(OR('WSF DASHBOARD'!$C$4="",ISNUMBER(SEARCH('WSF DASHBOARD'!$C$4,INDEX(MASTER_AREAS!$B:$B,1266)))),1265,""),""),IF('WSF DASHBOARD'!$B$4="Zone",IF(1265&lt;=$D$4,IF(OR('WSF DASHBOARD'!$C$4="",ISNUMBER(SEARCH('WSF DASHBOARD'!$C$4,INDEX(MASTER_ZONES!$B:$B,1266)))),1265,""),""),""))</f>
        <v/>
      </c>
      <c r="F1266">
        <f>IF('TRANSPORT DASHBOARD'!$B$4="Area",IF(1265&lt;=$I$3,IF(OR('TRANSPORT DASHBOARD'!$C$4="",ISNUMBER(SEARCH('TRANSPORT DASHBOARD'!$C$4,INDEX(MASTER_AREAS!$B:$B,1266)))),1265,""),""),IF('TRANSPORT DASHBOARD'!$B$4="Zone",IF(1265&lt;=$I$4,IF(OR('TRANSPORT DASHBOARD'!$C$4="",ISNUMBER(SEARCH('TRANSPORT DASHBOARD'!$C$4,INDEX(MASTER_ZONES!$B:$B,1266)))),1265,""),""),""))</f>
        <v/>
      </c>
    </row>
    <row r="1267">
      <c r="A1267">
        <f>IF('WSF DASHBOARD'!$B$4="Area",IF(1266&lt;=$D$3,IF(OR('WSF DASHBOARD'!$C$4="",ISNUMBER(SEARCH('WSF DASHBOARD'!$C$4,INDEX(MASTER_AREAS!$B:$B,1267)))),1266,""),""),IF('WSF DASHBOARD'!$B$4="Zone",IF(1266&lt;=$D$4,IF(OR('WSF DASHBOARD'!$C$4="",ISNUMBER(SEARCH('WSF DASHBOARD'!$C$4,INDEX(MASTER_ZONES!$B:$B,1267)))),1266,""),""),""))</f>
        <v/>
      </c>
      <c r="F1267">
        <f>IF('TRANSPORT DASHBOARD'!$B$4="Area",IF(1266&lt;=$I$3,IF(OR('TRANSPORT DASHBOARD'!$C$4="",ISNUMBER(SEARCH('TRANSPORT DASHBOARD'!$C$4,INDEX(MASTER_AREAS!$B:$B,1267)))),1266,""),""),IF('TRANSPORT DASHBOARD'!$B$4="Zone",IF(1266&lt;=$I$4,IF(OR('TRANSPORT DASHBOARD'!$C$4="",ISNUMBER(SEARCH('TRANSPORT DASHBOARD'!$C$4,INDEX(MASTER_ZONES!$B:$B,1267)))),1266,""),""),""))</f>
        <v/>
      </c>
    </row>
    <row r="1268">
      <c r="A1268">
        <f>IF('WSF DASHBOARD'!$B$4="Area",IF(1267&lt;=$D$3,IF(OR('WSF DASHBOARD'!$C$4="",ISNUMBER(SEARCH('WSF DASHBOARD'!$C$4,INDEX(MASTER_AREAS!$B:$B,1268)))),1267,""),""),IF('WSF DASHBOARD'!$B$4="Zone",IF(1267&lt;=$D$4,IF(OR('WSF DASHBOARD'!$C$4="",ISNUMBER(SEARCH('WSF DASHBOARD'!$C$4,INDEX(MASTER_ZONES!$B:$B,1268)))),1267,""),""),""))</f>
        <v/>
      </c>
      <c r="F1268">
        <f>IF('TRANSPORT DASHBOARD'!$B$4="Area",IF(1267&lt;=$I$3,IF(OR('TRANSPORT DASHBOARD'!$C$4="",ISNUMBER(SEARCH('TRANSPORT DASHBOARD'!$C$4,INDEX(MASTER_AREAS!$B:$B,1268)))),1267,""),""),IF('TRANSPORT DASHBOARD'!$B$4="Zone",IF(1267&lt;=$I$4,IF(OR('TRANSPORT DASHBOARD'!$C$4="",ISNUMBER(SEARCH('TRANSPORT DASHBOARD'!$C$4,INDEX(MASTER_ZONES!$B:$B,1268)))),1267,""),""),""))</f>
        <v/>
      </c>
    </row>
    <row r="1269">
      <c r="A1269">
        <f>IF('WSF DASHBOARD'!$B$4="Area",IF(1268&lt;=$D$3,IF(OR('WSF DASHBOARD'!$C$4="",ISNUMBER(SEARCH('WSF DASHBOARD'!$C$4,INDEX(MASTER_AREAS!$B:$B,1269)))),1268,""),""),IF('WSF DASHBOARD'!$B$4="Zone",IF(1268&lt;=$D$4,IF(OR('WSF DASHBOARD'!$C$4="",ISNUMBER(SEARCH('WSF DASHBOARD'!$C$4,INDEX(MASTER_ZONES!$B:$B,1269)))),1268,""),""),""))</f>
        <v/>
      </c>
      <c r="F1269">
        <f>IF('TRANSPORT DASHBOARD'!$B$4="Area",IF(1268&lt;=$I$3,IF(OR('TRANSPORT DASHBOARD'!$C$4="",ISNUMBER(SEARCH('TRANSPORT DASHBOARD'!$C$4,INDEX(MASTER_AREAS!$B:$B,1269)))),1268,""),""),IF('TRANSPORT DASHBOARD'!$B$4="Zone",IF(1268&lt;=$I$4,IF(OR('TRANSPORT DASHBOARD'!$C$4="",ISNUMBER(SEARCH('TRANSPORT DASHBOARD'!$C$4,INDEX(MASTER_ZONES!$B:$B,1269)))),1268,""),""),""))</f>
        <v/>
      </c>
    </row>
    <row r="1270">
      <c r="A1270">
        <f>IF('WSF DASHBOARD'!$B$4="Area",IF(1269&lt;=$D$3,IF(OR('WSF DASHBOARD'!$C$4="",ISNUMBER(SEARCH('WSF DASHBOARD'!$C$4,INDEX(MASTER_AREAS!$B:$B,1270)))),1269,""),""),IF('WSF DASHBOARD'!$B$4="Zone",IF(1269&lt;=$D$4,IF(OR('WSF DASHBOARD'!$C$4="",ISNUMBER(SEARCH('WSF DASHBOARD'!$C$4,INDEX(MASTER_ZONES!$B:$B,1270)))),1269,""),""),""))</f>
        <v/>
      </c>
      <c r="F1270">
        <f>IF('TRANSPORT DASHBOARD'!$B$4="Area",IF(1269&lt;=$I$3,IF(OR('TRANSPORT DASHBOARD'!$C$4="",ISNUMBER(SEARCH('TRANSPORT DASHBOARD'!$C$4,INDEX(MASTER_AREAS!$B:$B,1270)))),1269,""),""),IF('TRANSPORT DASHBOARD'!$B$4="Zone",IF(1269&lt;=$I$4,IF(OR('TRANSPORT DASHBOARD'!$C$4="",ISNUMBER(SEARCH('TRANSPORT DASHBOARD'!$C$4,INDEX(MASTER_ZONES!$B:$B,1270)))),1269,""),""),""))</f>
        <v/>
      </c>
    </row>
    <row r="1271">
      <c r="A1271">
        <f>IF('WSF DASHBOARD'!$B$4="Area",IF(1270&lt;=$D$3,IF(OR('WSF DASHBOARD'!$C$4="",ISNUMBER(SEARCH('WSF DASHBOARD'!$C$4,INDEX(MASTER_AREAS!$B:$B,1271)))),1270,""),""),IF('WSF DASHBOARD'!$B$4="Zone",IF(1270&lt;=$D$4,IF(OR('WSF DASHBOARD'!$C$4="",ISNUMBER(SEARCH('WSF DASHBOARD'!$C$4,INDEX(MASTER_ZONES!$B:$B,1271)))),1270,""),""),""))</f>
        <v/>
      </c>
      <c r="F1271">
        <f>IF('TRANSPORT DASHBOARD'!$B$4="Area",IF(1270&lt;=$I$3,IF(OR('TRANSPORT DASHBOARD'!$C$4="",ISNUMBER(SEARCH('TRANSPORT DASHBOARD'!$C$4,INDEX(MASTER_AREAS!$B:$B,1271)))),1270,""),""),IF('TRANSPORT DASHBOARD'!$B$4="Zone",IF(1270&lt;=$I$4,IF(OR('TRANSPORT DASHBOARD'!$C$4="",ISNUMBER(SEARCH('TRANSPORT DASHBOARD'!$C$4,INDEX(MASTER_ZONES!$B:$B,1271)))),1270,""),""),""))</f>
        <v/>
      </c>
    </row>
    <row r="1272">
      <c r="A1272">
        <f>IF('WSF DASHBOARD'!$B$4="Area",IF(1271&lt;=$D$3,IF(OR('WSF DASHBOARD'!$C$4="",ISNUMBER(SEARCH('WSF DASHBOARD'!$C$4,INDEX(MASTER_AREAS!$B:$B,1272)))),1271,""),""),IF('WSF DASHBOARD'!$B$4="Zone",IF(1271&lt;=$D$4,IF(OR('WSF DASHBOARD'!$C$4="",ISNUMBER(SEARCH('WSF DASHBOARD'!$C$4,INDEX(MASTER_ZONES!$B:$B,1272)))),1271,""),""),""))</f>
        <v/>
      </c>
      <c r="F1272">
        <f>IF('TRANSPORT DASHBOARD'!$B$4="Area",IF(1271&lt;=$I$3,IF(OR('TRANSPORT DASHBOARD'!$C$4="",ISNUMBER(SEARCH('TRANSPORT DASHBOARD'!$C$4,INDEX(MASTER_AREAS!$B:$B,1272)))),1271,""),""),IF('TRANSPORT DASHBOARD'!$B$4="Zone",IF(1271&lt;=$I$4,IF(OR('TRANSPORT DASHBOARD'!$C$4="",ISNUMBER(SEARCH('TRANSPORT DASHBOARD'!$C$4,INDEX(MASTER_ZONES!$B:$B,1272)))),1271,""),""),""))</f>
        <v/>
      </c>
    </row>
    <row r="1273">
      <c r="A1273">
        <f>IF('WSF DASHBOARD'!$B$4="Area",IF(1272&lt;=$D$3,IF(OR('WSF DASHBOARD'!$C$4="",ISNUMBER(SEARCH('WSF DASHBOARD'!$C$4,INDEX(MASTER_AREAS!$B:$B,1273)))),1272,""),""),IF('WSF DASHBOARD'!$B$4="Zone",IF(1272&lt;=$D$4,IF(OR('WSF DASHBOARD'!$C$4="",ISNUMBER(SEARCH('WSF DASHBOARD'!$C$4,INDEX(MASTER_ZONES!$B:$B,1273)))),1272,""),""),""))</f>
        <v/>
      </c>
      <c r="F1273">
        <f>IF('TRANSPORT DASHBOARD'!$B$4="Area",IF(1272&lt;=$I$3,IF(OR('TRANSPORT DASHBOARD'!$C$4="",ISNUMBER(SEARCH('TRANSPORT DASHBOARD'!$C$4,INDEX(MASTER_AREAS!$B:$B,1273)))),1272,""),""),IF('TRANSPORT DASHBOARD'!$B$4="Zone",IF(1272&lt;=$I$4,IF(OR('TRANSPORT DASHBOARD'!$C$4="",ISNUMBER(SEARCH('TRANSPORT DASHBOARD'!$C$4,INDEX(MASTER_ZONES!$B:$B,1273)))),1272,""),""),""))</f>
        <v/>
      </c>
    </row>
    <row r="1274">
      <c r="A1274">
        <f>IF('WSF DASHBOARD'!$B$4="Area",IF(1273&lt;=$D$3,IF(OR('WSF DASHBOARD'!$C$4="",ISNUMBER(SEARCH('WSF DASHBOARD'!$C$4,INDEX(MASTER_AREAS!$B:$B,1274)))),1273,""),""),IF('WSF DASHBOARD'!$B$4="Zone",IF(1273&lt;=$D$4,IF(OR('WSF DASHBOARD'!$C$4="",ISNUMBER(SEARCH('WSF DASHBOARD'!$C$4,INDEX(MASTER_ZONES!$B:$B,1274)))),1273,""),""),""))</f>
        <v/>
      </c>
      <c r="F1274">
        <f>IF('TRANSPORT DASHBOARD'!$B$4="Area",IF(1273&lt;=$I$3,IF(OR('TRANSPORT DASHBOARD'!$C$4="",ISNUMBER(SEARCH('TRANSPORT DASHBOARD'!$C$4,INDEX(MASTER_AREAS!$B:$B,1274)))),1273,""),""),IF('TRANSPORT DASHBOARD'!$B$4="Zone",IF(1273&lt;=$I$4,IF(OR('TRANSPORT DASHBOARD'!$C$4="",ISNUMBER(SEARCH('TRANSPORT DASHBOARD'!$C$4,INDEX(MASTER_ZONES!$B:$B,1274)))),1273,""),""),""))</f>
        <v/>
      </c>
    </row>
    <row r="1275">
      <c r="A1275">
        <f>IF('WSF DASHBOARD'!$B$4="Area",IF(1274&lt;=$D$3,IF(OR('WSF DASHBOARD'!$C$4="",ISNUMBER(SEARCH('WSF DASHBOARD'!$C$4,INDEX(MASTER_AREAS!$B:$B,1275)))),1274,""),""),IF('WSF DASHBOARD'!$B$4="Zone",IF(1274&lt;=$D$4,IF(OR('WSF DASHBOARD'!$C$4="",ISNUMBER(SEARCH('WSF DASHBOARD'!$C$4,INDEX(MASTER_ZONES!$B:$B,1275)))),1274,""),""),""))</f>
        <v/>
      </c>
      <c r="F1275">
        <f>IF('TRANSPORT DASHBOARD'!$B$4="Area",IF(1274&lt;=$I$3,IF(OR('TRANSPORT DASHBOARD'!$C$4="",ISNUMBER(SEARCH('TRANSPORT DASHBOARD'!$C$4,INDEX(MASTER_AREAS!$B:$B,1275)))),1274,""),""),IF('TRANSPORT DASHBOARD'!$B$4="Zone",IF(1274&lt;=$I$4,IF(OR('TRANSPORT DASHBOARD'!$C$4="",ISNUMBER(SEARCH('TRANSPORT DASHBOARD'!$C$4,INDEX(MASTER_ZONES!$B:$B,1275)))),1274,""),""),""))</f>
        <v/>
      </c>
    </row>
    <row r="1276">
      <c r="A1276">
        <f>IF('WSF DASHBOARD'!$B$4="Area",IF(1275&lt;=$D$3,IF(OR('WSF DASHBOARD'!$C$4="",ISNUMBER(SEARCH('WSF DASHBOARD'!$C$4,INDEX(MASTER_AREAS!$B:$B,1276)))),1275,""),""),IF('WSF DASHBOARD'!$B$4="Zone",IF(1275&lt;=$D$4,IF(OR('WSF DASHBOARD'!$C$4="",ISNUMBER(SEARCH('WSF DASHBOARD'!$C$4,INDEX(MASTER_ZONES!$B:$B,1276)))),1275,""),""),""))</f>
        <v/>
      </c>
      <c r="F1276">
        <f>IF('TRANSPORT DASHBOARD'!$B$4="Area",IF(1275&lt;=$I$3,IF(OR('TRANSPORT DASHBOARD'!$C$4="",ISNUMBER(SEARCH('TRANSPORT DASHBOARD'!$C$4,INDEX(MASTER_AREAS!$B:$B,1276)))),1275,""),""),IF('TRANSPORT DASHBOARD'!$B$4="Zone",IF(1275&lt;=$I$4,IF(OR('TRANSPORT DASHBOARD'!$C$4="",ISNUMBER(SEARCH('TRANSPORT DASHBOARD'!$C$4,INDEX(MASTER_ZONES!$B:$B,1276)))),1275,""),""),""))</f>
        <v/>
      </c>
    </row>
    <row r="1277">
      <c r="A1277">
        <f>IF('WSF DASHBOARD'!$B$4="Area",IF(1276&lt;=$D$3,IF(OR('WSF DASHBOARD'!$C$4="",ISNUMBER(SEARCH('WSF DASHBOARD'!$C$4,INDEX(MASTER_AREAS!$B:$B,1277)))),1276,""),""),IF('WSF DASHBOARD'!$B$4="Zone",IF(1276&lt;=$D$4,IF(OR('WSF DASHBOARD'!$C$4="",ISNUMBER(SEARCH('WSF DASHBOARD'!$C$4,INDEX(MASTER_ZONES!$B:$B,1277)))),1276,""),""),""))</f>
        <v/>
      </c>
      <c r="F1277">
        <f>IF('TRANSPORT DASHBOARD'!$B$4="Area",IF(1276&lt;=$I$3,IF(OR('TRANSPORT DASHBOARD'!$C$4="",ISNUMBER(SEARCH('TRANSPORT DASHBOARD'!$C$4,INDEX(MASTER_AREAS!$B:$B,1277)))),1276,""),""),IF('TRANSPORT DASHBOARD'!$B$4="Zone",IF(1276&lt;=$I$4,IF(OR('TRANSPORT DASHBOARD'!$C$4="",ISNUMBER(SEARCH('TRANSPORT DASHBOARD'!$C$4,INDEX(MASTER_ZONES!$B:$B,1277)))),1276,""),""),""))</f>
        <v/>
      </c>
    </row>
    <row r="1278">
      <c r="A1278">
        <f>IF('WSF DASHBOARD'!$B$4="Area",IF(1277&lt;=$D$3,IF(OR('WSF DASHBOARD'!$C$4="",ISNUMBER(SEARCH('WSF DASHBOARD'!$C$4,INDEX(MASTER_AREAS!$B:$B,1278)))),1277,""),""),IF('WSF DASHBOARD'!$B$4="Zone",IF(1277&lt;=$D$4,IF(OR('WSF DASHBOARD'!$C$4="",ISNUMBER(SEARCH('WSF DASHBOARD'!$C$4,INDEX(MASTER_ZONES!$B:$B,1278)))),1277,""),""),""))</f>
        <v/>
      </c>
      <c r="F1278">
        <f>IF('TRANSPORT DASHBOARD'!$B$4="Area",IF(1277&lt;=$I$3,IF(OR('TRANSPORT DASHBOARD'!$C$4="",ISNUMBER(SEARCH('TRANSPORT DASHBOARD'!$C$4,INDEX(MASTER_AREAS!$B:$B,1278)))),1277,""),""),IF('TRANSPORT DASHBOARD'!$B$4="Zone",IF(1277&lt;=$I$4,IF(OR('TRANSPORT DASHBOARD'!$C$4="",ISNUMBER(SEARCH('TRANSPORT DASHBOARD'!$C$4,INDEX(MASTER_ZONES!$B:$B,1278)))),1277,""),""),""))</f>
        <v/>
      </c>
    </row>
    <row r="1279">
      <c r="A1279">
        <f>IF('WSF DASHBOARD'!$B$4="Area",IF(1278&lt;=$D$3,IF(OR('WSF DASHBOARD'!$C$4="",ISNUMBER(SEARCH('WSF DASHBOARD'!$C$4,INDEX(MASTER_AREAS!$B:$B,1279)))),1278,""),""),IF('WSF DASHBOARD'!$B$4="Zone",IF(1278&lt;=$D$4,IF(OR('WSF DASHBOARD'!$C$4="",ISNUMBER(SEARCH('WSF DASHBOARD'!$C$4,INDEX(MASTER_ZONES!$B:$B,1279)))),1278,""),""),""))</f>
        <v/>
      </c>
      <c r="F1279">
        <f>IF('TRANSPORT DASHBOARD'!$B$4="Area",IF(1278&lt;=$I$3,IF(OR('TRANSPORT DASHBOARD'!$C$4="",ISNUMBER(SEARCH('TRANSPORT DASHBOARD'!$C$4,INDEX(MASTER_AREAS!$B:$B,1279)))),1278,""),""),IF('TRANSPORT DASHBOARD'!$B$4="Zone",IF(1278&lt;=$I$4,IF(OR('TRANSPORT DASHBOARD'!$C$4="",ISNUMBER(SEARCH('TRANSPORT DASHBOARD'!$C$4,INDEX(MASTER_ZONES!$B:$B,1279)))),1278,""),""),""))</f>
        <v/>
      </c>
    </row>
    <row r="1280">
      <c r="A1280">
        <f>IF('WSF DASHBOARD'!$B$4="Area",IF(1279&lt;=$D$3,IF(OR('WSF DASHBOARD'!$C$4="",ISNUMBER(SEARCH('WSF DASHBOARD'!$C$4,INDEX(MASTER_AREAS!$B:$B,1280)))),1279,""),""),IF('WSF DASHBOARD'!$B$4="Zone",IF(1279&lt;=$D$4,IF(OR('WSF DASHBOARD'!$C$4="",ISNUMBER(SEARCH('WSF DASHBOARD'!$C$4,INDEX(MASTER_ZONES!$B:$B,1280)))),1279,""),""),""))</f>
        <v/>
      </c>
      <c r="F1280">
        <f>IF('TRANSPORT DASHBOARD'!$B$4="Area",IF(1279&lt;=$I$3,IF(OR('TRANSPORT DASHBOARD'!$C$4="",ISNUMBER(SEARCH('TRANSPORT DASHBOARD'!$C$4,INDEX(MASTER_AREAS!$B:$B,1280)))),1279,""),""),IF('TRANSPORT DASHBOARD'!$B$4="Zone",IF(1279&lt;=$I$4,IF(OR('TRANSPORT DASHBOARD'!$C$4="",ISNUMBER(SEARCH('TRANSPORT DASHBOARD'!$C$4,INDEX(MASTER_ZONES!$B:$B,1280)))),1279,""),""),""))</f>
        <v/>
      </c>
    </row>
    <row r="1281">
      <c r="A1281">
        <f>IF('WSF DASHBOARD'!$B$4="Area",IF(1280&lt;=$D$3,IF(OR('WSF DASHBOARD'!$C$4="",ISNUMBER(SEARCH('WSF DASHBOARD'!$C$4,INDEX(MASTER_AREAS!$B:$B,1281)))),1280,""),""),IF('WSF DASHBOARD'!$B$4="Zone",IF(1280&lt;=$D$4,IF(OR('WSF DASHBOARD'!$C$4="",ISNUMBER(SEARCH('WSF DASHBOARD'!$C$4,INDEX(MASTER_ZONES!$B:$B,1281)))),1280,""),""),""))</f>
        <v/>
      </c>
      <c r="F1281">
        <f>IF('TRANSPORT DASHBOARD'!$B$4="Area",IF(1280&lt;=$I$3,IF(OR('TRANSPORT DASHBOARD'!$C$4="",ISNUMBER(SEARCH('TRANSPORT DASHBOARD'!$C$4,INDEX(MASTER_AREAS!$B:$B,1281)))),1280,""),""),IF('TRANSPORT DASHBOARD'!$B$4="Zone",IF(1280&lt;=$I$4,IF(OR('TRANSPORT DASHBOARD'!$C$4="",ISNUMBER(SEARCH('TRANSPORT DASHBOARD'!$C$4,INDEX(MASTER_ZONES!$B:$B,1281)))),1280,""),""),""))</f>
        <v/>
      </c>
    </row>
    <row r="1282">
      <c r="A1282">
        <f>IF('WSF DASHBOARD'!$B$4="Area",IF(1281&lt;=$D$3,IF(OR('WSF DASHBOARD'!$C$4="",ISNUMBER(SEARCH('WSF DASHBOARD'!$C$4,INDEX(MASTER_AREAS!$B:$B,1282)))),1281,""),""),IF('WSF DASHBOARD'!$B$4="Zone",IF(1281&lt;=$D$4,IF(OR('WSF DASHBOARD'!$C$4="",ISNUMBER(SEARCH('WSF DASHBOARD'!$C$4,INDEX(MASTER_ZONES!$B:$B,1282)))),1281,""),""),""))</f>
        <v/>
      </c>
      <c r="F1282">
        <f>IF('TRANSPORT DASHBOARD'!$B$4="Area",IF(1281&lt;=$I$3,IF(OR('TRANSPORT DASHBOARD'!$C$4="",ISNUMBER(SEARCH('TRANSPORT DASHBOARD'!$C$4,INDEX(MASTER_AREAS!$B:$B,1282)))),1281,""),""),IF('TRANSPORT DASHBOARD'!$B$4="Zone",IF(1281&lt;=$I$4,IF(OR('TRANSPORT DASHBOARD'!$C$4="",ISNUMBER(SEARCH('TRANSPORT DASHBOARD'!$C$4,INDEX(MASTER_ZONES!$B:$B,1282)))),1281,""),""),""))</f>
        <v/>
      </c>
    </row>
    <row r="1283">
      <c r="A1283">
        <f>IF('WSF DASHBOARD'!$B$4="Area",IF(1282&lt;=$D$3,IF(OR('WSF DASHBOARD'!$C$4="",ISNUMBER(SEARCH('WSF DASHBOARD'!$C$4,INDEX(MASTER_AREAS!$B:$B,1283)))),1282,""),""),IF('WSF DASHBOARD'!$B$4="Zone",IF(1282&lt;=$D$4,IF(OR('WSF DASHBOARD'!$C$4="",ISNUMBER(SEARCH('WSF DASHBOARD'!$C$4,INDEX(MASTER_ZONES!$B:$B,1283)))),1282,""),""),""))</f>
        <v/>
      </c>
      <c r="F1283">
        <f>IF('TRANSPORT DASHBOARD'!$B$4="Area",IF(1282&lt;=$I$3,IF(OR('TRANSPORT DASHBOARD'!$C$4="",ISNUMBER(SEARCH('TRANSPORT DASHBOARD'!$C$4,INDEX(MASTER_AREAS!$B:$B,1283)))),1282,""),""),IF('TRANSPORT DASHBOARD'!$B$4="Zone",IF(1282&lt;=$I$4,IF(OR('TRANSPORT DASHBOARD'!$C$4="",ISNUMBER(SEARCH('TRANSPORT DASHBOARD'!$C$4,INDEX(MASTER_ZONES!$B:$B,1283)))),1282,""),""),""))</f>
        <v/>
      </c>
    </row>
    <row r="1284">
      <c r="A1284">
        <f>IF('WSF DASHBOARD'!$B$4="Area",IF(1283&lt;=$D$3,IF(OR('WSF DASHBOARD'!$C$4="",ISNUMBER(SEARCH('WSF DASHBOARD'!$C$4,INDEX(MASTER_AREAS!$B:$B,1284)))),1283,""),""),IF('WSF DASHBOARD'!$B$4="Zone",IF(1283&lt;=$D$4,IF(OR('WSF DASHBOARD'!$C$4="",ISNUMBER(SEARCH('WSF DASHBOARD'!$C$4,INDEX(MASTER_ZONES!$B:$B,1284)))),1283,""),""),""))</f>
        <v/>
      </c>
      <c r="F1284">
        <f>IF('TRANSPORT DASHBOARD'!$B$4="Area",IF(1283&lt;=$I$3,IF(OR('TRANSPORT DASHBOARD'!$C$4="",ISNUMBER(SEARCH('TRANSPORT DASHBOARD'!$C$4,INDEX(MASTER_AREAS!$B:$B,1284)))),1283,""),""),IF('TRANSPORT DASHBOARD'!$B$4="Zone",IF(1283&lt;=$I$4,IF(OR('TRANSPORT DASHBOARD'!$C$4="",ISNUMBER(SEARCH('TRANSPORT DASHBOARD'!$C$4,INDEX(MASTER_ZONES!$B:$B,1284)))),1283,""),""),""))</f>
        <v/>
      </c>
    </row>
    <row r="1285">
      <c r="A1285">
        <f>IF('WSF DASHBOARD'!$B$4="Area",IF(1284&lt;=$D$3,IF(OR('WSF DASHBOARD'!$C$4="",ISNUMBER(SEARCH('WSF DASHBOARD'!$C$4,INDEX(MASTER_AREAS!$B:$B,1285)))),1284,""),""),IF('WSF DASHBOARD'!$B$4="Zone",IF(1284&lt;=$D$4,IF(OR('WSF DASHBOARD'!$C$4="",ISNUMBER(SEARCH('WSF DASHBOARD'!$C$4,INDEX(MASTER_ZONES!$B:$B,1285)))),1284,""),""),""))</f>
        <v/>
      </c>
      <c r="F1285">
        <f>IF('TRANSPORT DASHBOARD'!$B$4="Area",IF(1284&lt;=$I$3,IF(OR('TRANSPORT DASHBOARD'!$C$4="",ISNUMBER(SEARCH('TRANSPORT DASHBOARD'!$C$4,INDEX(MASTER_AREAS!$B:$B,1285)))),1284,""),""),IF('TRANSPORT DASHBOARD'!$B$4="Zone",IF(1284&lt;=$I$4,IF(OR('TRANSPORT DASHBOARD'!$C$4="",ISNUMBER(SEARCH('TRANSPORT DASHBOARD'!$C$4,INDEX(MASTER_ZONES!$B:$B,1285)))),1284,""),""),""))</f>
        <v/>
      </c>
    </row>
    <row r="1286">
      <c r="A1286">
        <f>IF('WSF DASHBOARD'!$B$4="Area",IF(1285&lt;=$D$3,IF(OR('WSF DASHBOARD'!$C$4="",ISNUMBER(SEARCH('WSF DASHBOARD'!$C$4,INDEX(MASTER_AREAS!$B:$B,1286)))),1285,""),""),IF('WSF DASHBOARD'!$B$4="Zone",IF(1285&lt;=$D$4,IF(OR('WSF DASHBOARD'!$C$4="",ISNUMBER(SEARCH('WSF DASHBOARD'!$C$4,INDEX(MASTER_ZONES!$B:$B,1286)))),1285,""),""),""))</f>
        <v/>
      </c>
      <c r="F1286">
        <f>IF('TRANSPORT DASHBOARD'!$B$4="Area",IF(1285&lt;=$I$3,IF(OR('TRANSPORT DASHBOARD'!$C$4="",ISNUMBER(SEARCH('TRANSPORT DASHBOARD'!$C$4,INDEX(MASTER_AREAS!$B:$B,1286)))),1285,""),""),IF('TRANSPORT DASHBOARD'!$B$4="Zone",IF(1285&lt;=$I$4,IF(OR('TRANSPORT DASHBOARD'!$C$4="",ISNUMBER(SEARCH('TRANSPORT DASHBOARD'!$C$4,INDEX(MASTER_ZONES!$B:$B,1286)))),1285,""),""),""))</f>
        <v/>
      </c>
    </row>
    <row r="1287">
      <c r="A1287">
        <f>IF('WSF DASHBOARD'!$B$4="Area",IF(1286&lt;=$D$3,IF(OR('WSF DASHBOARD'!$C$4="",ISNUMBER(SEARCH('WSF DASHBOARD'!$C$4,INDEX(MASTER_AREAS!$B:$B,1287)))),1286,""),""),IF('WSF DASHBOARD'!$B$4="Zone",IF(1286&lt;=$D$4,IF(OR('WSF DASHBOARD'!$C$4="",ISNUMBER(SEARCH('WSF DASHBOARD'!$C$4,INDEX(MASTER_ZONES!$B:$B,1287)))),1286,""),""),""))</f>
        <v/>
      </c>
      <c r="F1287">
        <f>IF('TRANSPORT DASHBOARD'!$B$4="Area",IF(1286&lt;=$I$3,IF(OR('TRANSPORT DASHBOARD'!$C$4="",ISNUMBER(SEARCH('TRANSPORT DASHBOARD'!$C$4,INDEX(MASTER_AREAS!$B:$B,1287)))),1286,""),""),IF('TRANSPORT DASHBOARD'!$B$4="Zone",IF(1286&lt;=$I$4,IF(OR('TRANSPORT DASHBOARD'!$C$4="",ISNUMBER(SEARCH('TRANSPORT DASHBOARD'!$C$4,INDEX(MASTER_ZONES!$B:$B,1287)))),1286,""),""),""))</f>
        <v/>
      </c>
    </row>
    <row r="1288">
      <c r="A1288">
        <f>IF('WSF DASHBOARD'!$B$4="Area",IF(1287&lt;=$D$3,IF(OR('WSF DASHBOARD'!$C$4="",ISNUMBER(SEARCH('WSF DASHBOARD'!$C$4,INDEX(MASTER_AREAS!$B:$B,1288)))),1287,""),""),IF('WSF DASHBOARD'!$B$4="Zone",IF(1287&lt;=$D$4,IF(OR('WSF DASHBOARD'!$C$4="",ISNUMBER(SEARCH('WSF DASHBOARD'!$C$4,INDEX(MASTER_ZONES!$B:$B,1288)))),1287,""),""),""))</f>
        <v/>
      </c>
      <c r="F1288">
        <f>IF('TRANSPORT DASHBOARD'!$B$4="Area",IF(1287&lt;=$I$3,IF(OR('TRANSPORT DASHBOARD'!$C$4="",ISNUMBER(SEARCH('TRANSPORT DASHBOARD'!$C$4,INDEX(MASTER_AREAS!$B:$B,1288)))),1287,""),""),IF('TRANSPORT DASHBOARD'!$B$4="Zone",IF(1287&lt;=$I$4,IF(OR('TRANSPORT DASHBOARD'!$C$4="",ISNUMBER(SEARCH('TRANSPORT DASHBOARD'!$C$4,INDEX(MASTER_ZONES!$B:$B,1288)))),1287,""),""),""))</f>
        <v/>
      </c>
    </row>
    <row r="1289">
      <c r="A1289">
        <f>IF('WSF DASHBOARD'!$B$4="Area",IF(1288&lt;=$D$3,IF(OR('WSF DASHBOARD'!$C$4="",ISNUMBER(SEARCH('WSF DASHBOARD'!$C$4,INDEX(MASTER_AREAS!$B:$B,1289)))),1288,""),""),IF('WSF DASHBOARD'!$B$4="Zone",IF(1288&lt;=$D$4,IF(OR('WSF DASHBOARD'!$C$4="",ISNUMBER(SEARCH('WSF DASHBOARD'!$C$4,INDEX(MASTER_ZONES!$B:$B,1289)))),1288,""),""),""))</f>
        <v/>
      </c>
      <c r="F1289">
        <f>IF('TRANSPORT DASHBOARD'!$B$4="Area",IF(1288&lt;=$I$3,IF(OR('TRANSPORT DASHBOARD'!$C$4="",ISNUMBER(SEARCH('TRANSPORT DASHBOARD'!$C$4,INDEX(MASTER_AREAS!$B:$B,1289)))),1288,""),""),IF('TRANSPORT DASHBOARD'!$B$4="Zone",IF(1288&lt;=$I$4,IF(OR('TRANSPORT DASHBOARD'!$C$4="",ISNUMBER(SEARCH('TRANSPORT DASHBOARD'!$C$4,INDEX(MASTER_ZONES!$B:$B,1289)))),1288,""),""),""))</f>
        <v/>
      </c>
    </row>
    <row r="1290">
      <c r="A1290">
        <f>IF('WSF DASHBOARD'!$B$4="Area",IF(1289&lt;=$D$3,IF(OR('WSF DASHBOARD'!$C$4="",ISNUMBER(SEARCH('WSF DASHBOARD'!$C$4,INDEX(MASTER_AREAS!$B:$B,1290)))),1289,""),""),IF('WSF DASHBOARD'!$B$4="Zone",IF(1289&lt;=$D$4,IF(OR('WSF DASHBOARD'!$C$4="",ISNUMBER(SEARCH('WSF DASHBOARD'!$C$4,INDEX(MASTER_ZONES!$B:$B,1290)))),1289,""),""),""))</f>
        <v/>
      </c>
      <c r="F1290">
        <f>IF('TRANSPORT DASHBOARD'!$B$4="Area",IF(1289&lt;=$I$3,IF(OR('TRANSPORT DASHBOARD'!$C$4="",ISNUMBER(SEARCH('TRANSPORT DASHBOARD'!$C$4,INDEX(MASTER_AREAS!$B:$B,1290)))),1289,""),""),IF('TRANSPORT DASHBOARD'!$B$4="Zone",IF(1289&lt;=$I$4,IF(OR('TRANSPORT DASHBOARD'!$C$4="",ISNUMBER(SEARCH('TRANSPORT DASHBOARD'!$C$4,INDEX(MASTER_ZONES!$B:$B,1290)))),1289,""),""),""))</f>
        <v/>
      </c>
    </row>
    <row r="1291">
      <c r="A1291">
        <f>IF('WSF DASHBOARD'!$B$4="Area",IF(1290&lt;=$D$3,IF(OR('WSF DASHBOARD'!$C$4="",ISNUMBER(SEARCH('WSF DASHBOARD'!$C$4,INDEX(MASTER_AREAS!$B:$B,1291)))),1290,""),""),IF('WSF DASHBOARD'!$B$4="Zone",IF(1290&lt;=$D$4,IF(OR('WSF DASHBOARD'!$C$4="",ISNUMBER(SEARCH('WSF DASHBOARD'!$C$4,INDEX(MASTER_ZONES!$B:$B,1291)))),1290,""),""),""))</f>
        <v/>
      </c>
      <c r="F1291">
        <f>IF('TRANSPORT DASHBOARD'!$B$4="Area",IF(1290&lt;=$I$3,IF(OR('TRANSPORT DASHBOARD'!$C$4="",ISNUMBER(SEARCH('TRANSPORT DASHBOARD'!$C$4,INDEX(MASTER_AREAS!$B:$B,1291)))),1290,""),""),IF('TRANSPORT DASHBOARD'!$B$4="Zone",IF(1290&lt;=$I$4,IF(OR('TRANSPORT DASHBOARD'!$C$4="",ISNUMBER(SEARCH('TRANSPORT DASHBOARD'!$C$4,INDEX(MASTER_ZONES!$B:$B,1291)))),1290,""),""),""))</f>
        <v/>
      </c>
    </row>
    <row r="1292">
      <c r="A1292">
        <f>IF('WSF DASHBOARD'!$B$4="Area",IF(1291&lt;=$D$3,IF(OR('WSF DASHBOARD'!$C$4="",ISNUMBER(SEARCH('WSF DASHBOARD'!$C$4,INDEX(MASTER_AREAS!$B:$B,1292)))),1291,""),""),IF('WSF DASHBOARD'!$B$4="Zone",IF(1291&lt;=$D$4,IF(OR('WSF DASHBOARD'!$C$4="",ISNUMBER(SEARCH('WSF DASHBOARD'!$C$4,INDEX(MASTER_ZONES!$B:$B,1292)))),1291,""),""),""))</f>
        <v/>
      </c>
      <c r="F1292">
        <f>IF('TRANSPORT DASHBOARD'!$B$4="Area",IF(1291&lt;=$I$3,IF(OR('TRANSPORT DASHBOARD'!$C$4="",ISNUMBER(SEARCH('TRANSPORT DASHBOARD'!$C$4,INDEX(MASTER_AREAS!$B:$B,1292)))),1291,""),""),IF('TRANSPORT DASHBOARD'!$B$4="Zone",IF(1291&lt;=$I$4,IF(OR('TRANSPORT DASHBOARD'!$C$4="",ISNUMBER(SEARCH('TRANSPORT DASHBOARD'!$C$4,INDEX(MASTER_ZONES!$B:$B,1292)))),1291,""),""),""))</f>
        <v/>
      </c>
    </row>
    <row r="1293">
      <c r="A1293">
        <f>IF('WSF DASHBOARD'!$B$4="Area",IF(1292&lt;=$D$3,IF(OR('WSF DASHBOARD'!$C$4="",ISNUMBER(SEARCH('WSF DASHBOARD'!$C$4,INDEX(MASTER_AREAS!$B:$B,1293)))),1292,""),""),IF('WSF DASHBOARD'!$B$4="Zone",IF(1292&lt;=$D$4,IF(OR('WSF DASHBOARD'!$C$4="",ISNUMBER(SEARCH('WSF DASHBOARD'!$C$4,INDEX(MASTER_ZONES!$B:$B,1293)))),1292,""),""),""))</f>
        <v/>
      </c>
      <c r="F1293">
        <f>IF('TRANSPORT DASHBOARD'!$B$4="Area",IF(1292&lt;=$I$3,IF(OR('TRANSPORT DASHBOARD'!$C$4="",ISNUMBER(SEARCH('TRANSPORT DASHBOARD'!$C$4,INDEX(MASTER_AREAS!$B:$B,1293)))),1292,""),""),IF('TRANSPORT DASHBOARD'!$B$4="Zone",IF(1292&lt;=$I$4,IF(OR('TRANSPORT DASHBOARD'!$C$4="",ISNUMBER(SEARCH('TRANSPORT DASHBOARD'!$C$4,INDEX(MASTER_ZONES!$B:$B,1293)))),1292,""),""),""))</f>
        <v/>
      </c>
    </row>
    <row r="1294">
      <c r="A1294">
        <f>IF('WSF DASHBOARD'!$B$4="Area",IF(1293&lt;=$D$3,IF(OR('WSF DASHBOARD'!$C$4="",ISNUMBER(SEARCH('WSF DASHBOARD'!$C$4,INDEX(MASTER_AREAS!$B:$B,1294)))),1293,""),""),IF('WSF DASHBOARD'!$B$4="Zone",IF(1293&lt;=$D$4,IF(OR('WSF DASHBOARD'!$C$4="",ISNUMBER(SEARCH('WSF DASHBOARD'!$C$4,INDEX(MASTER_ZONES!$B:$B,1294)))),1293,""),""),""))</f>
        <v/>
      </c>
      <c r="F1294">
        <f>IF('TRANSPORT DASHBOARD'!$B$4="Area",IF(1293&lt;=$I$3,IF(OR('TRANSPORT DASHBOARD'!$C$4="",ISNUMBER(SEARCH('TRANSPORT DASHBOARD'!$C$4,INDEX(MASTER_AREAS!$B:$B,1294)))),1293,""),""),IF('TRANSPORT DASHBOARD'!$B$4="Zone",IF(1293&lt;=$I$4,IF(OR('TRANSPORT DASHBOARD'!$C$4="",ISNUMBER(SEARCH('TRANSPORT DASHBOARD'!$C$4,INDEX(MASTER_ZONES!$B:$B,1294)))),1293,""),""),""))</f>
        <v/>
      </c>
    </row>
    <row r="1295">
      <c r="A1295">
        <f>IF('WSF DASHBOARD'!$B$4="Area",IF(1294&lt;=$D$3,IF(OR('WSF DASHBOARD'!$C$4="",ISNUMBER(SEARCH('WSF DASHBOARD'!$C$4,INDEX(MASTER_AREAS!$B:$B,1295)))),1294,""),""),IF('WSF DASHBOARD'!$B$4="Zone",IF(1294&lt;=$D$4,IF(OR('WSF DASHBOARD'!$C$4="",ISNUMBER(SEARCH('WSF DASHBOARD'!$C$4,INDEX(MASTER_ZONES!$B:$B,1295)))),1294,""),""),""))</f>
        <v/>
      </c>
      <c r="F1295">
        <f>IF('TRANSPORT DASHBOARD'!$B$4="Area",IF(1294&lt;=$I$3,IF(OR('TRANSPORT DASHBOARD'!$C$4="",ISNUMBER(SEARCH('TRANSPORT DASHBOARD'!$C$4,INDEX(MASTER_AREAS!$B:$B,1295)))),1294,""),""),IF('TRANSPORT DASHBOARD'!$B$4="Zone",IF(1294&lt;=$I$4,IF(OR('TRANSPORT DASHBOARD'!$C$4="",ISNUMBER(SEARCH('TRANSPORT DASHBOARD'!$C$4,INDEX(MASTER_ZONES!$B:$B,1295)))),1294,""),""),""))</f>
        <v/>
      </c>
    </row>
    <row r="1296">
      <c r="A1296">
        <f>IF('WSF DASHBOARD'!$B$4="Area",IF(1295&lt;=$D$3,IF(OR('WSF DASHBOARD'!$C$4="",ISNUMBER(SEARCH('WSF DASHBOARD'!$C$4,INDEX(MASTER_AREAS!$B:$B,1296)))),1295,""),""),IF('WSF DASHBOARD'!$B$4="Zone",IF(1295&lt;=$D$4,IF(OR('WSF DASHBOARD'!$C$4="",ISNUMBER(SEARCH('WSF DASHBOARD'!$C$4,INDEX(MASTER_ZONES!$B:$B,1296)))),1295,""),""),""))</f>
        <v/>
      </c>
      <c r="F1296">
        <f>IF('TRANSPORT DASHBOARD'!$B$4="Area",IF(1295&lt;=$I$3,IF(OR('TRANSPORT DASHBOARD'!$C$4="",ISNUMBER(SEARCH('TRANSPORT DASHBOARD'!$C$4,INDEX(MASTER_AREAS!$B:$B,1296)))),1295,""),""),IF('TRANSPORT DASHBOARD'!$B$4="Zone",IF(1295&lt;=$I$4,IF(OR('TRANSPORT DASHBOARD'!$C$4="",ISNUMBER(SEARCH('TRANSPORT DASHBOARD'!$C$4,INDEX(MASTER_ZONES!$B:$B,1296)))),1295,""),""),""))</f>
        <v/>
      </c>
    </row>
    <row r="1297">
      <c r="A1297">
        <f>IF('WSF DASHBOARD'!$B$4="Area",IF(1296&lt;=$D$3,IF(OR('WSF DASHBOARD'!$C$4="",ISNUMBER(SEARCH('WSF DASHBOARD'!$C$4,INDEX(MASTER_AREAS!$B:$B,1297)))),1296,""),""),IF('WSF DASHBOARD'!$B$4="Zone",IF(1296&lt;=$D$4,IF(OR('WSF DASHBOARD'!$C$4="",ISNUMBER(SEARCH('WSF DASHBOARD'!$C$4,INDEX(MASTER_ZONES!$B:$B,1297)))),1296,""),""),""))</f>
        <v/>
      </c>
      <c r="F1297">
        <f>IF('TRANSPORT DASHBOARD'!$B$4="Area",IF(1296&lt;=$I$3,IF(OR('TRANSPORT DASHBOARD'!$C$4="",ISNUMBER(SEARCH('TRANSPORT DASHBOARD'!$C$4,INDEX(MASTER_AREAS!$B:$B,1297)))),1296,""),""),IF('TRANSPORT DASHBOARD'!$B$4="Zone",IF(1296&lt;=$I$4,IF(OR('TRANSPORT DASHBOARD'!$C$4="",ISNUMBER(SEARCH('TRANSPORT DASHBOARD'!$C$4,INDEX(MASTER_ZONES!$B:$B,1297)))),1296,""),""),""))</f>
        <v/>
      </c>
    </row>
    <row r="1298">
      <c r="A1298">
        <f>IF('WSF DASHBOARD'!$B$4="Area",IF(1297&lt;=$D$3,IF(OR('WSF DASHBOARD'!$C$4="",ISNUMBER(SEARCH('WSF DASHBOARD'!$C$4,INDEX(MASTER_AREAS!$B:$B,1298)))),1297,""),""),IF('WSF DASHBOARD'!$B$4="Zone",IF(1297&lt;=$D$4,IF(OR('WSF DASHBOARD'!$C$4="",ISNUMBER(SEARCH('WSF DASHBOARD'!$C$4,INDEX(MASTER_ZONES!$B:$B,1298)))),1297,""),""),""))</f>
        <v/>
      </c>
      <c r="F1298">
        <f>IF('TRANSPORT DASHBOARD'!$B$4="Area",IF(1297&lt;=$I$3,IF(OR('TRANSPORT DASHBOARD'!$C$4="",ISNUMBER(SEARCH('TRANSPORT DASHBOARD'!$C$4,INDEX(MASTER_AREAS!$B:$B,1298)))),1297,""),""),IF('TRANSPORT DASHBOARD'!$B$4="Zone",IF(1297&lt;=$I$4,IF(OR('TRANSPORT DASHBOARD'!$C$4="",ISNUMBER(SEARCH('TRANSPORT DASHBOARD'!$C$4,INDEX(MASTER_ZONES!$B:$B,1298)))),1297,""),""),""))</f>
        <v/>
      </c>
    </row>
    <row r="1299">
      <c r="A1299">
        <f>IF('WSF DASHBOARD'!$B$4="Area",IF(1298&lt;=$D$3,IF(OR('WSF DASHBOARD'!$C$4="",ISNUMBER(SEARCH('WSF DASHBOARD'!$C$4,INDEX(MASTER_AREAS!$B:$B,1299)))),1298,""),""),IF('WSF DASHBOARD'!$B$4="Zone",IF(1298&lt;=$D$4,IF(OR('WSF DASHBOARD'!$C$4="",ISNUMBER(SEARCH('WSF DASHBOARD'!$C$4,INDEX(MASTER_ZONES!$B:$B,1299)))),1298,""),""),""))</f>
        <v/>
      </c>
      <c r="F1299">
        <f>IF('TRANSPORT DASHBOARD'!$B$4="Area",IF(1298&lt;=$I$3,IF(OR('TRANSPORT DASHBOARD'!$C$4="",ISNUMBER(SEARCH('TRANSPORT DASHBOARD'!$C$4,INDEX(MASTER_AREAS!$B:$B,1299)))),1298,""),""),IF('TRANSPORT DASHBOARD'!$B$4="Zone",IF(1298&lt;=$I$4,IF(OR('TRANSPORT DASHBOARD'!$C$4="",ISNUMBER(SEARCH('TRANSPORT DASHBOARD'!$C$4,INDEX(MASTER_ZONES!$B:$B,1299)))),1298,""),""),""))</f>
        <v/>
      </c>
    </row>
    <row r="1300">
      <c r="A1300">
        <f>IF('WSF DASHBOARD'!$B$4="Area",IF(1299&lt;=$D$3,IF(OR('WSF DASHBOARD'!$C$4="",ISNUMBER(SEARCH('WSF DASHBOARD'!$C$4,INDEX(MASTER_AREAS!$B:$B,1300)))),1299,""),""),IF('WSF DASHBOARD'!$B$4="Zone",IF(1299&lt;=$D$4,IF(OR('WSF DASHBOARD'!$C$4="",ISNUMBER(SEARCH('WSF DASHBOARD'!$C$4,INDEX(MASTER_ZONES!$B:$B,1300)))),1299,""),""),""))</f>
        <v/>
      </c>
      <c r="F1300">
        <f>IF('TRANSPORT DASHBOARD'!$B$4="Area",IF(1299&lt;=$I$3,IF(OR('TRANSPORT DASHBOARD'!$C$4="",ISNUMBER(SEARCH('TRANSPORT DASHBOARD'!$C$4,INDEX(MASTER_AREAS!$B:$B,1300)))),1299,""),""),IF('TRANSPORT DASHBOARD'!$B$4="Zone",IF(1299&lt;=$I$4,IF(OR('TRANSPORT DASHBOARD'!$C$4="",ISNUMBER(SEARCH('TRANSPORT DASHBOARD'!$C$4,INDEX(MASTER_ZONES!$B:$B,1300)))),1299,""),""),""))</f>
        <v/>
      </c>
    </row>
    <row r="1301">
      <c r="A1301">
        <f>IF('WSF DASHBOARD'!$B$4="Area",IF(1300&lt;=$D$3,IF(OR('WSF DASHBOARD'!$C$4="",ISNUMBER(SEARCH('WSF DASHBOARD'!$C$4,INDEX(MASTER_AREAS!$B:$B,1301)))),1300,""),""),IF('WSF DASHBOARD'!$B$4="Zone",IF(1300&lt;=$D$4,IF(OR('WSF DASHBOARD'!$C$4="",ISNUMBER(SEARCH('WSF DASHBOARD'!$C$4,INDEX(MASTER_ZONES!$B:$B,1301)))),1300,""),""),""))</f>
        <v/>
      </c>
      <c r="F1301">
        <f>IF('TRANSPORT DASHBOARD'!$B$4="Area",IF(1300&lt;=$I$3,IF(OR('TRANSPORT DASHBOARD'!$C$4="",ISNUMBER(SEARCH('TRANSPORT DASHBOARD'!$C$4,INDEX(MASTER_AREAS!$B:$B,1301)))),1300,""),""),IF('TRANSPORT DASHBOARD'!$B$4="Zone",IF(1300&lt;=$I$4,IF(OR('TRANSPORT DASHBOARD'!$C$4="",ISNUMBER(SEARCH('TRANSPORT DASHBOARD'!$C$4,INDEX(MASTER_ZONES!$B:$B,1301)))),1300,""),""),""))</f>
        <v/>
      </c>
    </row>
    <row r="1302">
      <c r="A1302">
        <f>IF('WSF DASHBOARD'!$B$4="Area",IF(1301&lt;=$D$3,IF(OR('WSF DASHBOARD'!$C$4="",ISNUMBER(SEARCH('WSF DASHBOARD'!$C$4,INDEX(MASTER_AREAS!$B:$B,1302)))),1301,""),""),IF('WSF DASHBOARD'!$B$4="Zone",IF(1301&lt;=$D$4,IF(OR('WSF DASHBOARD'!$C$4="",ISNUMBER(SEARCH('WSF DASHBOARD'!$C$4,INDEX(MASTER_ZONES!$B:$B,1302)))),1301,""),""),""))</f>
        <v/>
      </c>
      <c r="F1302">
        <f>IF('TRANSPORT DASHBOARD'!$B$4="Area",IF(1301&lt;=$I$3,IF(OR('TRANSPORT DASHBOARD'!$C$4="",ISNUMBER(SEARCH('TRANSPORT DASHBOARD'!$C$4,INDEX(MASTER_AREAS!$B:$B,1302)))),1301,""),""),IF('TRANSPORT DASHBOARD'!$B$4="Zone",IF(1301&lt;=$I$4,IF(OR('TRANSPORT DASHBOARD'!$C$4="",ISNUMBER(SEARCH('TRANSPORT DASHBOARD'!$C$4,INDEX(MASTER_ZONES!$B:$B,1302)))),1301,""),""),""))</f>
        <v/>
      </c>
    </row>
    <row r="1303">
      <c r="A1303">
        <f>IF('WSF DASHBOARD'!$B$4="Area",IF(1302&lt;=$D$3,IF(OR('WSF DASHBOARD'!$C$4="",ISNUMBER(SEARCH('WSF DASHBOARD'!$C$4,INDEX(MASTER_AREAS!$B:$B,1303)))),1302,""),""),IF('WSF DASHBOARD'!$B$4="Zone",IF(1302&lt;=$D$4,IF(OR('WSF DASHBOARD'!$C$4="",ISNUMBER(SEARCH('WSF DASHBOARD'!$C$4,INDEX(MASTER_ZONES!$B:$B,1303)))),1302,""),""),""))</f>
        <v/>
      </c>
      <c r="F1303">
        <f>IF('TRANSPORT DASHBOARD'!$B$4="Area",IF(1302&lt;=$I$3,IF(OR('TRANSPORT DASHBOARD'!$C$4="",ISNUMBER(SEARCH('TRANSPORT DASHBOARD'!$C$4,INDEX(MASTER_AREAS!$B:$B,1303)))),1302,""),""),IF('TRANSPORT DASHBOARD'!$B$4="Zone",IF(1302&lt;=$I$4,IF(OR('TRANSPORT DASHBOARD'!$C$4="",ISNUMBER(SEARCH('TRANSPORT DASHBOARD'!$C$4,INDEX(MASTER_ZONES!$B:$B,1303)))),1302,""),""),""))</f>
        <v/>
      </c>
    </row>
    <row r="1304">
      <c r="A1304">
        <f>IF('WSF DASHBOARD'!$B$4="Area",IF(1303&lt;=$D$3,IF(OR('WSF DASHBOARD'!$C$4="",ISNUMBER(SEARCH('WSF DASHBOARD'!$C$4,INDEX(MASTER_AREAS!$B:$B,1304)))),1303,""),""),IF('WSF DASHBOARD'!$B$4="Zone",IF(1303&lt;=$D$4,IF(OR('WSF DASHBOARD'!$C$4="",ISNUMBER(SEARCH('WSF DASHBOARD'!$C$4,INDEX(MASTER_ZONES!$B:$B,1304)))),1303,""),""),""))</f>
        <v/>
      </c>
      <c r="F1304">
        <f>IF('TRANSPORT DASHBOARD'!$B$4="Area",IF(1303&lt;=$I$3,IF(OR('TRANSPORT DASHBOARD'!$C$4="",ISNUMBER(SEARCH('TRANSPORT DASHBOARD'!$C$4,INDEX(MASTER_AREAS!$B:$B,1304)))),1303,""),""),IF('TRANSPORT DASHBOARD'!$B$4="Zone",IF(1303&lt;=$I$4,IF(OR('TRANSPORT DASHBOARD'!$C$4="",ISNUMBER(SEARCH('TRANSPORT DASHBOARD'!$C$4,INDEX(MASTER_ZONES!$B:$B,1304)))),1303,""),""),""))</f>
        <v/>
      </c>
    </row>
    <row r="1305">
      <c r="A1305">
        <f>IF('WSF DASHBOARD'!$B$4="Area",IF(1304&lt;=$D$3,IF(OR('WSF DASHBOARD'!$C$4="",ISNUMBER(SEARCH('WSF DASHBOARD'!$C$4,INDEX(MASTER_AREAS!$B:$B,1305)))),1304,""),""),IF('WSF DASHBOARD'!$B$4="Zone",IF(1304&lt;=$D$4,IF(OR('WSF DASHBOARD'!$C$4="",ISNUMBER(SEARCH('WSF DASHBOARD'!$C$4,INDEX(MASTER_ZONES!$B:$B,1305)))),1304,""),""),""))</f>
        <v/>
      </c>
      <c r="F1305">
        <f>IF('TRANSPORT DASHBOARD'!$B$4="Area",IF(1304&lt;=$I$3,IF(OR('TRANSPORT DASHBOARD'!$C$4="",ISNUMBER(SEARCH('TRANSPORT DASHBOARD'!$C$4,INDEX(MASTER_AREAS!$B:$B,1305)))),1304,""),""),IF('TRANSPORT DASHBOARD'!$B$4="Zone",IF(1304&lt;=$I$4,IF(OR('TRANSPORT DASHBOARD'!$C$4="",ISNUMBER(SEARCH('TRANSPORT DASHBOARD'!$C$4,INDEX(MASTER_ZONES!$B:$B,1305)))),1304,""),""),""))</f>
        <v/>
      </c>
    </row>
    <row r="1306">
      <c r="A1306">
        <f>IF('WSF DASHBOARD'!$B$4="Area",IF(1305&lt;=$D$3,IF(OR('WSF DASHBOARD'!$C$4="",ISNUMBER(SEARCH('WSF DASHBOARD'!$C$4,INDEX(MASTER_AREAS!$B:$B,1306)))),1305,""),""),IF('WSF DASHBOARD'!$B$4="Zone",IF(1305&lt;=$D$4,IF(OR('WSF DASHBOARD'!$C$4="",ISNUMBER(SEARCH('WSF DASHBOARD'!$C$4,INDEX(MASTER_ZONES!$B:$B,1306)))),1305,""),""),""))</f>
        <v/>
      </c>
      <c r="F1306">
        <f>IF('TRANSPORT DASHBOARD'!$B$4="Area",IF(1305&lt;=$I$3,IF(OR('TRANSPORT DASHBOARD'!$C$4="",ISNUMBER(SEARCH('TRANSPORT DASHBOARD'!$C$4,INDEX(MASTER_AREAS!$B:$B,1306)))),1305,""),""),IF('TRANSPORT DASHBOARD'!$B$4="Zone",IF(1305&lt;=$I$4,IF(OR('TRANSPORT DASHBOARD'!$C$4="",ISNUMBER(SEARCH('TRANSPORT DASHBOARD'!$C$4,INDEX(MASTER_ZONES!$B:$B,1306)))),1305,""),""),""))</f>
        <v/>
      </c>
    </row>
    <row r="1307">
      <c r="A1307">
        <f>IF('WSF DASHBOARD'!$B$4="Area",IF(1306&lt;=$D$3,IF(OR('WSF DASHBOARD'!$C$4="",ISNUMBER(SEARCH('WSF DASHBOARD'!$C$4,INDEX(MASTER_AREAS!$B:$B,1307)))),1306,""),""),IF('WSF DASHBOARD'!$B$4="Zone",IF(1306&lt;=$D$4,IF(OR('WSF DASHBOARD'!$C$4="",ISNUMBER(SEARCH('WSF DASHBOARD'!$C$4,INDEX(MASTER_ZONES!$B:$B,1307)))),1306,""),""),""))</f>
        <v/>
      </c>
      <c r="F1307">
        <f>IF('TRANSPORT DASHBOARD'!$B$4="Area",IF(1306&lt;=$I$3,IF(OR('TRANSPORT DASHBOARD'!$C$4="",ISNUMBER(SEARCH('TRANSPORT DASHBOARD'!$C$4,INDEX(MASTER_AREAS!$B:$B,1307)))),1306,""),""),IF('TRANSPORT DASHBOARD'!$B$4="Zone",IF(1306&lt;=$I$4,IF(OR('TRANSPORT DASHBOARD'!$C$4="",ISNUMBER(SEARCH('TRANSPORT DASHBOARD'!$C$4,INDEX(MASTER_ZONES!$B:$B,1307)))),1306,""),""),""))</f>
        <v/>
      </c>
    </row>
    <row r="1308">
      <c r="A1308">
        <f>IF('WSF DASHBOARD'!$B$4="Area",IF(1307&lt;=$D$3,IF(OR('WSF DASHBOARD'!$C$4="",ISNUMBER(SEARCH('WSF DASHBOARD'!$C$4,INDEX(MASTER_AREAS!$B:$B,1308)))),1307,""),""),IF('WSF DASHBOARD'!$B$4="Zone",IF(1307&lt;=$D$4,IF(OR('WSF DASHBOARD'!$C$4="",ISNUMBER(SEARCH('WSF DASHBOARD'!$C$4,INDEX(MASTER_ZONES!$B:$B,1308)))),1307,""),""),""))</f>
        <v/>
      </c>
      <c r="F1308">
        <f>IF('TRANSPORT DASHBOARD'!$B$4="Area",IF(1307&lt;=$I$3,IF(OR('TRANSPORT DASHBOARD'!$C$4="",ISNUMBER(SEARCH('TRANSPORT DASHBOARD'!$C$4,INDEX(MASTER_AREAS!$B:$B,1308)))),1307,""),""),IF('TRANSPORT DASHBOARD'!$B$4="Zone",IF(1307&lt;=$I$4,IF(OR('TRANSPORT DASHBOARD'!$C$4="",ISNUMBER(SEARCH('TRANSPORT DASHBOARD'!$C$4,INDEX(MASTER_ZONES!$B:$B,1308)))),1307,""),""),""))</f>
        <v/>
      </c>
    </row>
    <row r="1309">
      <c r="A1309">
        <f>IF('WSF DASHBOARD'!$B$4="Area",IF(1308&lt;=$D$3,IF(OR('WSF DASHBOARD'!$C$4="",ISNUMBER(SEARCH('WSF DASHBOARD'!$C$4,INDEX(MASTER_AREAS!$B:$B,1309)))),1308,""),""),IF('WSF DASHBOARD'!$B$4="Zone",IF(1308&lt;=$D$4,IF(OR('WSF DASHBOARD'!$C$4="",ISNUMBER(SEARCH('WSF DASHBOARD'!$C$4,INDEX(MASTER_ZONES!$B:$B,1309)))),1308,""),""),""))</f>
        <v/>
      </c>
      <c r="F1309">
        <f>IF('TRANSPORT DASHBOARD'!$B$4="Area",IF(1308&lt;=$I$3,IF(OR('TRANSPORT DASHBOARD'!$C$4="",ISNUMBER(SEARCH('TRANSPORT DASHBOARD'!$C$4,INDEX(MASTER_AREAS!$B:$B,1309)))),1308,""),""),IF('TRANSPORT DASHBOARD'!$B$4="Zone",IF(1308&lt;=$I$4,IF(OR('TRANSPORT DASHBOARD'!$C$4="",ISNUMBER(SEARCH('TRANSPORT DASHBOARD'!$C$4,INDEX(MASTER_ZONES!$B:$B,1309)))),1308,""),""),""))</f>
        <v/>
      </c>
    </row>
    <row r="1310">
      <c r="A1310">
        <f>IF('WSF DASHBOARD'!$B$4="Area",IF(1309&lt;=$D$3,IF(OR('WSF DASHBOARD'!$C$4="",ISNUMBER(SEARCH('WSF DASHBOARD'!$C$4,INDEX(MASTER_AREAS!$B:$B,1310)))),1309,""),""),IF('WSF DASHBOARD'!$B$4="Zone",IF(1309&lt;=$D$4,IF(OR('WSF DASHBOARD'!$C$4="",ISNUMBER(SEARCH('WSF DASHBOARD'!$C$4,INDEX(MASTER_ZONES!$B:$B,1310)))),1309,""),""),""))</f>
        <v/>
      </c>
      <c r="F1310">
        <f>IF('TRANSPORT DASHBOARD'!$B$4="Area",IF(1309&lt;=$I$3,IF(OR('TRANSPORT DASHBOARD'!$C$4="",ISNUMBER(SEARCH('TRANSPORT DASHBOARD'!$C$4,INDEX(MASTER_AREAS!$B:$B,1310)))),1309,""),""),IF('TRANSPORT DASHBOARD'!$B$4="Zone",IF(1309&lt;=$I$4,IF(OR('TRANSPORT DASHBOARD'!$C$4="",ISNUMBER(SEARCH('TRANSPORT DASHBOARD'!$C$4,INDEX(MASTER_ZONES!$B:$B,1310)))),1309,""),""),""))</f>
        <v/>
      </c>
    </row>
    <row r="1311">
      <c r="A1311">
        <f>IF('WSF DASHBOARD'!$B$4="Area",IF(1310&lt;=$D$3,IF(OR('WSF DASHBOARD'!$C$4="",ISNUMBER(SEARCH('WSF DASHBOARD'!$C$4,INDEX(MASTER_AREAS!$B:$B,1311)))),1310,""),""),IF('WSF DASHBOARD'!$B$4="Zone",IF(1310&lt;=$D$4,IF(OR('WSF DASHBOARD'!$C$4="",ISNUMBER(SEARCH('WSF DASHBOARD'!$C$4,INDEX(MASTER_ZONES!$B:$B,1311)))),1310,""),""),""))</f>
        <v/>
      </c>
      <c r="F1311">
        <f>IF('TRANSPORT DASHBOARD'!$B$4="Area",IF(1310&lt;=$I$3,IF(OR('TRANSPORT DASHBOARD'!$C$4="",ISNUMBER(SEARCH('TRANSPORT DASHBOARD'!$C$4,INDEX(MASTER_AREAS!$B:$B,1311)))),1310,""),""),IF('TRANSPORT DASHBOARD'!$B$4="Zone",IF(1310&lt;=$I$4,IF(OR('TRANSPORT DASHBOARD'!$C$4="",ISNUMBER(SEARCH('TRANSPORT DASHBOARD'!$C$4,INDEX(MASTER_ZONES!$B:$B,1311)))),1310,""),""),""))</f>
        <v/>
      </c>
    </row>
    <row r="1312">
      <c r="A1312">
        <f>IF('WSF DASHBOARD'!$B$4="Area",IF(1311&lt;=$D$3,IF(OR('WSF DASHBOARD'!$C$4="",ISNUMBER(SEARCH('WSF DASHBOARD'!$C$4,INDEX(MASTER_AREAS!$B:$B,1312)))),1311,""),""),IF('WSF DASHBOARD'!$B$4="Zone",IF(1311&lt;=$D$4,IF(OR('WSF DASHBOARD'!$C$4="",ISNUMBER(SEARCH('WSF DASHBOARD'!$C$4,INDEX(MASTER_ZONES!$B:$B,1312)))),1311,""),""),""))</f>
        <v/>
      </c>
      <c r="F1312">
        <f>IF('TRANSPORT DASHBOARD'!$B$4="Area",IF(1311&lt;=$I$3,IF(OR('TRANSPORT DASHBOARD'!$C$4="",ISNUMBER(SEARCH('TRANSPORT DASHBOARD'!$C$4,INDEX(MASTER_AREAS!$B:$B,1312)))),1311,""),""),IF('TRANSPORT DASHBOARD'!$B$4="Zone",IF(1311&lt;=$I$4,IF(OR('TRANSPORT DASHBOARD'!$C$4="",ISNUMBER(SEARCH('TRANSPORT DASHBOARD'!$C$4,INDEX(MASTER_ZONES!$B:$B,1312)))),1311,""),""),""))</f>
        <v/>
      </c>
    </row>
    <row r="1313">
      <c r="A1313">
        <f>IF('WSF DASHBOARD'!$B$4="Area",IF(1312&lt;=$D$3,IF(OR('WSF DASHBOARD'!$C$4="",ISNUMBER(SEARCH('WSF DASHBOARD'!$C$4,INDEX(MASTER_AREAS!$B:$B,1313)))),1312,""),""),IF('WSF DASHBOARD'!$B$4="Zone",IF(1312&lt;=$D$4,IF(OR('WSF DASHBOARD'!$C$4="",ISNUMBER(SEARCH('WSF DASHBOARD'!$C$4,INDEX(MASTER_ZONES!$B:$B,1313)))),1312,""),""),""))</f>
        <v/>
      </c>
      <c r="F1313">
        <f>IF('TRANSPORT DASHBOARD'!$B$4="Area",IF(1312&lt;=$I$3,IF(OR('TRANSPORT DASHBOARD'!$C$4="",ISNUMBER(SEARCH('TRANSPORT DASHBOARD'!$C$4,INDEX(MASTER_AREAS!$B:$B,1313)))),1312,""),""),IF('TRANSPORT DASHBOARD'!$B$4="Zone",IF(1312&lt;=$I$4,IF(OR('TRANSPORT DASHBOARD'!$C$4="",ISNUMBER(SEARCH('TRANSPORT DASHBOARD'!$C$4,INDEX(MASTER_ZONES!$B:$B,1313)))),1312,""),""),""))</f>
        <v/>
      </c>
    </row>
    <row r="1314">
      <c r="A1314">
        <f>IF('WSF DASHBOARD'!$B$4="Area",IF(1313&lt;=$D$3,IF(OR('WSF DASHBOARD'!$C$4="",ISNUMBER(SEARCH('WSF DASHBOARD'!$C$4,INDEX(MASTER_AREAS!$B:$B,1314)))),1313,""),""),IF('WSF DASHBOARD'!$B$4="Zone",IF(1313&lt;=$D$4,IF(OR('WSF DASHBOARD'!$C$4="",ISNUMBER(SEARCH('WSF DASHBOARD'!$C$4,INDEX(MASTER_ZONES!$B:$B,1314)))),1313,""),""),""))</f>
        <v/>
      </c>
      <c r="F1314">
        <f>IF('TRANSPORT DASHBOARD'!$B$4="Area",IF(1313&lt;=$I$3,IF(OR('TRANSPORT DASHBOARD'!$C$4="",ISNUMBER(SEARCH('TRANSPORT DASHBOARD'!$C$4,INDEX(MASTER_AREAS!$B:$B,1314)))),1313,""),""),IF('TRANSPORT DASHBOARD'!$B$4="Zone",IF(1313&lt;=$I$4,IF(OR('TRANSPORT DASHBOARD'!$C$4="",ISNUMBER(SEARCH('TRANSPORT DASHBOARD'!$C$4,INDEX(MASTER_ZONES!$B:$B,1314)))),1313,""),""),""))</f>
        <v/>
      </c>
    </row>
    <row r="1315">
      <c r="A1315">
        <f>IF('WSF DASHBOARD'!$B$4="Area",IF(1314&lt;=$D$3,IF(OR('WSF DASHBOARD'!$C$4="",ISNUMBER(SEARCH('WSF DASHBOARD'!$C$4,INDEX(MASTER_AREAS!$B:$B,1315)))),1314,""),""),IF('WSF DASHBOARD'!$B$4="Zone",IF(1314&lt;=$D$4,IF(OR('WSF DASHBOARD'!$C$4="",ISNUMBER(SEARCH('WSF DASHBOARD'!$C$4,INDEX(MASTER_ZONES!$B:$B,1315)))),1314,""),""),""))</f>
        <v/>
      </c>
      <c r="F1315">
        <f>IF('TRANSPORT DASHBOARD'!$B$4="Area",IF(1314&lt;=$I$3,IF(OR('TRANSPORT DASHBOARD'!$C$4="",ISNUMBER(SEARCH('TRANSPORT DASHBOARD'!$C$4,INDEX(MASTER_AREAS!$B:$B,1315)))),1314,""),""),IF('TRANSPORT DASHBOARD'!$B$4="Zone",IF(1314&lt;=$I$4,IF(OR('TRANSPORT DASHBOARD'!$C$4="",ISNUMBER(SEARCH('TRANSPORT DASHBOARD'!$C$4,INDEX(MASTER_ZONES!$B:$B,1315)))),1314,""),""),""))</f>
        <v/>
      </c>
    </row>
    <row r="1316">
      <c r="A1316">
        <f>IF('WSF DASHBOARD'!$B$4="Area",IF(1315&lt;=$D$3,IF(OR('WSF DASHBOARD'!$C$4="",ISNUMBER(SEARCH('WSF DASHBOARD'!$C$4,INDEX(MASTER_AREAS!$B:$B,1316)))),1315,""),""),IF('WSF DASHBOARD'!$B$4="Zone",IF(1315&lt;=$D$4,IF(OR('WSF DASHBOARD'!$C$4="",ISNUMBER(SEARCH('WSF DASHBOARD'!$C$4,INDEX(MASTER_ZONES!$B:$B,1316)))),1315,""),""),""))</f>
        <v/>
      </c>
      <c r="F1316">
        <f>IF('TRANSPORT DASHBOARD'!$B$4="Area",IF(1315&lt;=$I$3,IF(OR('TRANSPORT DASHBOARD'!$C$4="",ISNUMBER(SEARCH('TRANSPORT DASHBOARD'!$C$4,INDEX(MASTER_AREAS!$B:$B,1316)))),1315,""),""),IF('TRANSPORT DASHBOARD'!$B$4="Zone",IF(1315&lt;=$I$4,IF(OR('TRANSPORT DASHBOARD'!$C$4="",ISNUMBER(SEARCH('TRANSPORT DASHBOARD'!$C$4,INDEX(MASTER_ZONES!$B:$B,1316)))),1315,""),""),""))</f>
        <v/>
      </c>
    </row>
    <row r="1317">
      <c r="A1317">
        <f>IF('WSF DASHBOARD'!$B$4="Area",IF(1316&lt;=$D$3,IF(OR('WSF DASHBOARD'!$C$4="",ISNUMBER(SEARCH('WSF DASHBOARD'!$C$4,INDEX(MASTER_AREAS!$B:$B,1317)))),1316,""),""),IF('WSF DASHBOARD'!$B$4="Zone",IF(1316&lt;=$D$4,IF(OR('WSF DASHBOARD'!$C$4="",ISNUMBER(SEARCH('WSF DASHBOARD'!$C$4,INDEX(MASTER_ZONES!$B:$B,1317)))),1316,""),""),""))</f>
        <v/>
      </c>
      <c r="F1317">
        <f>IF('TRANSPORT DASHBOARD'!$B$4="Area",IF(1316&lt;=$I$3,IF(OR('TRANSPORT DASHBOARD'!$C$4="",ISNUMBER(SEARCH('TRANSPORT DASHBOARD'!$C$4,INDEX(MASTER_AREAS!$B:$B,1317)))),1316,""),""),IF('TRANSPORT DASHBOARD'!$B$4="Zone",IF(1316&lt;=$I$4,IF(OR('TRANSPORT DASHBOARD'!$C$4="",ISNUMBER(SEARCH('TRANSPORT DASHBOARD'!$C$4,INDEX(MASTER_ZONES!$B:$B,1317)))),1316,""),""),""))</f>
        <v/>
      </c>
    </row>
    <row r="1318">
      <c r="A1318">
        <f>IF('WSF DASHBOARD'!$B$4="Area",IF(1317&lt;=$D$3,IF(OR('WSF DASHBOARD'!$C$4="",ISNUMBER(SEARCH('WSF DASHBOARD'!$C$4,INDEX(MASTER_AREAS!$B:$B,1318)))),1317,""),""),IF('WSF DASHBOARD'!$B$4="Zone",IF(1317&lt;=$D$4,IF(OR('WSF DASHBOARD'!$C$4="",ISNUMBER(SEARCH('WSF DASHBOARD'!$C$4,INDEX(MASTER_ZONES!$B:$B,1318)))),1317,""),""),""))</f>
        <v/>
      </c>
      <c r="F1318">
        <f>IF('TRANSPORT DASHBOARD'!$B$4="Area",IF(1317&lt;=$I$3,IF(OR('TRANSPORT DASHBOARD'!$C$4="",ISNUMBER(SEARCH('TRANSPORT DASHBOARD'!$C$4,INDEX(MASTER_AREAS!$B:$B,1318)))),1317,""),""),IF('TRANSPORT DASHBOARD'!$B$4="Zone",IF(1317&lt;=$I$4,IF(OR('TRANSPORT DASHBOARD'!$C$4="",ISNUMBER(SEARCH('TRANSPORT DASHBOARD'!$C$4,INDEX(MASTER_ZONES!$B:$B,1318)))),1317,""),""),""))</f>
        <v/>
      </c>
    </row>
    <row r="1319">
      <c r="A1319">
        <f>IF('WSF DASHBOARD'!$B$4="Area",IF(1318&lt;=$D$3,IF(OR('WSF DASHBOARD'!$C$4="",ISNUMBER(SEARCH('WSF DASHBOARD'!$C$4,INDEX(MASTER_AREAS!$B:$B,1319)))),1318,""),""),IF('WSF DASHBOARD'!$B$4="Zone",IF(1318&lt;=$D$4,IF(OR('WSF DASHBOARD'!$C$4="",ISNUMBER(SEARCH('WSF DASHBOARD'!$C$4,INDEX(MASTER_ZONES!$B:$B,1319)))),1318,""),""),""))</f>
        <v/>
      </c>
      <c r="F1319">
        <f>IF('TRANSPORT DASHBOARD'!$B$4="Area",IF(1318&lt;=$I$3,IF(OR('TRANSPORT DASHBOARD'!$C$4="",ISNUMBER(SEARCH('TRANSPORT DASHBOARD'!$C$4,INDEX(MASTER_AREAS!$B:$B,1319)))),1318,""),""),IF('TRANSPORT DASHBOARD'!$B$4="Zone",IF(1318&lt;=$I$4,IF(OR('TRANSPORT DASHBOARD'!$C$4="",ISNUMBER(SEARCH('TRANSPORT DASHBOARD'!$C$4,INDEX(MASTER_ZONES!$B:$B,1319)))),1318,""),""),""))</f>
        <v/>
      </c>
    </row>
    <row r="1320">
      <c r="A1320">
        <f>IF('WSF DASHBOARD'!$B$4="Area",IF(1319&lt;=$D$3,IF(OR('WSF DASHBOARD'!$C$4="",ISNUMBER(SEARCH('WSF DASHBOARD'!$C$4,INDEX(MASTER_AREAS!$B:$B,1320)))),1319,""),""),IF('WSF DASHBOARD'!$B$4="Zone",IF(1319&lt;=$D$4,IF(OR('WSF DASHBOARD'!$C$4="",ISNUMBER(SEARCH('WSF DASHBOARD'!$C$4,INDEX(MASTER_ZONES!$B:$B,1320)))),1319,""),""),""))</f>
        <v/>
      </c>
      <c r="F1320">
        <f>IF('TRANSPORT DASHBOARD'!$B$4="Area",IF(1319&lt;=$I$3,IF(OR('TRANSPORT DASHBOARD'!$C$4="",ISNUMBER(SEARCH('TRANSPORT DASHBOARD'!$C$4,INDEX(MASTER_AREAS!$B:$B,1320)))),1319,""),""),IF('TRANSPORT DASHBOARD'!$B$4="Zone",IF(1319&lt;=$I$4,IF(OR('TRANSPORT DASHBOARD'!$C$4="",ISNUMBER(SEARCH('TRANSPORT DASHBOARD'!$C$4,INDEX(MASTER_ZONES!$B:$B,1320)))),1319,""),""),""))</f>
        <v/>
      </c>
    </row>
    <row r="1321">
      <c r="A1321">
        <f>IF('WSF DASHBOARD'!$B$4="Area",IF(1320&lt;=$D$3,IF(OR('WSF DASHBOARD'!$C$4="",ISNUMBER(SEARCH('WSF DASHBOARD'!$C$4,INDEX(MASTER_AREAS!$B:$B,1321)))),1320,""),""),IF('WSF DASHBOARD'!$B$4="Zone",IF(1320&lt;=$D$4,IF(OR('WSF DASHBOARD'!$C$4="",ISNUMBER(SEARCH('WSF DASHBOARD'!$C$4,INDEX(MASTER_ZONES!$B:$B,1321)))),1320,""),""),""))</f>
        <v/>
      </c>
      <c r="F1321">
        <f>IF('TRANSPORT DASHBOARD'!$B$4="Area",IF(1320&lt;=$I$3,IF(OR('TRANSPORT DASHBOARD'!$C$4="",ISNUMBER(SEARCH('TRANSPORT DASHBOARD'!$C$4,INDEX(MASTER_AREAS!$B:$B,1321)))),1320,""),""),IF('TRANSPORT DASHBOARD'!$B$4="Zone",IF(1320&lt;=$I$4,IF(OR('TRANSPORT DASHBOARD'!$C$4="",ISNUMBER(SEARCH('TRANSPORT DASHBOARD'!$C$4,INDEX(MASTER_ZONES!$B:$B,1321)))),1320,""),""),""))</f>
        <v/>
      </c>
    </row>
    <row r="1322">
      <c r="A1322">
        <f>IF('WSF DASHBOARD'!$B$4="Area",IF(1321&lt;=$D$3,IF(OR('WSF DASHBOARD'!$C$4="",ISNUMBER(SEARCH('WSF DASHBOARD'!$C$4,INDEX(MASTER_AREAS!$B:$B,1322)))),1321,""),""),IF('WSF DASHBOARD'!$B$4="Zone",IF(1321&lt;=$D$4,IF(OR('WSF DASHBOARD'!$C$4="",ISNUMBER(SEARCH('WSF DASHBOARD'!$C$4,INDEX(MASTER_ZONES!$B:$B,1322)))),1321,""),""),""))</f>
        <v/>
      </c>
      <c r="F1322">
        <f>IF('TRANSPORT DASHBOARD'!$B$4="Area",IF(1321&lt;=$I$3,IF(OR('TRANSPORT DASHBOARD'!$C$4="",ISNUMBER(SEARCH('TRANSPORT DASHBOARD'!$C$4,INDEX(MASTER_AREAS!$B:$B,1322)))),1321,""),""),IF('TRANSPORT DASHBOARD'!$B$4="Zone",IF(1321&lt;=$I$4,IF(OR('TRANSPORT DASHBOARD'!$C$4="",ISNUMBER(SEARCH('TRANSPORT DASHBOARD'!$C$4,INDEX(MASTER_ZONES!$B:$B,1322)))),1321,""),""),""))</f>
        <v/>
      </c>
    </row>
    <row r="1323">
      <c r="A1323">
        <f>IF('WSF DASHBOARD'!$B$4="Area",IF(1322&lt;=$D$3,IF(OR('WSF DASHBOARD'!$C$4="",ISNUMBER(SEARCH('WSF DASHBOARD'!$C$4,INDEX(MASTER_AREAS!$B:$B,1323)))),1322,""),""),IF('WSF DASHBOARD'!$B$4="Zone",IF(1322&lt;=$D$4,IF(OR('WSF DASHBOARD'!$C$4="",ISNUMBER(SEARCH('WSF DASHBOARD'!$C$4,INDEX(MASTER_ZONES!$B:$B,1323)))),1322,""),""),""))</f>
        <v/>
      </c>
      <c r="F1323">
        <f>IF('TRANSPORT DASHBOARD'!$B$4="Area",IF(1322&lt;=$I$3,IF(OR('TRANSPORT DASHBOARD'!$C$4="",ISNUMBER(SEARCH('TRANSPORT DASHBOARD'!$C$4,INDEX(MASTER_AREAS!$B:$B,1323)))),1322,""),""),IF('TRANSPORT DASHBOARD'!$B$4="Zone",IF(1322&lt;=$I$4,IF(OR('TRANSPORT DASHBOARD'!$C$4="",ISNUMBER(SEARCH('TRANSPORT DASHBOARD'!$C$4,INDEX(MASTER_ZONES!$B:$B,1323)))),1322,""),""),""))</f>
        <v/>
      </c>
    </row>
    <row r="1324">
      <c r="A1324">
        <f>IF('WSF DASHBOARD'!$B$4="Area",IF(1323&lt;=$D$3,IF(OR('WSF DASHBOARD'!$C$4="",ISNUMBER(SEARCH('WSF DASHBOARD'!$C$4,INDEX(MASTER_AREAS!$B:$B,1324)))),1323,""),""),IF('WSF DASHBOARD'!$B$4="Zone",IF(1323&lt;=$D$4,IF(OR('WSF DASHBOARD'!$C$4="",ISNUMBER(SEARCH('WSF DASHBOARD'!$C$4,INDEX(MASTER_ZONES!$B:$B,1324)))),1323,""),""),""))</f>
        <v/>
      </c>
      <c r="F1324">
        <f>IF('TRANSPORT DASHBOARD'!$B$4="Area",IF(1323&lt;=$I$3,IF(OR('TRANSPORT DASHBOARD'!$C$4="",ISNUMBER(SEARCH('TRANSPORT DASHBOARD'!$C$4,INDEX(MASTER_AREAS!$B:$B,1324)))),1323,""),""),IF('TRANSPORT DASHBOARD'!$B$4="Zone",IF(1323&lt;=$I$4,IF(OR('TRANSPORT DASHBOARD'!$C$4="",ISNUMBER(SEARCH('TRANSPORT DASHBOARD'!$C$4,INDEX(MASTER_ZONES!$B:$B,1324)))),1323,""),""),""))</f>
        <v/>
      </c>
    </row>
    <row r="1325">
      <c r="A1325">
        <f>IF('WSF DASHBOARD'!$B$4="Area",IF(1324&lt;=$D$3,IF(OR('WSF DASHBOARD'!$C$4="",ISNUMBER(SEARCH('WSF DASHBOARD'!$C$4,INDEX(MASTER_AREAS!$B:$B,1325)))),1324,""),""),IF('WSF DASHBOARD'!$B$4="Zone",IF(1324&lt;=$D$4,IF(OR('WSF DASHBOARD'!$C$4="",ISNUMBER(SEARCH('WSF DASHBOARD'!$C$4,INDEX(MASTER_ZONES!$B:$B,1325)))),1324,""),""),""))</f>
        <v/>
      </c>
      <c r="F1325">
        <f>IF('TRANSPORT DASHBOARD'!$B$4="Area",IF(1324&lt;=$I$3,IF(OR('TRANSPORT DASHBOARD'!$C$4="",ISNUMBER(SEARCH('TRANSPORT DASHBOARD'!$C$4,INDEX(MASTER_AREAS!$B:$B,1325)))),1324,""),""),IF('TRANSPORT DASHBOARD'!$B$4="Zone",IF(1324&lt;=$I$4,IF(OR('TRANSPORT DASHBOARD'!$C$4="",ISNUMBER(SEARCH('TRANSPORT DASHBOARD'!$C$4,INDEX(MASTER_ZONES!$B:$B,1325)))),1324,""),""),""))</f>
        <v/>
      </c>
    </row>
    <row r="1326">
      <c r="A1326">
        <f>IF('WSF DASHBOARD'!$B$4="Area",IF(1325&lt;=$D$3,IF(OR('WSF DASHBOARD'!$C$4="",ISNUMBER(SEARCH('WSF DASHBOARD'!$C$4,INDEX(MASTER_AREAS!$B:$B,1326)))),1325,""),""),IF('WSF DASHBOARD'!$B$4="Zone",IF(1325&lt;=$D$4,IF(OR('WSF DASHBOARD'!$C$4="",ISNUMBER(SEARCH('WSF DASHBOARD'!$C$4,INDEX(MASTER_ZONES!$B:$B,1326)))),1325,""),""),""))</f>
        <v/>
      </c>
      <c r="F1326">
        <f>IF('TRANSPORT DASHBOARD'!$B$4="Area",IF(1325&lt;=$I$3,IF(OR('TRANSPORT DASHBOARD'!$C$4="",ISNUMBER(SEARCH('TRANSPORT DASHBOARD'!$C$4,INDEX(MASTER_AREAS!$B:$B,1326)))),1325,""),""),IF('TRANSPORT DASHBOARD'!$B$4="Zone",IF(1325&lt;=$I$4,IF(OR('TRANSPORT DASHBOARD'!$C$4="",ISNUMBER(SEARCH('TRANSPORT DASHBOARD'!$C$4,INDEX(MASTER_ZONES!$B:$B,1326)))),1325,""),""),""))</f>
        <v/>
      </c>
    </row>
    <row r="1327">
      <c r="A1327">
        <f>IF('WSF DASHBOARD'!$B$4="Area",IF(1326&lt;=$D$3,IF(OR('WSF DASHBOARD'!$C$4="",ISNUMBER(SEARCH('WSF DASHBOARD'!$C$4,INDEX(MASTER_AREAS!$B:$B,1327)))),1326,""),""),IF('WSF DASHBOARD'!$B$4="Zone",IF(1326&lt;=$D$4,IF(OR('WSF DASHBOARD'!$C$4="",ISNUMBER(SEARCH('WSF DASHBOARD'!$C$4,INDEX(MASTER_ZONES!$B:$B,1327)))),1326,""),""),""))</f>
        <v/>
      </c>
      <c r="F1327">
        <f>IF('TRANSPORT DASHBOARD'!$B$4="Area",IF(1326&lt;=$I$3,IF(OR('TRANSPORT DASHBOARD'!$C$4="",ISNUMBER(SEARCH('TRANSPORT DASHBOARD'!$C$4,INDEX(MASTER_AREAS!$B:$B,1327)))),1326,""),""),IF('TRANSPORT DASHBOARD'!$B$4="Zone",IF(1326&lt;=$I$4,IF(OR('TRANSPORT DASHBOARD'!$C$4="",ISNUMBER(SEARCH('TRANSPORT DASHBOARD'!$C$4,INDEX(MASTER_ZONES!$B:$B,1327)))),1326,""),""),""))</f>
        <v/>
      </c>
    </row>
    <row r="1328">
      <c r="A1328">
        <f>IF('WSF DASHBOARD'!$B$4="Area",IF(1327&lt;=$D$3,IF(OR('WSF DASHBOARD'!$C$4="",ISNUMBER(SEARCH('WSF DASHBOARD'!$C$4,INDEX(MASTER_AREAS!$B:$B,1328)))),1327,""),""),IF('WSF DASHBOARD'!$B$4="Zone",IF(1327&lt;=$D$4,IF(OR('WSF DASHBOARD'!$C$4="",ISNUMBER(SEARCH('WSF DASHBOARD'!$C$4,INDEX(MASTER_ZONES!$B:$B,1328)))),1327,""),""),""))</f>
        <v/>
      </c>
      <c r="F1328">
        <f>IF('TRANSPORT DASHBOARD'!$B$4="Area",IF(1327&lt;=$I$3,IF(OR('TRANSPORT DASHBOARD'!$C$4="",ISNUMBER(SEARCH('TRANSPORT DASHBOARD'!$C$4,INDEX(MASTER_AREAS!$B:$B,1328)))),1327,""),""),IF('TRANSPORT DASHBOARD'!$B$4="Zone",IF(1327&lt;=$I$4,IF(OR('TRANSPORT DASHBOARD'!$C$4="",ISNUMBER(SEARCH('TRANSPORT DASHBOARD'!$C$4,INDEX(MASTER_ZONES!$B:$B,1328)))),1327,""),""),""))</f>
        <v/>
      </c>
    </row>
    <row r="1329">
      <c r="A1329">
        <f>IF('WSF DASHBOARD'!$B$4="Area",IF(1328&lt;=$D$3,IF(OR('WSF DASHBOARD'!$C$4="",ISNUMBER(SEARCH('WSF DASHBOARD'!$C$4,INDEX(MASTER_AREAS!$B:$B,1329)))),1328,""),""),IF('WSF DASHBOARD'!$B$4="Zone",IF(1328&lt;=$D$4,IF(OR('WSF DASHBOARD'!$C$4="",ISNUMBER(SEARCH('WSF DASHBOARD'!$C$4,INDEX(MASTER_ZONES!$B:$B,1329)))),1328,""),""),""))</f>
        <v/>
      </c>
      <c r="F1329">
        <f>IF('TRANSPORT DASHBOARD'!$B$4="Area",IF(1328&lt;=$I$3,IF(OR('TRANSPORT DASHBOARD'!$C$4="",ISNUMBER(SEARCH('TRANSPORT DASHBOARD'!$C$4,INDEX(MASTER_AREAS!$B:$B,1329)))),1328,""),""),IF('TRANSPORT DASHBOARD'!$B$4="Zone",IF(1328&lt;=$I$4,IF(OR('TRANSPORT DASHBOARD'!$C$4="",ISNUMBER(SEARCH('TRANSPORT DASHBOARD'!$C$4,INDEX(MASTER_ZONES!$B:$B,1329)))),1328,""),""),""))</f>
        <v/>
      </c>
    </row>
    <row r="1330">
      <c r="A1330">
        <f>IF('WSF DASHBOARD'!$B$4="Area",IF(1329&lt;=$D$3,IF(OR('WSF DASHBOARD'!$C$4="",ISNUMBER(SEARCH('WSF DASHBOARD'!$C$4,INDEX(MASTER_AREAS!$B:$B,1330)))),1329,""),""),IF('WSF DASHBOARD'!$B$4="Zone",IF(1329&lt;=$D$4,IF(OR('WSF DASHBOARD'!$C$4="",ISNUMBER(SEARCH('WSF DASHBOARD'!$C$4,INDEX(MASTER_ZONES!$B:$B,1330)))),1329,""),""),""))</f>
        <v/>
      </c>
      <c r="F1330">
        <f>IF('TRANSPORT DASHBOARD'!$B$4="Area",IF(1329&lt;=$I$3,IF(OR('TRANSPORT DASHBOARD'!$C$4="",ISNUMBER(SEARCH('TRANSPORT DASHBOARD'!$C$4,INDEX(MASTER_AREAS!$B:$B,1330)))),1329,""),""),IF('TRANSPORT DASHBOARD'!$B$4="Zone",IF(1329&lt;=$I$4,IF(OR('TRANSPORT DASHBOARD'!$C$4="",ISNUMBER(SEARCH('TRANSPORT DASHBOARD'!$C$4,INDEX(MASTER_ZONES!$B:$B,1330)))),1329,""),""),""))</f>
        <v/>
      </c>
    </row>
    <row r="1331">
      <c r="A1331">
        <f>IF('WSF DASHBOARD'!$B$4="Area",IF(1330&lt;=$D$3,IF(OR('WSF DASHBOARD'!$C$4="",ISNUMBER(SEARCH('WSF DASHBOARD'!$C$4,INDEX(MASTER_AREAS!$B:$B,1331)))),1330,""),""),IF('WSF DASHBOARD'!$B$4="Zone",IF(1330&lt;=$D$4,IF(OR('WSF DASHBOARD'!$C$4="",ISNUMBER(SEARCH('WSF DASHBOARD'!$C$4,INDEX(MASTER_ZONES!$B:$B,1331)))),1330,""),""),""))</f>
        <v/>
      </c>
      <c r="F1331">
        <f>IF('TRANSPORT DASHBOARD'!$B$4="Area",IF(1330&lt;=$I$3,IF(OR('TRANSPORT DASHBOARD'!$C$4="",ISNUMBER(SEARCH('TRANSPORT DASHBOARD'!$C$4,INDEX(MASTER_AREAS!$B:$B,1331)))),1330,""),""),IF('TRANSPORT DASHBOARD'!$B$4="Zone",IF(1330&lt;=$I$4,IF(OR('TRANSPORT DASHBOARD'!$C$4="",ISNUMBER(SEARCH('TRANSPORT DASHBOARD'!$C$4,INDEX(MASTER_ZONES!$B:$B,1331)))),1330,""),""),""))</f>
        <v/>
      </c>
    </row>
    <row r="1332">
      <c r="A1332">
        <f>IF('WSF DASHBOARD'!$B$4="Area",IF(1331&lt;=$D$3,IF(OR('WSF DASHBOARD'!$C$4="",ISNUMBER(SEARCH('WSF DASHBOARD'!$C$4,INDEX(MASTER_AREAS!$B:$B,1332)))),1331,""),""),IF('WSF DASHBOARD'!$B$4="Zone",IF(1331&lt;=$D$4,IF(OR('WSF DASHBOARD'!$C$4="",ISNUMBER(SEARCH('WSF DASHBOARD'!$C$4,INDEX(MASTER_ZONES!$B:$B,1332)))),1331,""),""),""))</f>
        <v/>
      </c>
      <c r="F1332">
        <f>IF('TRANSPORT DASHBOARD'!$B$4="Area",IF(1331&lt;=$I$3,IF(OR('TRANSPORT DASHBOARD'!$C$4="",ISNUMBER(SEARCH('TRANSPORT DASHBOARD'!$C$4,INDEX(MASTER_AREAS!$B:$B,1332)))),1331,""),""),IF('TRANSPORT DASHBOARD'!$B$4="Zone",IF(1331&lt;=$I$4,IF(OR('TRANSPORT DASHBOARD'!$C$4="",ISNUMBER(SEARCH('TRANSPORT DASHBOARD'!$C$4,INDEX(MASTER_ZONES!$B:$B,1332)))),1331,""),""),""))</f>
        <v/>
      </c>
    </row>
    <row r="1333">
      <c r="A1333">
        <f>IF('WSF DASHBOARD'!$B$4="Area",IF(1332&lt;=$D$3,IF(OR('WSF DASHBOARD'!$C$4="",ISNUMBER(SEARCH('WSF DASHBOARD'!$C$4,INDEX(MASTER_AREAS!$B:$B,1333)))),1332,""),""),IF('WSF DASHBOARD'!$B$4="Zone",IF(1332&lt;=$D$4,IF(OR('WSF DASHBOARD'!$C$4="",ISNUMBER(SEARCH('WSF DASHBOARD'!$C$4,INDEX(MASTER_ZONES!$B:$B,1333)))),1332,""),""),""))</f>
        <v/>
      </c>
      <c r="F1333">
        <f>IF('TRANSPORT DASHBOARD'!$B$4="Area",IF(1332&lt;=$I$3,IF(OR('TRANSPORT DASHBOARD'!$C$4="",ISNUMBER(SEARCH('TRANSPORT DASHBOARD'!$C$4,INDEX(MASTER_AREAS!$B:$B,1333)))),1332,""),""),IF('TRANSPORT DASHBOARD'!$B$4="Zone",IF(1332&lt;=$I$4,IF(OR('TRANSPORT DASHBOARD'!$C$4="",ISNUMBER(SEARCH('TRANSPORT DASHBOARD'!$C$4,INDEX(MASTER_ZONES!$B:$B,1333)))),1332,""),""),""))</f>
        <v/>
      </c>
    </row>
    <row r="1334">
      <c r="A1334">
        <f>IF('WSF DASHBOARD'!$B$4="Area",IF(1333&lt;=$D$3,IF(OR('WSF DASHBOARD'!$C$4="",ISNUMBER(SEARCH('WSF DASHBOARD'!$C$4,INDEX(MASTER_AREAS!$B:$B,1334)))),1333,""),""),IF('WSF DASHBOARD'!$B$4="Zone",IF(1333&lt;=$D$4,IF(OR('WSF DASHBOARD'!$C$4="",ISNUMBER(SEARCH('WSF DASHBOARD'!$C$4,INDEX(MASTER_ZONES!$B:$B,1334)))),1333,""),""),""))</f>
        <v/>
      </c>
      <c r="F1334">
        <f>IF('TRANSPORT DASHBOARD'!$B$4="Area",IF(1333&lt;=$I$3,IF(OR('TRANSPORT DASHBOARD'!$C$4="",ISNUMBER(SEARCH('TRANSPORT DASHBOARD'!$C$4,INDEX(MASTER_AREAS!$B:$B,1334)))),1333,""),""),IF('TRANSPORT DASHBOARD'!$B$4="Zone",IF(1333&lt;=$I$4,IF(OR('TRANSPORT DASHBOARD'!$C$4="",ISNUMBER(SEARCH('TRANSPORT DASHBOARD'!$C$4,INDEX(MASTER_ZONES!$B:$B,1334)))),1333,""),""),""))</f>
        <v/>
      </c>
    </row>
    <row r="1335">
      <c r="A1335">
        <f>IF('WSF DASHBOARD'!$B$4="Area",IF(1334&lt;=$D$3,IF(OR('WSF DASHBOARD'!$C$4="",ISNUMBER(SEARCH('WSF DASHBOARD'!$C$4,INDEX(MASTER_AREAS!$B:$B,1335)))),1334,""),""),IF('WSF DASHBOARD'!$B$4="Zone",IF(1334&lt;=$D$4,IF(OR('WSF DASHBOARD'!$C$4="",ISNUMBER(SEARCH('WSF DASHBOARD'!$C$4,INDEX(MASTER_ZONES!$B:$B,1335)))),1334,""),""),""))</f>
        <v/>
      </c>
      <c r="F1335">
        <f>IF('TRANSPORT DASHBOARD'!$B$4="Area",IF(1334&lt;=$I$3,IF(OR('TRANSPORT DASHBOARD'!$C$4="",ISNUMBER(SEARCH('TRANSPORT DASHBOARD'!$C$4,INDEX(MASTER_AREAS!$B:$B,1335)))),1334,""),""),IF('TRANSPORT DASHBOARD'!$B$4="Zone",IF(1334&lt;=$I$4,IF(OR('TRANSPORT DASHBOARD'!$C$4="",ISNUMBER(SEARCH('TRANSPORT DASHBOARD'!$C$4,INDEX(MASTER_ZONES!$B:$B,1335)))),1334,""),""),""))</f>
        <v/>
      </c>
    </row>
    <row r="1336">
      <c r="A1336">
        <f>IF('WSF DASHBOARD'!$B$4="Area",IF(1335&lt;=$D$3,IF(OR('WSF DASHBOARD'!$C$4="",ISNUMBER(SEARCH('WSF DASHBOARD'!$C$4,INDEX(MASTER_AREAS!$B:$B,1336)))),1335,""),""),IF('WSF DASHBOARD'!$B$4="Zone",IF(1335&lt;=$D$4,IF(OR('WSF DASHBOARD'!$C$4="",ISNUMBER(SEARCH('WSF DASHBOARD'!$C$4,INDEX(MASTER_ZONES!$B:$B,1336)))),1335,""),""),""))</f>
        <v/>
      </c>
      <c r="F1336">
        <f>IF('TRANSPORT DASHBOARD'!$B$4="Area",IF(1335&lt;=$I$3,IF(OR('TRANSPORT DASHBOARD'!$C$4="",ISNUMBER(SEARCH('TRANSPORT DASHBOARD'!$C$4,INDEX(MASTER_AREAS!$B:$B,1336)))),1335,""),""),IF('TRANSPORT DASHBOARD'!$B$4="Zone",IF(1335&lt;=$I$4,IF(OR('TRANSPORT DASHBOARD'!$C$4="",ISNUMBER(SEARCH('TRANSPORT DASHBOARD'!$C$4,INDEX(MASTER_ZONES!$B:$B,1336)))),1335,""),""),""))</f>
        <v/>
      </c>
    </row>
    <row r="1337">
      <c r="A1337">
        <f>IF('WSF DASHBOARD'!$B$4="Area",IF(1336&lt;=$D$3,IF(OR('WSF DASHBOARD'!$C$4="",ISNUMBER(SEARCH('WSF DASHBOARD'!$C$4,INDEX(MASTER_AREAS!$B:$B,1337)))),1336,""),""),IF('WSF DASHBOARD'!$B$4="Zone",IF(1336&lt;=$D$4,IF(OR('WSF DASHBOARD'!$C$4="",ISNUMBER(SEARCH('WSF DASHBOARD'!$C$4,INDEX(MASTER_ZONES!$B:$B,1337)))),1336,""),""),""))</f>
        <v/>
      </c>
      <c r="F1337">
        <f>IF('TRANSPORT DASHBOARD'!$B$4="Area",IF(1336&lt;=$I$3,IF(OR('TRANSPORT DASHBOARD'!$C$4="",ISNUMBER(SEARCH('TRANSPORT DASHBOARD'!$C$4,INDEX(MASTER_AREAS!$B:$B,1337)))),1336,""),""),IF('TRANSPORT DASHBOARD'!$B$4="Zone",IF(1336&lt;=$I$4,IF(OR('TRANSPORT DASHBOARD'!$C$4="",ISNUMBER(SEARCH('TRANSPORT DASHBOARD'!$C$4,INDEX(MASTER_ZONES!$B:$B,1337)))),1336,""),""),""))</f>
        <v/>
      </c>
    </row>
    <row r="1338">
      <c r="A1338">
        <f>IF('WSF DASHBOARD'!$B$4="Area",IF(1337&lt;=$D$3,IF(OR('WSF DASHBOARD'!$C$4="",ISNUMBER(SEARCH('WSF DASHBOARD'!$C$4,INDEX(MASTER_AREAS!$B:$B,1338)))),1337,""),""),IF('WSF DASHBOARD'!$B$4="Zone",IF(1337&lt;=$D$4,IF(OR('WSF DASHBOARD'!$C$4="",ISNUMBER(SEARCH('WSF DASHBOARD'!$C$4,INDEX(MASTER_ZONES!$B:$B,1338)))),1337,""),""),""))</f>
        <v/>
      </c>
      <c r="F1338">
        <f>IF('TRANSPORT DASHBOARD'!$B$4="Area",IF(1337&lt;=$I$3,IF(OR('TRANSPORT DASHBOARD'!$C$4="",ISNUMBER(SEARCH('TRANSPORT DASHBOARD'!$C$4,INDEX(MASTER_AREAS!$B:$B,1338)))),1337,""),""),IF('TRANSPORT DASHBOARD'!$B$4="Zone",IF(1337&lt;=$I$4,IF(OR('TRANSPORT DASHBOARD'!$C$4="",ISNUMBER(SEARCH('TRANSPORT DASHBOARD'!$C$4,INDEX(MASTER_ZONES!$B:$B,1338)))),1337,""),""),""))</f>
        <v/>
      </c>
    </row>
    <row r="1339">
      <c r="A1339">
        <f>IF('WSF DASHBOARD'!$B$4="Area",IF(1338&lt;=$D$3,IF(OR('WSF DASHBOARD'!$C$4="",ISNUMBER(SEARCH('WSF DASHBOARD'!$C$4,INDEX(MASTER_AREAS!$B:$B,1339)))),1338,""),""),IF('WSF DASHBOARD'!$B$4="Zone",IF(1338&lt;=$D$4,IF(OR('WSF DASHBOARD'!$C$4="",ISNUMBER(SEARCH('WSF DASHBOARD'!$C$4,INDEX(MASTER_ZONES!$B:$B,1339)))),1338,""),""),""))</f>
        <v/>
      </c>
      <c r="F1339">
        <f>IF('TRANSPORT DASHBOARD'!$B$4="Area",IF(1338&lt;=$I$3,IF(OR('TRANSPORT DASHBOARD'!$C$4="",ISNUMBER(SEARCH('TRANSPORT DASHBOARD'!$C$4,INDEX(MASTER_AREAS!$B:$B,1339)))),1338,""),""),IF('TRANSPORT DASHBOARD'!$B$4="Zone",IF(1338&lt;=$I$4,IF(OR('TRANSPORT DASHBOARD'!$C$4="",ISNUMBER(SEARCH('TRANSPORT DASHBOARD'!$C$4,INDEX(MASTER_ZONES!$B:$B,1339)))),1338,""),""),""))</f>
        <v/>
      </c>
    </row>
    <row r="1340">
      <c r="A1340">
        <f>IF('WSF DASHBOARD'!$B$4="Area",IF(1339&lt;=$D$3,IF(OR('WSF DASHBOARD'!$C$4="",ISNUMBER(SEARCH('WSF DASHBOARD'!$C$4,INDEX(MASTER_AREAS!$B:$B,1340)))),1339,""),""),IF('WSF DASHBOARD'!$B$4="Zone",IF(1339&lt;=$D$4,IF(OR('WSF DASHBOARD'!$C$4="",ISNUMBER(SEARCH('WSF DASHBOARD'!$C$4,INDEX(MASTER_ZONES!$B:$B,1340)))),1339,""),""),""))</f>
        <v/>
      </c>
      <c r="F1340">
        <f>IF('TRANSPORT DASHBOARD'!$B$4="Area",IF(1339&lt;=$I$3,IF(OR('TRANSPORT DASHBOARD'!$C$4="",ISNUMBER(SEARCH('TRANSPORT DASHBOARD'!$C$4,INDEX(MASTER_AREAS!$B:$B,1340)))),1339,""),""),IF('TRANSPORT DASHBOARD'!$B$4="Zone",IF(1339&lt;=$I$4,IF(OR('TRANSPORT DASHBOARD'!$C$4="",ISNUMBER(SEARCH('TRANSPORT DASHBOARD'!$C$4,INDEX(MASTER_ZONES!$B:$B,1340)))),1339,""),""),""))</f>
        <v/>
      </c>
    </row>
    <row r="1341">
      <c r="A1341">
        <f>IF('WSF DASHBOARD'!$B$4="Area",IF(1340&lt;=$D$3,IF(OR('WSF DASHBOARD'!$C$4="",ISNUMBER(SEARCH('WSF DASHBOARD'!$C$4,INDEX(MASTER_AREAS!$B:$B,1341)))),1340,""),""),IF('WSF DASHBOARD'!$B$4="Zone",IF(1340&lt;=$D$4,IF(OR('WSF DASHBOARD'!$C$4="",ISNUMBER(SEARCH('WSF DASHBOARD'!$C$4,INDEX(MASTER_ZONES!$B:$B,1341)))),1340,""),""),""))</f>
        <v/>
      </c>
      <c r="F1341">
        <f>IF('TRANSPORT DASHBOARD'!$B$4="Area",IF(1340&lt;=$I$3,IF(OR('TRANSPORT DASHBOARD'!$C$4="",ISNUMBER(SEARCH('TRANSPORT DASHBOARD'!$C$4,INDEX(MASTER_AREAS!$B:$B,1341)))),1340,""),""),IF('TRANSPORT DASHBOARD'!$B$4="Zone",IF(1340&lt;=$I$4,IF(OR('TRANSPORT DASHBOARD'!$C$4="",ISNUMBER(SEARCH('TRANSPORT DASHBOARD'!$C$4,INDEX(MASTER_ZONES!$B:$B,1341)))),1340,""),""),""))</f>
        <v/>
      </c>
    </row>
    <row r="1342">
      <c r="A1342">
        <f>IF('WSF DASHBOARD'!$B$4="Area",IF(1341&lt;=$D$3,IF(OR('WSF DASHBOARD'!$C$4="",ISNUMBER(SEARCH('WSF DASHBOARD'!$C$4,INDEX(MASTER_AREAS!$B:$B,1342)))),1341,""),""),IF('WSF DASHBOARD'!$B$4="Zone",IF(1341&lt;=$D$4,IF(OR('WSF DASHBOARD'!$C$4="",ISNUMBER(SEARCH('WSF DASHBOARD'!$C$4,INDEX(MASTER_ZONES!$B:$B,1342)))),1341,""),""),""))</f>
        <v/>
      </c>
      <c r="F1342">
        <f>IF('TRANSPORT DASHBOARD'!$B$4="Area",IF(1341&lt;=$I$3,IF(OR('TRANSPORT DASHBOARD'!$C$4="",ISNUMBER(SEARCH('TRANSPORT DASHBOARD'!$C$4,INDEX(MASTER_AREAS!$B:$B,1342)))),1341,""),""),IF('TRANSPORT DASHBOARD'!$B$4="Zone",IF(1341&lt;=$I$4,IF(OR('TRANSPORT DASHBOARD'!$C$4="",ISNUMBER(SEARCH('TRANSPORT DASHBOARD'!$C$4,INDEX(MASTER_ZONES!$B:$B,1342)))),1341,""),""),""))</f>
        <v/>
      </c>
    </row>
    <row r="1343">
      <c r="A1343">
        <f>IF('WSF DASHBOARD'!$B$4="Area",IF(1342&lt;=$D$3,IF(OR('WSF DASHBOARD'!$C$4="",ISNUMBER(SEARCH('WSF DASHBOARD'!$C$4,INDEX(MASTER_AREAS!$B:$B,1343)))),1342,""),""),IF('WSF DASHBOARD'!$B$4="Zone",IF(1342&lt;=$D$4,IF(OR('WSF DASHBOARD'!$C$4="",ISNUMBER(SEARCH('WSF DASHBOARD'!$C$4,INDEX(MASTER_ZONES!$B:$B,1343)))),1342,""),""),""))</f>
        <v/>
      </c>
      <c r="F1343">
        <f>IF('TRANSPORT DASHBOARD'!$B$4="Area",IF(1342&lt;=$I$3,IF(OR('TRANSPORT DASHBOARD'!$C$4="",ISNUMBER(SEARCH('TRANSPORT DASHBOARD'!$C$4,INDEX(MASTER_AREAS!$B:$B,1343)))),1342,""),""),IF('TRANSPORT DASHBOARD'!$B$4="Zone",IF(1342&lt;=$I$4,IF(OR('TRANSPORT DASHBOARD'!$C$4="",ISNUMBER(SEARCH('TRANSPORT DASHBOARD'!$C$4,INDEX(MASTER_ZONES!$B:$B,1343)))),1342,""),""),""))</f>
        <v/>
      </c>
    </row>
    <row r="1344">
      <c r="A1344">
        <f>IF('WSF DASHBOARD'!$B$4="Area",IF(1343&lt;=$D$3,IF(OR('WSF DASHBOARD'!$C$4="",ISNUMBER(SEARCH('WSF DASHBOARD'!$C$4,INDEX(MASTER_AREAS!$B:$B,1344)))),1343,""),""),IF('WSF DASHBOARD'!$B$4="Zone",IF(1343&lt;=$D$4,IF(OR('WSF DASHBOARD'!$C$4="",ISNUMBER(SEARCH('WSF DASHBOARD'!$C$4,INDEX(MASTER_ZONES!$B:$B,1344)))),1343,""),""),""))</f>
        <v/>
      </c>
      <c r="F1344">
        <f>IF('TRANSPORT DASHBOARD'!$B$4="Area",IF(1343&lt;=$I$3,IF(OR('TRANSPORT DASHBOARD'!$C$4="",ISNUMBER(SEARCH('TRANSPORT DASHBOARD'!$C$4,INDEX(MASTER_AREAS!$B:$B,1344)))),1343,""),""),IF('TRANSPORT DASHBOARD'!$B$4="Zone",IF(1343&lt;=$I$4,IF(OR('TRANSPORT DASHBOARD'!$C$4="",ISNUMBER(SEARCH('TRANSPORT DASHBOARD'!$C$4,INDEX(MASTER_ZONES!$B:$B,1344)))),1343,""),""),""))</f>
        <v/>
      </c>
    </row>
    <row r="1345">
      <c r="A1345">
        <f>IF('WSF DASHBOARD'!$B$4="Area",IF(1344&lt;=$D$3,IF(OR('WSF DASHBOARD'!$C$4="",ISNUMBER(SEARCH('WSF DASHBOARD'!$C$4,INDEX(MASTER_AREAS!$B:$B,1345)))),1344,""),""),IF('WSF DASHBOARD'!$B$4="Zone",IF(1344&lt;=$D$4,IF(OR('WSF DASHBOARD'!$C$4="",ISNUMBER(SEARCH('WSF DASHBOARD'!$C$4,INDEX(MASTER_ZONES!$B:$B,1345)))),1344,""),""),""))</f>
        <v/>
      </c>
      <c r="F1345">
        <f>IF('TRANSPORT DASHBOARD'!$B$4="Area",IF(1344&lt;=$I$3,IF(OR('TRANSPORT DASHBOARD'!$C$4="",ISNUMBER(SEARCH('TRANSPORT DASHBOARD'!$C$4,INDEX(MASTER_AREAS!$B:$B,1345)))),1344,""),""),IF('TRANSPORT DASHBOARD'!$B$4="Zone",IF(1344&lt;=$I$4,IF(OR('TRANSPORT DASHBOARD'!$C$4="",ISNUMBER(SEARCH('TRANSPORT DASHBOARD'!$C$4,INDEX(MASTER_ZONES!$B:$B,1345)))),1344,""),""),""))</f>
        <v/>
      </c>
    </row>
    <row r="1346">
      <c r="A1346">
        <f>IF('WSF DASHBOARD'!$B$4="Area",IF(1345&lt;=$D$3,IF(OR('WSF DASHBOARD'!$C$4="",ISNUMBER(SEARCH('WSF DASHBOARD'!$C$4,INDEX(MASTER_AREAS!$B:$B,1346)))),1345,""),""),IF('WSF DASHBOARD'!$B$4="Zone",IF(1345&lt;=$D$4,IF(OR('WSF DASHBOARD'!$C$4="",ISNUMBER(SEARCH('WSF DASHBOARD'!$C$4,INDEX(MASTER_ZONES!$B:$B,1346)))),1345,""),""),""))</f>
        <v/>
      </c>
      <c r="F1346">
        <f>IF('TRANSPORT DASHBOARD'!$B$4="Area",IF(1345&lt;=$I$3,IF(OR('TRANSPORT DASHBOARD'!$C$4="",ISNUMBER(SEARCH('TRANSPORT DASHBOARD'!$C$4,INDEX(MASTER_AREAS!$B:$B,1346)))),1345,""),""),IF('TRANSPORT DASHBOARD'!$B$4="Zone",IF(1345&lt;=$I$4,IF(OR('TRANSPORT DASHBOARD'!$C$4="",ISNUMBER(SEARCH('TRANSPORT DASHBOARD'!$C$4,INDEX(MASTER_ZONES!$B:$B,1346)))),1345,""),""),""))</f>
        <v/>
      </c>
    </row>
    <row r="1347">
      <c r="A1347">
        <f>IF('WSF DASHBOARD'!$B$4="Area",IF(1346&lt;=$D$3,IF(OR('WSF DASHBOARD'!$C$4="",ISNUMBER(SEARCH('WSF DASHBOARD'!$C$4,INDEX(MASTER_AREAS!$B:$B,1347)))),1346,""),""),IF('WSF DASHBOARD'!$B$4="Zone",IF(1346&lt;=$D$4,IF(OR('WSF DASHBOARD'!$C$4="",ISNUMBER(SEARCH('WSF DASHBOARD'!$C$4,INDEX(MASTER_ZONES!$B:$B,1347)))),1346,""),""),""))</f>
        <v/>
      </c>
      <c r="F1347">
        <f>IF('TRANSPORT DASHBOARD'!$B$4="Area",IF(1346&lt;=$I$3,IF(OR('TRANSPORT DASHBOARD'!$C$4="",ISNUMBER(SEARCH('TRANSPORT DASHBOARD'!$C$4,INDEX(MASTER_AREAS!$B:$B,1347)))),1346,""),""),IF('TRANSPORT DASHBOARD'!$B$4="Zone",IF(1346&lt;=$I$4,IF(OR('TRANSPORT DASHBOARD'!$C$4="",ISNUMBER(SEARCH('TRANSPORT DASHBOARD'!$C$4,INDEX(MASTER_ZONES!$B:$B,1347)))),1346,""),""),""))</f>
        <v/>
      </c>
    </row>
    <row r="1348">
      <c r="A1348">
        <f>IF('WSF DASHBOARD'!$B$4="Area",IF(1347&lt;=$D$3,IF(OR('WSF DASHBOARD'!$C$4="",ISNUMBER(SEARCH('WSF DASHBOARD'!$C$4,INDEX(MASTER_AREAS!$B:$B,1348)))),1347,""),""),IF('WSF DASHBOARD'!$B$4="Zone",IF(1347&lt;=$D$4,IF(OR('WSF DASHBOARD'!$C$4="",ISNUMBER(SEARCH('WSF DASHBOARD'!$C$4,INDEX(MASTER_ZONES!$B:$B,1348)))),1347,""),""),""))</f>
        <v/>
      </c>
      <c r="F1348">
        <f>IF('TRANSPORT DASHBOARD'!$B$4="Area",IF(1347&lt;=$I$3,IF(OR('TRANSPORT DASHBOARD'!$C$4="",ISNUMBER(SEARCH('TRANSPORT DASHBOARD'!$C$4,INDEX(MASTER_AREAS!$B:$B,1348)))),1347,""),""),IF('TRANSPORT DASHBOARD'!$B$4="Zone",IF(1347&lt;=$I$4,IF(OR('TRANSPORT DASHBOARD'!$C$4="",ISNUMBER(SEARCH('TRANSPORT DASHBOARD'!$C$4,INDEX(MASTER_ZONES!$B:$B,1348)))),1347,""),""),""))</f>
        <v/>
      </c>
    </row>
    <row r="1349">
      <c r="A1349">
        <f>IF('WSF DASHBOARD'!$B$4="Area",IF(1348&lt;=$D$3,IF(OR('WSF DASHBOARD'!$C$4="",ISNUMBER(SEARCH('WSF DASHBOARD'!$C$4,INDEX(MASTER_AREAS!$B:$B,1349)))),1348,""),""),IF('WSF DASHBOARD'!$B$4="Zone",IF(1348&lt;=$D$4,IF(OR('WSF DASHBOARD'!$C$4="",ISNUMBER(SEARCH('WSF DASHBOARD'!$C$4,INDEX(MASTER_ZONES!$B:$B,1349)))),1348,""),""),""))</f>
        <v/>
      </c>
      <c r="F1349">
        <f>IF('TRANSPORT DASHBOARD'!$B$4="Area",IF(1348&lt;=$I$3,IF(OR('TRANSPORT DASHBOARD'!$C$4="",ISNUMBER(SEARCH('TRANSPORT DASHBOARD'!$C$4,INDEX(MASTER_AREAS!$B:$B,1349)))),1348,""),""),IF('TRANSPORT DASHBOARD'!$B$4="Zone",IF(1348&lt;=$I$4,IF(OR('TRANSPORT DASHBOARD'!$C$4="",ISNUMBER(SEARCH('TRANSPORT DASHBOARD'!$C$4,INDEX(MASTER_ZONES!$B:$B,1349)))),1348,""),""),""))</f>
        <v/>
      </c>
    </row>
    <row r="1350">
      <c r="A1350">
        <f>IF('WSF DASHBOARD'!$B$4="Area",IF(1349&lt;=$D$3,IF(OR('WSF DASHBOARD'!$C$4="",ISNUMBER(SEARCH('WSF DASHBOARD'!$C$4,INDEX(MASTER_AREAS!$B:$B,1350)))),1349,""),""),IF('WSF DASHBOARD'!$B$4="Zone",IF(1349&lt;=$D$4,IF(OR('WSF DASHBOARD'!$C$4="",ISNUMBER(SEARCH('WSF DASHBOARD'!$C$4,INDEX(MASTER_ZONES!$B:$B,1350)))),1349,""),""),""))</f>
        <v/>
      </c>
      <c r="F1350">
        <f>IF('TRANSPORT DASHBOARD'!$B$4="Area",IF(1349&lt;=$I$3,IF(OR('TRANSPORT DASHBOARD'!$C$4="",ISNUMBER(SEARCH('TRANSPORT DASHBOARD'!$C$4,INDEX(MASTER_AREAS!$B:$B,1350)))),1349,""),""),IF('TRANSPORT DASHBOARD'!$B$4="Zone",IF(1349&lt;=$I$4,IF(OR('TRANSPORT DASHBOARD'!$C$4="",ISNUMBER(SEARCH('TRANSPORT DASHBOARD'!$C$4,INDEX(MASTER_ZONES!$B:$B,1350)))),1349,""),""),""))</f>
        <v/>
      </c>
    </row>
    <row r="1351">
      <c r="A1351">
        <f>IF('WSF DASHBOARD'!$B$4="Area",IF(1350&lt;=$D$3,IF(OR('WSF DASHBOARD'!$C$4="",ISNUMBER(SEARCH('WSF DASHBOARD'!$C$4,INDEX(MASTER_AREAS!$B:$B,1351)))),1350,""),""),IF('WSF DASHBOARD'!$B$4="Zone",IF(1350&lt;=$D$4,IF(OR('WSF DASHBOARD'!$C$4="",ISNUMBER(SEARCH('WSF DASHBOARD'!$C$4,INDEX(MASTER_ZONES!$B:$B,1351)))),1350,""),""),""))</f>
        <v/>
      </c>
      <c r="F1351">
        <f>IF('TRANSPORT DASHBOARD'!$B$4="Area",IF(1350&lt;=$I$3,IF(OR('TRANSPORT DASHBOARD'!$C$4="",ISNUMBER(SEARCH('TRANSPORT DASHBOARD'!$C$4,INDEX(MASTER_AREAS!$B:$B,1351)))),1350,""),""),IF('TRANSPORT DASHBOARD'!$B$4="Zone",IF(1350&lt;=$I$4,IF(OR('TRANSPORT DASHBOARD'!$C$4="",ISNUMBER(SEARCH('TRANSPORT DASHBOARD'!$C$4,INDEX(MASTER_ZONES!$B:$B,1351)))),1350,""),""),""))</f>
        <v/>
      </c>
    </row>
    <row r="1352">
      <c r="A1352">
        <f>IF('WSF DASHBOARD'!$B$4="Area",IF(1351&lt;=$D$3,IF(OR('WSF DASHBOARD'!$C$4="",ISNUMBER(SEARCH('WSF DASHBOARD'!$C$4,INDEX(MASTER_AREAS!$B:$B,1352)))),1351,""),""),IF('WSF DASHBOARD'!$B$4="Zone",IF(1351&lt;=$D$4,IF(OR('WSF DASHBOARD'!$C$4="",ISNUMBER(SEARCH('WSF DASHBOARD'!$C$4,INDEX(MASTER_ZONES!$B:$B,1352)))),1351,""),""),""))</f>
        <v/>
      </c>
      <c r="F1352">
        <f>IF('TRANSPORT DASHBOARD'!$B$4="Area",IF(1351&lt;=$I$3,IF(OR('TRANSPORT DASHBOARD'!$C$4="",ISNUMBER(SEARCH('TRANSPORT DASHBOARD'!$C$4,INDEX(MASTER_AREAS!$B:$B,1352)))),1351,""),""),IF('TRANSPORT DASHBOARD'!$B$4="Zone",IF(1351&lt;=$I$4,IF(OR('TRANSPORT DASHBOARD'!$C$4="",ISNUMBER(SEARCH('TRANSPORT DASHBOARD'!$C$4,INDEX(MASTER_ZONES!$B:$B,1352)))),1351,""),""),""))</f>
        <v/>
      </c>
    </row>
    <row r="1353">
      <c r="A1353">
        <f>IF('WSF DASHBOARD'!$B$4="Area",IF(1352&lt;=$D$3,IF(OR('WSF DASHBOARD'!$C$4="",ISNUMBER(SEARCH('WSF DASHBOARD'!$C$4,INDEX(MASTER_AREAS!$B:$B,1353)))),1352,""),""),IF('WSF DASHBOARD'!$B$4="Zone",IF(1352&lt;=$D$4,IF(OR('WSF DASHBOARD'!$C$4="",ISNUMBER(SEARCH('WSF DASHBOARD'!$C$4,INDEX(MASTER_ZONES!$B:$B,1353)))),1352,""),""),""))</f>
        <v/>
      </c>
      <c r="F1353">
        <f>IF('TRANSPORT DASHBOARD'!$B$4="Area",IF(1352&lt;=$I$3,IF(OR('TRANSPORT DASHBOARD'!$C$4="",ISNUMBER(SEARCH('TRANSPORT DASHBOARD'!$C$4,INDEX(MASTER_AREAS!$B:$B,1353)))),1352,""),""),IF('TRANSPORT DASHBOARD'!$B$4="Zone",IF(1352&lt;=$I$4,IF(OR('TRANSPORT DASHBOARD'!$C$4="",ISNUMBER(SEARCH('TRANSPORT DASHBOARD'!$C$4,INDEX(MASTER_ZONES!$B:$B,1353)))),1352,""),""),""))</f>
        <v/>
      </c>
    </row>
    <row r="1354">
      <c r="A1354">
        <f>IF('WSF DASHBOARD'!$B$4="Area",IF(1353&lt;=$D$3,IF(OR('WSF DASHBOARD'!$C$4="",ISNUMBER(SEARCH('WSF DASHBOARD'!$C$4,INDEX(MASTER_AREAS!$B:$B,1354)))),1353,""),""),IF('WSF DASHBOARD'!$B$4="Zone",IF(1353&lt;=$D$4,IF(OR('WSF DASHBOARD'!$C$4="",ISNUMBER(SEARCH('WSF DASHBOARD'!$C$4,INDEX(MASTER_ZONES!$B:$B,1354)))),1353,""),""),""))</f>
        <v/>
      </c>
      <c r="F1354">
        <f>IF('TRANSPORT DASHBOARD'!$B$4="Area",IF(1353&lt;=$I$3,IF(OR('TRANSPORT DASHBOARD'!$C$4="",ISNUMBER(SEARCH('TRANSPORT DASHBOARD'!$C$4,INDEX(MASTER_AREAS!$B:$B,1354)))),1353,""),""),IF('TRANSPORT DASHBOARD'!$B$4="Zone",IF(1353&lt;=$I$4,IF(OR('TRANSPORT DASHBOARD'!$C$4="",ISNUMBER(SEARCH('TRANSPORT DASHBOARD'!$C$4,INDEX(MASTER_ZONES!$B:$B,1354)))),1353,""),""),""))</f>
        <v/>
      </c>
    </row>
    <row r="1355">
      <c r="A1355">
        <f>IF('WSF DASHBOARD'!$B$4="Area",IF(1354&lt;=$D$3,IF(OR('WSF DASHBOARD'!$C$4="",ISNUMBER(SEARCH('WSF DASHBOARD'!$C$4,INDEX(MASTER_AREAS!$B:$B,1355)))),1354,""),""),IF('WSF DASHBOARD'!$B$4="Zone",IF(1354&lt;=$D$4,IF(OR('WSF DASHBOARD'!$C$4="",ISNUMBER(SEARCH('WSF DASHBOARD'!$C$4,INDEX(MASTER_ZONES!$B:$B,1355)))),1354,""),""),""))</f>
        <v/>
      </c>
      <c r="F1355">
        <f>IF('TRANSPORT DASHBOARD'!$B$4="Area",IF(1354&lt;=$I$3,IF(OR('TRANSPORT DASHBOARD'!$C$4="",ISNUMBER(SEARCH('TRANSPORT DASHBOARD'!$C$4,INDEX(MASTER_AREAS!$B:$B,1355)))),1354,""),""),IF('TRANSPORT DASHBOARD'!$B$4="Zone",IF(1354&lt;=$I$4,IF(OR('TRANSPORT DASHBOARD'!$C$4="",ISNUMBER(SEARCH('TRANSPORT DASHBOARD'!$C$4,INDEX(MASTER_ZONES!$B:$B,1355)))),1354,""),""),""))</f>
        <v/>
      </c>
    </row>
    <row r="1356">
      <c r="A1356">
        <f>IF('WSF DASHBOARD'!$B$4="Area",IF(1355&lt;=$D$3,IF(OR('WSF DASHBOARD'!$C$4="",ISNUMBER(SEARCH('WSF DASHBOARD'!$C$4,INDEX(MASTER_AREAS!$B:$B,1356)))),1355,""),""),IF('WSF DASHBOARD'!$B$4="Zone",IF(1355&lt;=$D$4,IF(OR('WSF DASHBOARD'!$C$4="",ISNUMBER(SEARCH('WSF DASHBOARD'!$C$4,INDEX(MASTER_ZONES!$B:$B,1356)))),1355,""),""),""))</f>
        <v/>
      </c>
      <c r="F1356">
        <f>IF('TRANSPORT DASHBOARD'!$B$4="Area",IF(1355&lt;=$I$3,IF(OR('TRANSPORT DASHBOARD'!$C$4="",ISNUMBER(SEARCH('TRANSPORT DASHBOARD'!$C$4,INDEX(MASTER_AREAS!$B:$B,1356)))),1355,""),""),IF('TRANSPORT DASHBOARD'!$B$4="Zone",IF(1355&lt;=$I$4,IF(OR('TRANSPORT DASHBOARD'!$C$4="",ISNUMBER(SEARCH('TRANSPORT DASHBOARD'!$C$4,INDEX(MASTER_ZONES!$B:$B,1356)))),1355,""),""),""))</f>
        <v/>
      </c>
    </row>
    <row r="1357">
      <c r="A1357">
        <f>IF('WSF DASHBOARD'!$B$4="Area",IF(1356&lt;=$D$3,IF(OR('WSF DASHBOARD'!$C$4="",ISNUMBER(SEARCH('WSF DASHBOARD'!$C$4,INDEX(MASTER_AREAS!$B:$B,1357)))),1356,""),""),IF('WSF DASHBOARD'!$B$4="Zone",IF(1356&lt;=$D$4,IF(OR('WSF DASHBOARD'!$C$4="",ISNUMBER(SEARCH('WSF DASHBOARD'!$C$4,INDEX(MASTER_ZONES!$B:$B,1357)))),1356,""),""),""))</f>
        <v/>
      </c>
      <c r="F1357">
        <f>IF('TRANSPORT DASHBOARD'!$B$4="Area",IF(1356&lt;=$I$3,IF(OR('TRANSPORT DASHBOARD'!$C$4="",ISNUMBER(SEARCH('TRANSPORT DASHBOARD'!$C$4,INDEX(MASTER_AREAS!$B:$B,1357)))),1356,""),""),IF('TRANSPORT DASHBOARD'!$B$4="Zone",IF(1356&lt;=$I$4,IF(OR('TRANSPORT DASHBOARD'!$C$4="",ISNUMBER(SEARCH('TRANSPORT DASHBOARD'!$C$4,INDEX(MASTER_ZONES!$B:$B,1357)))),1356,""),""),""))</f>
        <v/>
      </c>
    </row>
    <row r="1358">
      <c r="A1358">
        <f>IF('WSF DASHBOARD'!$B$4="Area",IF(1357&lt;=$D$3,IF(OR('WSF DASHBOARD'!$C$4="",ISNUMBER(SEARCH('WSF DASHBOARD'!$C$4,INDEX(MASTER_AREAS!$B:$B,1358)))),1357,""),""),IF('WSF DASHBOARD'!$B$4="Zone",IF(1357&lt;=$D$4,IF(OR('WSF DASHBOARD'!$C$4="",ISNUMBER(SEARCH('WSF DASHBOARD'!$C$4,INDEX(MASTER_ZONES!$B:$B,1358)))),1357,""),""),""))</f>
        <v/>
      </c>
      <c r="F1358">
        <f>IF('TRANSPORT DASHBOARD'!$B$4="Area",IF(1357&lt;=$I$3,IF(OR('TRANSPORT DASHBOARD'!$C$4="",ISNUMBER(SEARCH('TRANSPORT DASHBOARD'!$C$4,INDEX(MASTER_AREAS!$B:$B,1358)))),1357,""),""),IF('TRANSPORT DASHBOARD'!$B$4="Zone",IF(1357&lt;=$I$4,IF(OR('TRANSPORT DASHBOARD'!$C$4="",ISNUMBER(SEARCH('TRANSPORT DASHBOARD'!$C$4,INDEX(MASTER_ZONES!$B:$B,1358)))),1357,""),""),""))</f>
        <v/>
      </c>
    </row>
    <row r="1359">
      <c r="A1359">
        <f>IF('WSF DASHBOARD'!$B$4="Area",IF(1358&lt;=$D$3,IF(OR('WSF DASHBOARD'!$C$4="",ISNUMBER(SEARCH('WSF DASHBOARD'!$C$4,INDEX(MASTER_AREAS!$B:$B,1359)))),1358,""),""),IF('WSF DASHBOARD'!$B$4="Zone",IF(1358&lt;=$D$4,IF(OR('WSF DASHBOARD'!$C$4="",ISNUMBER(SEARCH('WSF DASHBOARD'!$C$4,INDEX(MASTER_ZONES!$B:$B,1359)))),1358,""),""),""))</f>
        <v/>
      </c>
      <c r="F1359">
        <f>IF('TRANSPORT DASHBOARD'!$B$4="Area",IF(1358&lt;=$I$3,IF(OR('TRANSPORT DASHBOARD'!$C$4="",ISNUMBER(SEARCH('TRANSPORT DASHBOARD'!$C$4,INDEX(MASTER_AREAS!$B:$B,1359)))),1358,""),""),IF('TRANSPORT DASHBOARD'!$B$4="Zone",IF(1358&lt;=$I$4,IF(OR('TRANSPORT DASHBOARD'!$C$4="",ISNUMBER(SEARCH('TRANSPORT DASHBOARD'!$C$4,INDEX(MASTER_ZONES!$B:$B,1359)))),1358,""),""),""))</f>
        <v/>
      </c>
    </row>
    <row r="1360">
      <c r="A1360">
        <f>IF('WSF DASHBOARD'!$B$4="Area",IF(1359&lt;=$D$3,IF(OR('WSF DASHBOARD'!$C$4="",ISNUMBER(SEARCH('WSF DASHBOARD'!$C$4,INDEX(MASTER_AREAS!$B:$B,1360)))),1359,""),""),IF('WSF DASHBOARD'!$B$4="Zone",IF(1359&lt;=$D$4,IF(OR('WSF DASHBOARD'!$C$4="",ISNUMBER(SEARCH('WSF DASHBOARD'!$C$4,INDEX(MASTER_ZONES!$B:$B,1360)))),1359,""),""),""))</f>
        <v/>
      </c>
      <c r="F1360">
        <f>IF('TRANSPORT DASHBOARD'!$B$4="Area",IF(1359&lt;=$I$3,IF(OR('TRANSPORT DASHBOARD'!$C$4="",ISNUMBER(SEARCH('TRANSPORT DASHBOARD'!$C$4,INDEX(MASTER_AREAS!$B:$B,1360)))),1359,""),""),IF('TRANSPORT DASHBOARD'!$B$4="Zone",IF(1359&lt;=$I$4,IF(OR('TRANSPORT DASHBOARD'!$C$4="",ISNUMBER(SEARCH('TRANSPORT DASHBOARD'!$C$4,INDEX(MASTER_ZONES!$B:$B,1360)))),1359,""),""),""))</f>
        <v/>
      </c>
    </row>
    <row r="1361">
      <c r="A1361">
        <f>IF('WSF DASHBOARD'!$B$4="Area",IF(1360&lt;=$D$3,IF(OR('WSF DASHBOARD'!$C$4="",ISNUMBER(SEARCH('WSF DASHBOARD'!$C$4,INDEX(MASTER_AREAS!$B:$B,1361)))),1360,""),""),IF('WSF DASHBOARD'!$B$4="Zone",IF(1360&lt;=$D$4,IF(OR('WSF DASHBOARD'!$C$4="",ISNUMBER(SEARCH('WSF DASHBOARD'!$C$4,INDEX(MASTER_ZONES!$B:$B,1361)))),1360,""),""),""))</f>
        <v/>
      </c>
      <c r="F1361">
        <f>IF('TRANSPORT DASHBOARD'!$B$4="Area",IF(1360&lt;=$I$3,IF(OR('TRANSPORT DASHBOARD'!$C$4="",ISNUMBER(SEARCH('TRANSPORT DASHBOARD'!$C$4,INDEX(MASTER_AREAS!$B:$B,1361)))),1360,""),""),IF('TRANSPORT DASHBOARD'!$B$4="Zone",IF(1360&lt;=$I$4,IF(OR('TRANSPORT DASHBOARD'!$C$4="",ISNUMBER(SEARCH('TRANSPORT DASHBOARD'!$C$4,INDEX(MASTER_ZONES!$B:$B,1361)))),1360,""),""),""))</f>
        <v/>
      </c>
    </row>
    <row r="1362">
      <c r="A1362">
        <f>IF('WSF DASHBOARD'!$B$4="Area",IF(1361&lt;=$D$3,IF(OR('WSF DASHBOARD'!$C$4="",ISNUMBER(SEARCH('WSF DASHBOARD'!$C$4,INDEX(MASTER_AREAS!$B:$B,1362)))),1361,""),""),IF('WSF DASHBOARD'!$B$4="Zone",IF(1361&lt;=$D$4,IF(OR('WSF DASHBOARD'!$C$4="",ISNUMBER(SEARCH('WSF DASHBOARD'!$C$4,INDEX(MASTER_ZONES!$B:$B,1362)))),1361,""),""),""))</f>
        <v/>
      </c>
      <c r="F1362">
        <f>IF('TRANSPORT DASHBOARD'!$B$4="Area",IF(1361&lt;=$I$3,IF(OR('TRANSPORT DASHBOARD'!$C$4="",ISNUMBER(SEARCH('TRANSPORT DASHBOARD'!$C$4,INDEX(MASTER_AREAS!$B:$B,1362)))),1361,""),""),IF('TRANSPORT DASHBOARD'!$B$4="Zone",IF(1361&lt;=$I$4,IF(OR('TRANSPORT DASHBOARD'!$C$4="",ISNUMBER(SEARCH('TRANSPORT DASHBOARD'!$C$4,INDEX(MASTER_ZONES!$B:$B,1362)))),1361,""),""),""))</f>
        <v/>
      </c>
    </row>
    <row r="1363">
      <c r="A1363">
        <f>IF('WSF DASHBOARD'!$B$4="Area",IF(1362&lt;=$D$3,IF(OR('WSF DASHBOARD'!$C$4="",ISNUMBER(SEARCH('WSF DASHBOARD'!$C$4,INDEX(MASTER_AREAS!$B:$B,1363)))),1362,""),""),IF('WSF DASHBOARD'!$B$4="Zone",IF(1362&lt;=$D$4,IF(OR('WSF DASHBOARD'!$C$4="",ISNUMBER(SEARCH('WSF DASHBOARD'!$C$4,INDEX(MASTER_ZONES!$B:$B,1363)))),1362,""),""),""))</f>
        <v/>
      </c>
      <c r="F1363">
        <f>IF('TRANSPORT DASHBOARD'!$B$4="Area",IF(1362&lt;=$I$3,IF(OR('TRANSPORT DASHBOARD'!$C$4="",ISNUMBER(SEARCH('TRANSPORT DASHBOARD'!$C$4,INDEX(MASTER_AREAS!$B:$B,1363)))),1362,""),""),IF('TRANSPORT DASHBOARD'!$B$4="Zone",IF(1362&lt;=$I$4,IF(OR('TRANSPORT DASHBOARD'!$C$4="",ISNUMBER(SEARCH('TRANSPORT DASHBOARD'!$C$4,INDEX(MASTER_ZONES!$B:$B,1363)))),1362,""),""),""))</f>
        <v/>
      </c>
    </row>
    <row r="1364">
      <c r="A1364">
        <f>IF('WSF DASHBOARD'!$B$4="Area",IF(1363&lt;=$D$3,IF(OR('WSF DASHBOARD'!$C$4="",ISNUMBER(SEARCH('WSF DASHBOARD'!$C$4,INDEX(MASTER_AREAS!$B:$B,1364)))),1363,""),""),IF('WSF DASHBOARD'!$B$4="Zone",IF(1363&lt;=$D$4,IF(OR('WSF DASHBOARD'!$C$4="",ISNUMBER(SEARCH('WSF DASHBOARD'!$C$4,INDEX(MASTER_ZONES!$B:$B,1364)))),1363,""),""),""))</f>
        <v/>
      </c>
      <c r="F1364">
        <f>IF('TRANSPORT DASHBOARD'!$B$4="Area",IF(1363&lt;=$I$3,IF(OR('TRANSPORT DASHBOARD'!$C$4="",ISNUMBER(SEARCH('TRANSPORT DASHBOARD'!$C$4,INDEX(MASTER_AREAS!$B:$B,1364)))),1363,""),""),IF('TRANSPORT DASHBOARD'!$B$4="Zone",IF(1363&lt;=$I$4,IF(OR('TRANSPORT DASHBOARD'!$C$4="",ISNUMBER(SEARCH('TRANSPORT DASHBOARD'!$C$4,INDEX(MASTER_ZONES!$B:$B,1364)))),1363,""),""),""))</f>
        <v/>
      </c>
    </row>
    <row r="1365">
      <c r="A1365">
        <f>IF('WSF DASHBOARD'!$B$4="Area",IF(1364&lt;=$D$3,IF(OR('WSF DASHBOARD'!$C$4="",ISNUMBER(SEARCH('WSF DASHBOARD'!$C$4,INDEX(MASTER_AREAS!$B:$B,1365)))),1364,""),""),IF('WSF DASHBOARD'!$B$4="Zone",IF(1364&lt;=$D$4,IF(OR('WSF DASHBOARD'!$C$4="",ISNUMBER(SEARCH('WSF DASHBOARD'!$C$4,INDEX(MASTER_ZONES!$B:$B,1365)))),1364,""),""),""))</f>
        <v/>
      </c>
      <c r="F1365">
        <f>IF('TRANSPORT DASHBOARD'!$B$4="Area",IF(1364&lt;=$I$3,IF(OR('TRANSPORT DASHBOARD'!$C$4="",ISNUMBER(SEARCH('TRANSPORT DASHBOARD'!$C$4,INDEX(MASTER_AREAS!$B:$B,1365)))),1364,""),""),IF('TRANSPORT DASHBOARD'!$B$4="Zone",IF(1364&lt;=$I$4,IF(OR('TRANSPORT DASHBOARD'!$C$4="",ISNUMBER(SEARCH('TRANSPORT DASHBOARD'!$C$4,INDEX(MASTER_ZONES!$B:$B,1365)))),1364,""),""),""))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172"/>
  <sheetViews>
    <sheetView tabSelected="0" workbookViewId="0">
      <selection activeCell="A1" sqref="A1"/>
    </sheetView>
  </sheetViews>
  <sheetFormatPr baseColWidth="8" defaultRowHeight="15"/>
  <sheetData>
    <row r="1">
      <c r="A1" s="186" t="inlineStr">
        <is>
          <t>CALC_WSF — helper calculations for the WSF DASHBOARD (hidden; do not edit)</t>
        </is>
      </c>
      <c r="AW1" t="inlineStr">
        <is>
          <t>Non-reporting cells in scope</t>
        </is>
      </c>
      <c r="AX1">
        <f>COUNT(WSF_CELLS_CURRENT!$N:$N)</f>
        <v/>
      </c>
    </row>
    <row r="2">
      <c r="W2" s="187" t="inlineStr">
        <is>
          <t>Area</t>
        </is>
      </c>
      <c r="X2" s="187" t="inlineStr">
        <is>
          <t>Rows</t>
        </is>
      </c>
      <c r="Y2" s="187" t="inlineStr">
        <is>
          <t>Grand (sel wk)</t>
        </is>
      </c>
      <c r="Z2" s="187" t="inlineStr">
        <is>
          <t>Grand (prev wk)</t>
        </is>
      </c>
      <c r="AA2" s="187" t="inlineStr">
        <is>
          <t>Cells total</t>
        </is>
      </c>
      <c r="AB2" s="187" t="inlineStr">
        <is>
          <t>Cells reported</t>
        </is>
      </c>
      <c r="AC2" s="187" t="inlineStr">
        <is>
          <t>% reporting</t>
        </is>
      </c>
      <c r="AD2" s="187" t="inlineStr">
        <is>
          <t>Growth</t>
        </is>
      </c>
      <c r="AE2" s="187" t="inlineStr">
        <is>
          <t>Score att</t>
        </is>
      </c>
      <c r="AF2" s="187" t="inlineStr">
        <is>
          <t>Score pct</t>
        </is>
      </c>
      <c r="AG2" s="187" t="inlineStr">
        <is>
          <t>Score growth</t>
        </is>
      </c>
      <c r="AI2" t="inlineStr">
        <is>
          <t>k</t>
        </is>
      </c>
      <c r="AJ2" t="inlineStr">
        <is>
          <t>LARGE AE name</t>
        </is>
      </c>
      <c r="AK2" t="inlineStr">
        <is>
          <t>value</t>
        </is>
      </c>
      <c r="AL2" t="inlineStr">
        <is>
          <t>SMALL AE name</t>
        </is>
      </c>
      <c r="AM2" t="inlineStr">
        <is>
          <t>value</t>
        </is>
      </c>
      <c r="AN2" t="inlineStr">
        <is>
          <t>LARGE AF name</t>
        </is>
      </c>
      <c r="AO2" t="inlineStr">
        <is>
          <t>value</t>
        </is>
      </c>
      <c r="AP2" t="inlineStr">
        <is>
          <t>SMALL AF name</t>
        </is>
      </c>
      <c r="AQ2" t="inlineStr">
        <is>
          <t>value</t>
        </is>
      </c>
      <c r="AR2" t="inlineStr">
        <is>
          <t>LARGE AG name</t>
        </is>
      </c>
      <c r="AS2" t="inlineStr">
        <is>
          <t>value</t>
        </is>
      </c>
      <c r="AT2" t="inlineStr">
        <is>
          <t>SMALL AG name</t>
        </is>
      </c>
      <c r="AU2" t="inlineStr">
        <is>
          <t>value</t>
        </is>
      </c>
      <c r="AW2" t="inlineStr">
        <is>
          <t>Cell detail held for selected week</t>
        </is>
      </c>
      <c r="AX2">
        <f>COUNTIF(WSF_CELLS_CURRENT!$A:$A,$B$10)&gt;0</f>
        <v/>
      </c>
    </row>
    <row r="3">
      <c r="A3" t="inlineStr">
        <is>
          <t>Scope</t>
        </is>
      </c>
      <c r="B3">
        <f>'WSF DASHBOARD'!B4</f>
        <v/>
      </c>
      <c r="W3">
        <f>IFERROR(INDEX(MASTER_AREAS!$B:$B,2)&amp;"","")</f>
        <v/>
      </c>
      <c r="X3">
        <f>IF(OR(W3="",$B$10=0),0,COUNTIFS(DATA_WSF!$A:$A,$B$10,DATA_WSF!$C:$C,W3))</f>
        <v/>
      </c>
      <c r="Y3">
        <f>IF(X3=0,0,SUMIFS(DATA_WSF!$L:$L,DATA_WSF!$A:$A,$B$10,DATA_WSF!$C:$C,W3))</f>
        <v/>
      </c>
      <c r="Z3">
        <f>IF(OR(W3="",$B$10=0),0,SUMIFS(DATA_WSF!$L:$L,DATA_WSF!$A:$A,$B$10-7,DATA_WSF!$C:$C,W3))</f>
        <v/>
      </c>
      <c r="AA3">
        <f>IF(X3=0,0,SUMIFS(DATA_WSF!$E:$E,DATA_WSF!$A:$A,$B$10,DATA_WSF!$C:$C,W3))</f>
        <v/>
      </c>
      <c r="AB3">
        <f>IF(X3=0,0,SUMIFS(DATA_WSF!$F:$F,DATA_WSF!$A:$A,$B$10,DATA_WSF!$C:$C,W3))</f>
        <v/>
      </c>
      <c r="AC3">
        <f>IF(AA3=0,"",AB3/AA3)</f>
        <v/>
      </c>
      <c r="AD3">
        <f>IF(OR(X3=0,Z3=0),"",Y3/Z3-1)</f>
        <v/>
      </c>
      <c r="AE3">
        <f>IF(X3=0,"",Y3+ROW()/1000000)</f>
        <v/>
      </c>
      <c r="AF3">
        <f>IF(AC3="","",AC3+ROW()/1000000000)</f>
        <v/>
      </c>
      <c r="AG3">
        <f>IF(AD3="","",AD3+ROW()/1000000000)</f>
        <v/>
      </c>
      <c r="AI3" t="n">
        <v>1</v>
      </c>
      <c r="AJ3">
        <f>IFERROR(INDEX($W$3:$W$94,MATCH(LARGE($AE$3:$AE$94,1),$AE$3:$AE$94,0)),"")</f>
        <v/>
      </c>
      <c r="AK3">
        <f>IFERROR(INDEX($Y$3:$Y$94,MATCH(LARGE($AE$3:$AE$94,1),$AE$3:$AE$94,0)),"")</f>
        <v/>
      </c>
      <c r="AL3">
        <f>IFERROR(INDEX($W$3:$W$94,MATCH(SMALL($AE$3:$AE$94,1),$AE$3:$AE$94,0)),"")</f>
        <v/>
      </c>
      <c r="AM3">
        <f>IFERROR(INDEX($Y$3:$Y$94,MATCH(SMALL($AE$3:$AE$94,1),$AE$3:$AE$94,0)),"")</f>
        <v/>
      </c>
      <c r="AN3">
        <f>IFERROR(INDEX($W$3:$W$94,MATCH(LARGE($AF$3:$AF$94,1),$AF$3:$AF$94,0)),"")</f>
        <v/>
      </c>
      <c r="AO3">
        <f>IFERROR(INDEX($AC$3:$AC$94,MATCH(LARGE($AF$3:$AF$94,1),$AF$3:$AF$94,0)),"")</f>
        <v/>
      </c>
      <c r="AP3">
        <f>IFERROR(INDEX($W$3:$W$94,MATCH(SMALL($AF$3:$AF$94,1),$AF$3:$AF$94,0)),"")</f>
        <v/>
      </c>
      <c r="AQ3">
        <f>IFERROR(INDEX($AC$3:$AC$94,MATCH(SMALL($AF$3:$AF$94,1),$AF$3:$AF$94,0)),"")</f>
        <v/>
      </c>
      <c r="AR3">
        <f>IFERROR(INDEX($W$3:$W$94,MATCH(LARGE($AG$3:$AG$94,1),$AG$3:$AG$94,0)),"")</f>
        <v/>
      </c>
      <c r="AS3">
        <f>IFERROR(INDEX($AD$3:$AD$94,MATCH(LARGE($AG$3:$AG$94,1),$AG$3:$AG$94,0)),"")</f>
        <v/>
      </c>
      <c r="AT3">
        <f>IFERROR(INDEX($W$3:$W$94,MATCH(SMALL($AG$3:$AG$94,1),$AG$3:$AG$94,0)),"")</f>
        <v/>
      </c>
      <c r="AU3">
        <f>IFERROR(INDEX($AD$3:$AD$94,MATCH(SMALL($AG$3:$AG$94,1),$AG$3:$AG$94,0)),"")</f>
        <v/>
      </c>
    </row>
    <row r="4">
      <c r="A4" t="inlineStr">
        <is>
          <t>Selection</t>
        </is>
      </c>
      <c r="B4">
        <f>IF('WSF DASHBOARD'!E4="","",'WSF DASHBOARD'!E4)</f>
        <v/>
      </c>
      <c r="W4">
        <f>IFERROR(INDEX(MASTER_AREAS!$B:$B,3)&amp;"","")</f>
        <v/>
      </c>
      <c r="X4">
        <f>IF(OR(W4="",$B$10=0),0,COUNTIFS(DATA_WSF!$A:$A,$B$10,DATA_WSF!$C:$C,W4))</f>
        <v/>
      </c>
      <c r="Y4">
        <f>IF(X4=0,0,SUMIFS(DATA_WSF!$L:$L,DATA_WSF!$A:$A,$B$10,DATA_WSF!$C:$C,W4))</f>
        <v/>
      </c>
      <c r="Z4">
        <f>IF(OR(W4="",$B$10=0),0,SUMIFS(DATA_WSF!$L:$L,DATA_WSF!$A:$A,$B$10-7,DATA_WSF!$C:$C,W4))</f>
        <v/>
      </c>
      <c r="AA4">
        <f>IF(X4=0,0,SUMIFS(DATA_WSF!$E:$E,DATA_WSF!$A:$A,$B$10,DATA_WSF!$C:$C,W4))</f>
        <v/>
      </c>
      <c r="AB4">
        <f>IF(X4=0,0,SUMIFS(DATA_WSF!$F:$F,DATA_WSF!$A:$A,$B$10,DATA_WSF!$C:$C,W4))</f>
        <v/>
      </c>
      <c r="AC4">
        <f>IF(AA4=0,"",AB4/AA4)</f>
        <v/>
      </c>
      <c r="AD4">
        <f>IF(OR(X4=0,Z4=0),"",Y4/Z4-1)</f>
        <v/>
      </c>
      <c r="AE4">
        <f>IF(X4=0,"",Y4+ROW()/1000000)</f>
        <v/>
      </c>
      <c r="AF4">
        <f>IF(AC4="","",AC4+ROW()/1000000000)</f>
        <v/>
      </c>
      <c r="AG4">
        <f>IF(AD4="","",AD4+ROW()/1000000000)</f>
        <v/>
      </c>
      <c r="AI4" t="n">
        <v>2</v>
      </c>
      <c r="AJ4">
        <f>IFERROR(INDEX($W$3:$W$94,MATCH(LARGE($AE$3:$AE$94,2),$AE$3:$AE$94,0)),"")</f>
        <v/>
      </c>
      <c r="AK4">
        <f>IFERROR(INDEX($Y$3:$Y$94,MATCH(LARGE($AE$3:$AE$94,2),$AE$3:$AE$94,0)),"")</f>
        <v/>
      </c>
      <c r="AL4">
        <f>IFERROR(INDEX($W$3:$W$94,MATCH(SMALL($AE$3:$AE$94,2),$AE$3:$AE$94,0)),"")</f>
        <v/>
      </c>
      <c r="AM4">
        <f>IFERROR(INDEX($Y$3:$Y$94,MATCH(SMALL($AE$3:$AE$94,2),$AE$3:$AE$94,0)),"")</f>
        <v/>
      </c>
      <c r="AN4">
        <f>IFERROR(INDEX($W$3:$W$94,MATCH(LARGE($AF$3:$AF$94,2),$AF$3:$AF$94,0)),"")</f>
        <v/>
      </c>
      <c r="AO4">
        <f>IFERROR(INDEX($AC$3:$AC$94,MATCH(LARGE($AF$3:$AF$94,2),$AF$3:$AF$94,0)),"")</f>
        <v/>
      </c>
      <c r="AP4">
        <f>IFERROR(INDEX($W$3:$W$94,MATCH(SMALL($AF$3:$AF$94,2),$AF$3:$AF$94,0)),"")</f>
        <v/>
      </c>
      <c r="AQ4">
        <f>IFERROR(INDEX($AC$3:$AC$94,MATCH(SMALL($AF$3:$AF$94,2),$AF$3:$AF$94,0)),"")</f>
        <v/>
      </c>
      <c r="AR4">
        <f>IFERROR(INDEX($W$3:$W$94,MATCH(LARGE($AG$3:$AG$94,2),$AG$3:$AG$94,0)),"")</f>
        <v/>
      </c>
      <c r="AS4">
        <f>IFERROR(INDEX($AD$3:$AD$94,MATCH(LARGE($AG$3:$AG$94,2),$AG$3:$AG$94,0)),"")</f>
        <v/>
      </c>
      <c r="AT4">
        <f>IFERROR(INDEX($W$3:$W$94,MATCH(SMALL($AG$3:$AG$94,2),$AG$3:$AG$94,0)),"")</f>
        <v/>
      </c>
      <c r="AU4">
        <f>IFERROR(INDEX($AD$3:$AD$94,MATCH(SMALL($AG$3:$AG$94,2),$AG$3:$AG$94,0)),"")</f>
        <v/>
      </c>
      <c r="AW4">
        <f>IFERROR(SMALL(WSF_CELLS_CURRENT!$N:$N,1),"")</f>
        <v/>
      </c>
      <c r="AX4">
        <f>IF($AW4="","",INDEX(WSF_CELLS_CURRENT!$C:$C,$AW4))</f>
        <v/>
      </c>
      <c r="AY4">
        <f>IF($AW4="","",INDEX(WSF_CELLS_CURRENT!$D:$D,$AW4))</f>
        <v/>
      </c>
      <c r="AZ4">
        <f>IF($AW4="","",INDEX(WSF_CELLS_CURRENT!$E:$E,$AW4))</f>
        <v/>
      </c>
    </row>
    <row r="5">
      <c r="A5" t="inlineStr">
        <is>
          <t>Selection valid</t>
        </is>
      </c>
      <c r="B5">
        <f>IF(B3="Global",TRUE,IF(B3="Area",COUNTIF(MASTER_AREAS!$B:$B,B4)&gt;0,COUNTIF(MASTER_ZONES!$B:$B,B4)&gt;0))</f>
        <v/>
      </c>
      <c r="W5">
        <f>IFERROR(INDEX(MASTER_AREAS!$B:$B,4)&amp;"","")</f>
        <v/>
      </c>
      <c r="X5">
        <f>IF(OR(W5="",$B$10=0),0,COUNTIFS(DATA_WSF!$A:$A,$B$10,DATA_WSF!$C:$C,W5))</f>
        <v/>
      </c>
      <c r="Y5">
        <f>IF(X5=0,0,SUMIFS(DATA_WSF!$L:$L,DATA_WSF!$A:$A,$B$10,DATA_WSF!$C:$C,W5))</f>
        <v/>
      </c>
      <c r="Z5">
        <f>IF(OR(W5="",$B$10=0),0,SUMIFS(DATA_WSF!$L:$L,DATA_WSF!$A:$A,$B$10-7,DATA_WSF!$C:$C,W5))</f>
        <v/>
      </c>
      <c r="AA5">
        <f>IF(X5=0,0,SUMIFS(DATA_WSF!$E:$E,DATA_WSF!$A:$A,$B$10,DATA_WSF!$C:$C,W5))</f>
        <v/>
      </c>
      <c r="AB5">
        <f>IF(X5=0,0,SUMIFS(DATA_WSF!$F:$F,DATA_WSF!$A:$A,$B$10,DATA_WSF!$C:$C,W5))</f>
        <v/>
      </c>
      <c r="AC5">
        <f>IF(AA5=0,"",AB5/AA5)</f>
        <v/>
      </c>
      <c r="AD5">
        <f>IF(OR(X5=0,Z5=0),"",Y5/Z5-1)</f>
        <v/>
      </c>
      <c r="AE5">
        <f>IF(X5=0,"",Y5+ROW()/1000000)</f>
        <v/>
      </c>
      <c r="AF5">
        <f>IF(AC5="","",AC5+ROW()/1000000000)</f>
        <v/>
      </c>
      <c r="AG5">
        <f>IF(AD5="","",AD5+ROW()/1000000000)</f>
        <v/>
      </c>
      <c r="AI5" t="n">
        <v>3</v>
      </c>
      <c r="AJ5">
        <f>IFERROR(INDEX($W$3:$W$94,MATCH(LARGE($AE$3:$AE$94,3),$AE$3:$AE$94,0)),"")</f>
        <v/>
      </c>
      <c r="AK5">
        <f>IFERROR(INDEX($Y$3:$Y$94,MATCH(LARGE($AE$3:$AE$94,3),$AE$3:$AE$94,0)),"")</f>
        <v/>
      </c>
      <c r="AL5">
        <f>IFERROR(INDEX($W$3:$W$94,MATCH(SMALL($AE$3:$AE$94,3),$AE$3:$AE$94,0)),"")</f>
        <v/>
      </c>
      <c r="AM5">
        <f>IFERROR(INDEX($Y$3:$Y$94,MATCH(SMALL($AE$3:$AE$94,3),$AE$3:$AE$94,0)),"")</f>
        <v/>
      </c>
      <c r="AN5">
        <f>IFERROR(INDEX($W$3:$W$94,MATCH(LARGE($AF$3:$AF$94,3),$AF$3:$AF$94,0)),"")</f>
        <v/>
      </c>
      <c r="AO5">
        <f>IFERROR(INDEX($AC$3:$AC$94,MATCH(LARGE($AF$3:$AF$94,3),$AF$3:$AF$94,0)),"")</f>
        <v/>
      </c>
      <c r="AP5">
        <f>IFERROR(INDEX($W$3:$W$94,MATCH(SMALL($AF$3:$AF$94,3),$AF$3:$AF$94,0)),"")</f>
        <v/>
      </c>
      <c r="AQ5">
        <f>IFERROR(INDEX($AC$3:$AC$94,MATCH(SMALL($AF$3:$AF$94,3),$AF$3:$AF$94,0)),"")</f>
        <v/>
      </c>
      <c r="AR5">
        <f>IFERROR(INDEX($W$3:$W$94,MATCH(LARGE($AG$3:$AG$94,3),$AG$3:$AG$94,0)),"")</f>
        <v/>
      </c>
      <c r="AS5">
        <f>IFERROR(INDEX($AD$3:$AD$94,MATCH(LARGE($AG$3:$AG$94,3),$AG$3:$AG$94,0)),"")</f>
        <v/>
      </c>
      <c r="AT5">
        <f>IFERROR(INDEX($W$3:$W$94,MATCH(SMALL($AG$3:$AG$94,3),$AG$3:$AG$94,0)),"")</f>
        <v/>
      </c>
      <c r="AU5">
        <f>IFERROR(INDEX($AD$3:$AD$94,MATCH(SMALL($AG$3:$AG$94,3),$AG$3:$AG$94,0)),"")</f>
        <v/>
      </c>
      <c r="AW5">
        <f>IFERROR(SMALL(WSF_CELLS_CURRENT!$N:$N,2),"")</f>
        <v/>
      </c>
      <c r="AX5">
        <f>IF($AW5="","",INDEX(WSF_CELLS_CURRENT!$C:$C,$AW5))</f>
        <v/>
      </c>
      <c r="AY5">
        <f>IF($AW5="","",INDEX(WSF_CELLS_CURRENT!$D:$D,$AW5))</f>
        <v/>
      </c>
      <c r="AZ5">
        <f>IF($AW5="","",INDEX(WSF_CELLS_CURRENT!$E:$E,$AW5))</f>
        <v/>
      </c>
    </row>
    <row r="6">
      <c r="A6" t="inlineStr">
        <is>
          <t>Area criterion</t>
        </is>
      </c>
      <c r="B6">
        <f>IF(B3="Area",B4,"*")</f>
        <v/>
      </c>
      <c r="W6">
        <f>IFERROR(INDEX(MASTER_AREAS!$B:$B,5)&amp;"","")</f>
        <v/>
      </c>
      <c r="X6">
        <f>IF(OR(W6="",$B$10=0),0,COUNTIFS(DATA_WSF!$A:$A,$B$10,DATA_WSF!$C:$C,W6))</f>
        <v/>
      </c>
      <c r="Y6">
        <f>IF(X6=0,0,SUMIFS(DATA_WSF!$L:$L,DATA_WSF!$A:$A,$B$10,DATA_WSF!$C:$C,W6))</f>
        <v/>
      </c>
      <c r="Z6">
        <f>IF(OR(W6="",$B$10=0),0,SUMIFS(DATA_WSF!$L:$L,DATA_WSF!$A:$A,$B$10-7,DATA_WSF!$C:$C,W6))</f>
        <v/>
      </c>
      <c r="AA6">
        <f>IF(X6=0,0,SUMIFS(DATA_WSF!$E:$E,DATA_WSF!$A:$A,$B$10,DATA_WSF!$C:$C,W6))</f>
        <v/>
      </c>
      <c r="AB6">
        <f>IF(X6=0,0,SUMIFS(DATA_WSF!$F:$F,DATA_WSF!$A:$A,$B$10,DATA_WSF!$C:$C,W6))</f>
        <v/>
      </c>
      <c r="AC6">
        <f>IF(AA6=0,"",AB6/AA6)</f>
        <v/>
      </c>
      <c r="AD6">
        <f>IF(OR(X6=0,Z6=0),"",Y6/Z6-1)</f>
        <v/>
      </c>
      <c r="AE6">
        <f>IF(X6=0,"",Y6+ROW()/1000000)</f>
        <v/>
      </c>
      <c r="AF6">
        <f>IF(AC6="","",AC6+ROW()/1000000000)</f>
        <v/>
      </c>
      <c r="AG6">
        <f>IF(AD6="","",AD6+ROW()/1000000000)</f>
        <v/>
      </c>
      <c r="AI6" t="n">
        <v>4</v>
      </c>
      <c r="AJ6">
        <f>IFERROR(INDEX($W$3:$W$94,MATCH(LARGE($AE$3:$AE$94,4),$AE$3:$AE$94,0)),"")</f>
        <v/>
      </c>
      <c r="AK6">
        <f>IFERROR(INDEX($Y$3:$Y$94,MATCH(LARGE($AE$3:$AE$94,4),$AE$3:$AE$94,0)),"")</f>
        <v/>
      </c>
      <c r="AL6">
        <f>IFERROR(INDEX($W$3:$W$94,MATCH(SMALL($AE$3:$AE$94,4),$AE$3:$AE$94,0)),"")</f>
        <v/>
      </c>
      <c r="AM6">
        <f>IFERROR(INDEX($Y$3:$Y$94,MATCH(SMALL($AE$3:$AE$94,4),$AE$3:$AE$94,0)),"")</f>
        <v/>
      </c>
      <c r="AN6">
        <f>IFERROR(INDEX($W$3:$W$94,MATCH(LARGE($AF$3:$AF$94,4),$AF$3:$AF$94,0)),"")</f>
        <v/>
      </c>
      <c r="AO6">
        <f>IFERROR(INDEX($AC$3:$AC$94,MATCH(LARGE($AF$3:$AF$94,4),$AF$3:$AF$94,0)),"")</f>
        <v/>
      </c>
      <c r="AP6">
        <f>IFERROR(INDEX($W$3:$W$94,MATCH(SMALL($AF$3:$AF$94,4),$AF$3:$AF$94,0)),"")</f>
        <v/>
      </c>
      <c r="AQ6">
        <f>IFERROR(INDEX($AC$3:$AC$94,MATCH(SMALL($AF$3:$AF$94,4),$AF$3:$AF$94,0)),"")</f>
        <v/>
      </c>
      <c r="AR6">
        <f>IFERROR(INDEX($W$3:$W$94,MATCH(LARGE($AG$3:$AG$94,4),$AG$3:$AG$94,0)),"")</f>
        <v/>
      </c>
      <c r="AS6">
        <f>IFERROR(INDEX($AD$3:$AD$94,MATCH(LARGE($AG$3:$AG$94,4),$AG$3:$AG$94,0)),"")</f>
        <v/>
      </c>
      <c r="AT6">
        <f>IFERROR(INDEX($W$3:$W$94,MATCH(SMALL($AG$3:$AG$94,4),$AG$3:$AG$94,0)),"")</f>
        <v/>
      </c>
      <c r="AU6">
        <f>IFERROR(INDEX($AD$3:$AD$94,MATCH(SMALL($AG$3:$AG$94,4),$AG$3:$AG$94,0)),"")</f>
        <v/>
      </c>
      <c r="AW6">
        <f>IFERROR(SMALL(WSF_CELLS_CURRENT!$N:$N,3),"")</f>
        <v/>
      </c>
      <c r="AX6">
        <f>IF($AW6="","",INDEX(WSF_CELLS_CURRENT!$C:$C,$AW6))</f>
        <v/>
      </c>
      <c r="AY6">
        <f>IF($AW6="","",INDEX(WSF_CELLS_CURRENT!$D:$D,$AW6))</f>
        <v/>
      </c>
      <c r="AZ6">
        <f>IF($AW6="","",INDEX(WSF_CELLS_CURRENT!$E:$E,$AW6))</f>
        <v/>
      </c>
    </row>
    <row r="7">
      <c r="A7" t="inlineStr">
        <is>
          <t>Zone criterion</t>
        </is>
      </c>
      <c r="B7">
        <f>IF(B3="Zone",B4,"*")</f>
        <v/>
      </c>
      <c r="W7">
        <f>IFERROR(INDEX(MASTER_AREAS!$B:$B,6)&amp;"","")</f>
        <v/>
      </c>
      <c r="X7">
        <f>IF(OR(W7="",$B$10=0),0,COUNTIFS(DATA_WSF!$A:$A,$B$10,DATA_WSF!$C:$C,W7))</f>
        <v/>
      </c>
      <c r="Y7">
        <f>IF(X7=0,0,SUMIFS(DATA_WSF!$L:$L,DATA_WSF!$A:$A,$B$10,DATA_WSF!$C:$C,W7))</f>
        <v/>
      </c>
      <c r="Z7">
        <f>IF(OR(W7="",$B$10=0),0,SUMIFS(DATA_WSF!$L:$L,DATA_WSF!$A:$A,$B$10-7,DATA_WSF!$C:$C,W7))</f>
        <v/>
      </c>
      <c r="AA7">
        <f>IF(X7=0,0,SUMIFS(DATA_WSF!$E:$E,DATA_WSF!$A:$A,$B$10,DATA_WSF!$C:$C,W7))</f>
        <v/>
      </c>
      <c r="AB7">
        <f>IF(X7=0,0,SUMIFS(DATA_WSF!$F:$F,DATA_WSF!$A:$A,$B$10,DATA_WSF!$C:$C,W7))</f>
        <v/>
      </c>
      <c r="AC7">
        <f>IF(AA7=0,"",AB7/AA7)</f>
        <v/>
      </c>
      <c r="AD7">
        <f>IF(OR(X7=0,Z7=0),"",Y7/Z7-1)</f>
        <v/>
      </c>
      <c r="AE7">
        <f>IF(X7=0,"",Y7+ROW()/1000000)</f>
        <v/>
      </c>
      <c r="AF7">
        <f>IF(AC7="","",AC7+ROW()/1000000000)</f>
        <v/>
      </c>
      <c r="AG7">
        <f>IF(AD7="","",AD7+ROW()/1000000000)</f>
        <v/>
      </c>
      <c r="AI7" t="n">
        <v>5</v>
      </c>
      <c r="AJ7">
        <f>IFERROR(INDEX($W$3:$W$94,MATCH(LARGE($AE$3:$AE$94,5),$AE$3:$AE$94,0)),"")</f>
        <v/>
      </c>
      <c r="AK7">
        <f>IFERROR(INDEX($Y$3:$Y$94,MATCH(LARGE($AE$3:$AE$94,5),$AE$3:$AE$94,0)),"")</f>
        <v/>
      </c>
      <c r="AL7">
        <f>IFERROR(INDEX($W$3:$W$94,MATCH(SMALL($AE$3:$AE$94,5),$AE$3:$AE$94,0)),"")</f>
        <v/>
      </c>
      <c r="AM7">
        <f>IFERROR(INDEX($Y$3:$Y$94,MATCH(SMALL($AE$3:$AE$94,5),$AE$3:$AE$94,0)),"")</f>
        <v/>
      </c>
      <c r="AN7">
        <f>IFERROR(INDEX($W$3:$W$94,MATCH(LARGE($AF$3:$AF$94,5),$AF$3:$AF$94,0)),"")</f>
        <v/>
      </c>
      <c r="AO7">
        <f>IFERROR(INDEX($AC$3:$AC$94,MATCH(LARGE($AF$3:$AF$94,5),$AF$3:$AF$94,0)),"")</f>
        <v/>
      </c>
      <c r="AP7">
        <f>IFERROR(INDEX($W$3:$W$94,MATCH(SMALL($AF$3:$AF$94,5),$AF$3:$AF$94,0)),"")</f>
        <v/>
      </c>
      <c r="AQ7">
        <f>IFERROR(INDEX($AC$3:$AC$94,MATCH(SMALL($AF$3:$AF$94,5),$AF$3:$AF$94,0)),"")</f>
        <v/>
      </c>
      <c r="AR7">
        <f>IFERROR(INDEX($W$3:$W$94,MATCH(LARGE($AG$3:$AG$94,5),$AG$3:$AG$94,0)),"")</f>
        <v/>
      </c>
      <c r="AS7">
        <f>IFERROR(INDEX($AD$3:$AD$94,MATCH(LARGE($AG$3:$AG$94,5),$AG$3:$AG$94,0)),"")</f>
        <v/>
      </c>
      <c r="AT7">
        <f>IFERROR(INDEX($W$3:$W$94,MATCH(SMALL($AG$3:$AG$94,5),$AG$3:$AG$94,0)),"")</f>
        <v/>
      </c>
      <c r="AU7">
        <f>IFERROR(INDEX($AD$3:$AD$94,MATCH(SMALL($AG$3:$AG$94,5),$AG$3:$AG$94,0)),"")</f>
        <v/>
      </c>
      <c r="AW7">
        <f>IFERROR(SMALL(WSF_CELLS_CURRENT!$N:$N,4),"")</f>
        <v/>
      </c>
      <c r="AX7">
        <f>IF($AW7="","",INDEX(WSF_CELLS_CURRENT!$C:$C,$AW7))</f>
        <v/>
      </c>
      <c r="AY7">
        <f>IF($AW7="","",INDEX(WSF_CELLS_CURRENT!$D:$D,$AW7))</f>
        <v/>
      </c>
      <c r="AZ7">
        <f>IF($AW7="","",INDEX(WSF_CELLS_CURRENT!$E:$E,$AW7))</f>
        <v/>
      </c>
    </row>
    <row r="8">
      <c r="A8" t="inlineStr">
        <is>
          <t>Zone's Area</t>
        </is>
      </c>
      <c r="B8">
        <f>IF(B3="Zone",IFERROR(INDEX(MASTER_ZONES!$C:$C,MATCH(B4,MASTER_ZONES!$B:$B,0)),""),"")</f>
        <v/>
      </c>
      <c r="W8">
        <f>IFERROR(INDEX(MASTER_AREAS!$B:$B,7)&amp;"","")</f>
        <v/>
      </c>
      <c r="X8">
        <f>IF(OR(W8="",$B$10=0),0,COUNTIFS(DATA_WSF!$A:$A,$B$10,DATA_WSF!$C:$C,W8))</f>
        <v/>
      </c>
      <c r="Y8">
        <f>IF(X8=0,0,SUMIFS(DATA_WSF!$L:$L,DATA_WSF!$A:$A,$B$10,DATA_WSF!$C:$C,W8))</f>
        <v/>
      </c>
      <c r="Z8">
        <f>IF(OR(W8="",$B$10=0),0,SUMIFS(DATA_WSF!$L:$L,DATA_WSF!$A:$A,$B$10-7,DATA_WSF!$C:$C,W8))</f>
        <v/>
      </c>
      <c r="AA8">
        <f>IF(X8=0,0,SUMIFS(DATA_WSF!$E:$E,DATA_WSF!$A:$A,$B$10,DATA_WSF!$C:$C,W8))</f>
        <v/>
      </c>
      <c r="AB8">
        <f>IF(X8=0,0,SUMIFS(DATA_WSF!$F:$F,DATA_WSF!$A:$A,$B$10,DATA_WSF!$C:$C,W8))</f>
        <v/>
      </c>
      <c r="AC8">
        <f>IF(AA8=0,"",AB8/AA8)</f>
        <v/>
      </c>
      <c r="AD8">
        <f>IF(OR(X8=0,Z8=0),"",Y8/Z8-1)</f>
        <v/>
      </c>
      <c r="AE8">
        <f>IF(X8=0,"",Y8+ROW()/1000000)</f>
        <v/>
      </c>
      <c r="AF8">
        <f>IF(AC8="","",AC8+ROW()/1000000000)</f>
        <v/>
      </c>
      <c r="AG8">
        <f>IF(AD8="","",AD8+ROW()/1000000000)</f>
        <v/>
      </c>
      <c r="AI8" t="n">
        <v>6</v>
      </c>
      <c r="AJ8">
        <f>IFERROR(INDEX($W$3:$W$94,MATCH(LARGE($AE$3:$AE$94,6),$AE$3:$AE$94,0)),"")</f>
        <v/>
      </c>
      <c r="AK8">
        <f>IFERROR(INDEX($Y$3:$Y$94,MATCH(LARGE($AE$3:$AE$94,6),$AE$3:$AE$94,0)),"")</f>
        <v/>
      </c>
      <c r="AL8">
        <f>IFERROR(INDEX($W$3:$W$94,MATCH(SMALL($AE$3:$AE$94,6),$AE$3:$AE$94,0)),"")</f>
        <v/>
      </c>
      <c r="AM8">
        <f>IFERROR(INDEX($Y$3:$Y$94,MATCH(SMALL($AE$3:$AE$94,6),$AE$3:$AE$94,0)),"")</f>
        <v/>
      </c>
      <c r="AN8">
        <f>IFERROR(INDEX($W$3:$W$94,MATCH(LARGE($AF$3:$AF$94,6),$AF$3:$AF$94,0)),"")</f>
        <v/>
      </c>
      <c r="AO8">
        <f>IFERROR(INDEX($AC$3:$AC$94,MATCH(LARGE($AF$3:$AF$94,6),$AF$3:$AF$94,0)),"")</f>
        <v/>
      </c>
      <c r="AP8">
        <f>IFERROR(INDEX($W$3:$W$94,MATCH(SMALL($AF$3:$AF$94,6),$AF$3:$AF$94,0)),"")</f>
        <v/>
      </c>
      <c r="AQ8">
        <f>IFERROR(INDEX($AC$3:$AC$94,MATCH(SMALL($AF$3:$AF$94,6),$AF$3:$AF$94,0)),"")</f>
        <v/>
      </c>
      <c r="AR8">
        <f>IFERROR(INDEX($W$3:$W$94,MATCH(LARGE($AG$3:$AG$94,6),$AG$3:$AG$94,0)),"")</f>
        <v/>
      </c>
      <c r="AS8">
        <f>IFERROR(INDEX($AD$3:$AD$94,MATCH(LARGE($AG$3:$AG$94,6),$AG$3:$AG$94,0)),"")</f>
        <v/>
      </c>
      <c r="AT8">
        <f>IFERROR(INDEX($W$3:$W$94,MATCH(SMALL($AG$3:$AG$94,6),$AG$3:$AG$94,0)),"")</f>
        <v/>
      </c>
      <c r="AU8">
        <f>IFERROR(INDEX($AD$3:$AD$94,MATCH(SMALL($AG$3:$AG$94,6),$AG$3:$AG$94,0)),"")</f>
        <v/>
      </c>
      <c r="AW8">
        <f>IFERROR(SMALL(WSF_CELLS_CURRENT!$N:$N,5),"")</f>
        <v/>
      </c>
      <c r="AX8">
        <f>IF($AW8="","",INDEX(WSF_CELLS_CURRENT!$C:$C,$AW8))</f>
        <v/>
      </c>
      <c r="AY8">
        <f>IF($AW8="","",INDEX(WSF_CELLS_CURRENT!$D:$D,$AW8))</f>
        <v/>
      </c>
      <c r="AZ8">
        <f>IF($AW8="","",INDEX(WSF_CELLS_CURRENT!$E:$E,$AW8))</f>
        <v/>
      </c>
    </row>
    <row r="9">
      <c r="A9" t="inlineStr">
        <is>
          <t>Latest week with data</t>
        </is>
      </c>
      <c r="B9" s="170">
        <f>MAX(DATA_WSF!$A:$A)</f>
        <v/>
      </c>
      <c r="W9">
        <f>IFERROR(INDEX(MASTER_AREAS!$B:$B,8)&amp;"","")</f>
        <v/>
      </c>
      <c r="X9">
        <f>IF(OR(W9="",$B$10=0),0,COUNTIFS(DATA_WSF!$A:$A,$B$10,DATA_WSF!$C:$C,W9))</f>
        <v/>
      </c>
      <c r="Y9">
        <f>IF(X9=0,0,SUMIFS(DATA_WSF!$L:$L,DATA_WSF!$A:$A,$B$10,DATA_WSF!$C:$C,W9))</f>
        <v/>
      </c>
      <c r="Z9">
        <f>IF(OR(W9="",$B$10=0),0,SUMIFS(DATA_WSF!$L:$L,DATA_WSF!$A:$A,$B$10-7,DATA_WSF!$C:$C,W9))</f>
        <v/>
      </c>
      <c r="AA9">
        <f>IF(X9=0,0,SUMIFS(DATA_WSF!$E:$E,DATA_WSF!$A:$A,$B$10,DATA_WSF!$C:$C,W9))</f>
        <v/>
      </c>
      <c r="AB9">
        <f>IF(X9=0,0,SUMIFS(DATA_WSF!$F:$F,DATA_WSF!$A:$A,$B$10,DATA_WSF!$C:$C,W9))</f>
        <v/>
      </c>
      <c r="AC9">
        <f>IF(AA9=0,"",AB9/AA9)</f>
        <v/>
      </c>
      <c r="AD9">
        <f>IF(OR(X9=0,Z9=0),"",Y9/Z9-1)</f>
        <v/>
      </c>
      <c r="AE9">
        <f>IF(X9=0,"",Y9+ROW()/1000000)</f>
        <v/>
      </c>
      <c r="AF9">
        <f>IF(AC9="","",AC9+ROW()/1000000000)</f>
        <v/>
      </c>
      <c r="AG9">
        <f>IF(AD9="","",AD9+ROW()/1000000000)</f>
        <v/>
      </c>
      <c r="AI9" t="n">
        <v>7</v>
      </c>
      <c r="AJ9">
        <f>IFERROR(INDEX($W$3:$W$94,MATCH(LARGE($AE$3:$AE$94,7),$AE$3:$AE$94,0)),"")</f>
        <v/>
      </c>
      <c r="AK9">
        <f>IFERROR(INDEX($Y$3:$Y$94,MATCH(LARGE($AE$3:$AE$94,7),$AE$3:$AE$94,0)),"")</f>
        <v/>
      </c>
      <c r="AL9">
        <f>IFERROR(INDEX($W$3:$W$94,MATCH(SMALL($AE$3:$AE$94,7),$AE$3:$AE$94,0)),"")</f>
        <v/>
      </c>
      <c r="AM9">
        <f>IFERROR(INDEX($Y$3:$Y$94,MATCH(SMALL($AE$3:$AE$94,7),$AE$3:$AE$94,0)),"")</f>
        <v/>
      </c>
      <c r="AN9">
        <f>IFERROR(INDEX($W$3:$W$94,MATCH(LARGE($AF$3:$AF$94,7),$AF$3:$AF$94,0)),"")</f>
        <v/>
      </c>
      <c r="AO9">
        <f>IFERROR(INDEX($AC$3:$AC$94,MATCH(LARGE($AF$3:$AF$94,7),$AF$3:$AF$94,0)),"")</f>
        <v/>
      </c>
      <c r="AP9">
        <f>IFERROR(INDEX($W$3:$W$94,MATCH(SMALL($AF$3:$AF$94,7),$AF$3:$AF$94,0)),"")</f>
        <v/>
      </c>
      <c r="AQ9">
        <f>IFERROR(INDEX($AC$3:$AC$94,MATCH(SMALL($AF$3:$AF$94,7),$AF$3:$AF$94,0)),"")</f>
        <v/>
      </c>
      <c r="AR9">
        <f>IFERROR(INDEX($W$3:$W$94,MATCH(LARGE($AG$3:$AG$94,7),$AG$3:$AG$94,0)),"")</f>
        <v/>
      </c>
      <c r="AS9">
        <f>IFERROR(INDEX($AD$3:$AD$94,MATCH(LARGE($AG$3:$AG$94,7),$AG$3:$AG$94,0)),"")</f>
        <v/>
      </c>
      <c r="AT9">
        <f>IFERROR(INDEX($W$3:$W$94,MATCH(SMALL($AG$3:$AG$94,7),$AG$3:$AG$94,0)),"")</f>
        <v/>
      </c>
      <c r="AU9">
        <f>IFERROR(INDEX($AD$3:$AD$94,MATCH(SMALL($AG$3:$AG$94,7),$AG$3:$AG$94,0)),"")</f>
        <v/>
      </c>
      <c r="AW9">
        <f>IFERROR(SMALL(WSF_CELLS_CURRENT!$N:$N,6),"")</f>
        <v/>
      </c>
      <c r="AX9">
        <f>IF($AW9="","",INDEX(WSF_CELLS_CURRENT!$C:$C,$AW9))</f>
        <v/>
      </c>
      <c r="AY9">
        <f>IF($AW9="","",INDEX(WSF_CELLS_CURRENT!$D:$D,$AW9))</f>
        <v/>
      </c>
      <c r="AZ9">
        <f>IF($AW9="","",INDEX(WSF_CELLS_CURRENT!$E:$E,$AW9))</f>
        <v/>
      </c>
    </row>
    <row r="10">
      <c r="A10" t="inlineStr">
        <is>
          <t>Selected week</t>
        </is>
      </c>
      <c r="B10" s="170">
        <f>IF(ISNUMBER('WSF DASHBOARD'!I4),'WSF DASHBOARD'!I4,B9)</f>
        <v/>
      </c>
      <c r="W10">
        <f>IFERROR(INDEX(MASTER_AREAS!$B:$B,9)&amp;"","")</f>
        <v/>
      </c>
      <c r="X10">
        <f>IF(OR(W10="",$B$10=0),0,COUNTIFS(DATA_WSF!$A:$A,$B$10,DATA_WSF!$C:$C,W10))</f>
        <v/>
      </c>
      <c r="Y10">
        <f>IF(X10=0,0,SUMIFS(DATA_WSF!$L:$L,DATA_WSF!$A:$A,$B$10,DATA_WSF!$C:$C,W10))</f>
        <v/>
      </c>
      <c r="Z10">
        <f>IF(OR(W10="",$B$10=0),0,SUMIFS(DATA_WSF!$L:$L,DATA_WSF!$A:$A,$B$10-7,DATA_WSF!$C:$C,W10))</f>
        <v/>
      </c>
      <c r="AA10">
        <f>IF(X10=0,0,SUMIFS(DATA_WSF!$E:$E,DATA_WSF!$A:$A,$B$10,DATA_WSF!$C:$C,W10))</f>
        <v/>
      </c>
      <c r="AB10">
        <f>IF(X10=0,0,SUMIFS(DATA_WSF!$F:$F,DATA_WSF!$A:$A,$B$10,DATA_WSF!$C:$C,W10))</f>
        <v/>
      </c>
      <c r="AC10">
        <f>IF(AA10=0,"",AB10/AA10)</f>
        <v/>
      </c>
      <c r="AD10">
        <f>IF(OR(X10=0,Z10=0),"",Y10/Z10-1)</f>
        <v/>
      </c>
      <c r="AE10">
        <f>IF(X10=0,"",Y10+ROW()/1000000)</f>
        <v/>
      </c>
      <c r="AF10">
        <f>IF(AC10="","",AC10+ROW()/1000000000)</f>
        <v/>
      </c>
      <c r="AG10">
        <f>IF(AD10="","",AD10+ROW()/1000000000)</f>
        <v/>
      </c>
      <c r="AI10" t="n">
        <v>8</v>
      </c>
      <c r="AJ10">
        <f>IFERROR(INDEX($W$3:$W$94,MATCH(LARGE($AE$3:$AE$94,8),$AE$3:$AE$94,0)),"")</f>
        <v/>
      </c>
      <c r="AK10">
        <f>IFERROR(INDEX($Y$3:$Y$94,MATCH(LARGE($AE$3:$AE$94,8),$AE$3:$AE$94,0)),"")</f>
        <v/>
      </c>
      <c r="AL10">
        <f>IFERROR(INDEX($W$3:$W$94,MATCH(SMALL($AE$3:$AE$94,8),$AE$3:$AE$94,0)),"")</f>
        <v/>
      </c>
      <c r="AM10">
        <f>IFERROR(INDEX($Y$3:$Y$94,MATCH(SMALL($AE$3:$AE$94,8),$AE$3:$AE$94,0)),"")</f>
        <v/>
      </c>
      <c r="AN10">
        <f>IFERROR(INDEX($W$3:$W$94,MATCH(LARGE($AF$3:$AF$94,8),$AF$3:$AF$94,0)),"")</f>
        <v/>
      </c>
      <c r="AO10">
        <f>IFERROR(INDEX($AC$3:$AC$94,MATCH(LARGE($AF$3:$AF$94,8),$AF$3:$AF$94,0)),"")</f>
        <v/>
      </c>
      <c r="AP10">
        <f>IFERROR(INDEX($W$3:$W$94,MATCH(SMALL($AF$3:$AF$94,8),$AF$3:$AF$94,0)),"")</f>
        <v/>
      </c>
      <c r="AQ10">
        <f>IFERROR(INDEX($AC$3:$AC$94,MATCH(SMALL($AF$3:$AF$94,8),$AF$3:$AF$94,0)),"")</f>
        <v/>
      </c>
      <c r="AR10">
        <f>IFERROR(INDEX($W$3:$W$94,MATCH(LARGE($AG$3:$AG$94,8),$AG$3:$AG$94,0)),"")</f>
        <v/>
      </c>
      <c r="AS10">
        <f>IFERROR(INDEX($AD$3:$AD$94,MATCH(LARGE($AG$3:$AG$94,8),$AG$3:$AG$94,0)),"")</f>
        <v/>
      </c>
      <c r="AT10">
        <f>IFERROR(INDEX($W$3:$W$94,MATCH(SMALL($AG$3:$AG$94,8),$AG$3:$AG$94,0)),"")</f>
        <v/>
      </c>
      <c r="AU10">
        <f>IFERROR(INDEX($AD$3:$AD$94,MATCH(SMALL($AG$3:$AG$94,8),$AG$3:$AG$94,0)),"")</f>
        <v/>
      </c>
      <c r="AW10">
        <f>IFERROR(SMALL(WSF_CELLS_CURRENT!$N:$N,7),"")</f>
        <v/>
      </c>
      <c r="AX10">
        <f>IF($AW10="","",INDEX(WSF_CELLS_CURRENT!$C:$C,$AW10))</f>
        <v/>
      </c>
      <c r="AY10">
        <f>IF($AW10="","",INDEX(WSF_CELLS_CURRENT!$D:$D,$AW10))</f>
        <v/>
      </c>
      <c r="AZ10">
        <f>IF($AW10="","",INDEX(WSF_CELLS_CURRENT!$E:$E,$AW10))</f>
        <v/>
      </c>
    </row>
    <row r="11">
      <c r="A11" t="inlineStr">
        <is>
          <t>Window N (weeks)</t>
        </is>
      </c>
      <c r="B11">
        <f>IF(ISNUMBER('WSF DASHBOARD'!K4),'WSF DASHBOARD'!K4,DefaultWindow)</f>
        <v/>
      </c>
      <c r="W11">
        <f>IFERROR(INDEX(MASTER_AREAS!$B:$B,10)&amp;"","")</f>
        <v/>
      </c>
      <c r="X11">
        <f>IF(OR(W11="",$B$10=0),0,COUNTIFS(DATA_WSF!$A:$A,$B$10,DATA_WSF!$C:$C,W11))</f>
        <v/>
      </c>
      <c r="Y11">
        <f>IF(X11=0,0,SUMIFS(DATA_WSF!$L:$L,DATA_WSF!$A:$A,$B$10,DATA_WSF!$C:$C,W11))</f>
        <v/>
      </c>
      <c r="Z11">
        <f>IF(OR(W11="",$B$10=0),0,SUMIFS(DATA_WSF!$L:$L,DATA_WSF!$A:$A,$B$10-7,DATA_WSF!$C:$C,W11))</f>
        <v/>
      </c>
      <c r="AA11">
        <f>IF(X11=0,0,SUMIFS(DATA_WSF!$E:$E,DATA_WSF!$A:$A,$B$10,DATA_WSF!$C:$C,W11))</f>
        <v/>
      </c>
      <c r="AB11">
        <f>IF(X11=0,0,SUMIFS(DATA_WSF!$F:$F,DATA_WSF!$A:$A,$B$10,DATA_WSF!$C:$C,W11))</f>
        <v/>
      </c>
      <c r="AC11">
        <f>IF(AA11=0,"",AB11/AA11)</f>
        <v/>
      </c>
      <c r="AD11">
        <f>IF(OR(X11=0,Z11=0),"",Y11/Z11-1)</f>
        <v/>
      </c>
      <c r="AE11">
        <f>IF(X11=0,"",Y11+ROW()/1000000)</f>
        <v/>
      </c>
      <c r="AF11">
        <f>IF(AC11="","",AC11+ROW()/1000000000)</f>
        <v/>
      </c>
      <c r="AG11">
        <f>IF(AD11="","",AD11+ROW()/1000000000)</f>
        <v/>
      </c>
      <c r="AI11" t="n">
        <v>9</v>
      </c>
      <c r="AJ11">
        <f>IFERROR(INDEX($W$3:$W$94,MATCH(LARGE($AE$3:$AE$94,9),$AE$3:$AE$94,0)),"")</f>
        <v/>
      </c>
      <c r="AK11">
        <f>IFERROR(INDEX($Y$3:$Y$94,MATCH(LARGE($AE$3:$AE$94,9),$AE$3:$AE$94,0)),"")</f>
        <v/>
      </c>
      <c r="AL11">
        <f>IFERROR(INDEX($W$3:$W$94,MATCH(SMALL($AE$3:$AE$94,9),$AE$3:$AE$94,0)),"")</f>
        <v/>
      </c>
      <c r="AM11">
        <f>IFERROR(INDEX($Y$3:$Y$94,MATCH(SMALL($AE$3:$AE$94,9),$AE$3:$AE$94,0)),"")</f>
        <v/>
      </c>
      <c r="AN11">
        <f>IFERROR(INDEX($W$3:$W$94,MATCH(LARGE($AF$3:$AF$94,9),$AF$3:$AF$94,0)),"")</f>
        <v/>
      </c>
      <c r="AO11">
        <f>IFERROR(INDEX($AC$3:$AC$94,MATCH(LARGE($AF$3:$AF$94,9),$AF$3:$AF$94,0)),"")</f>
        <v/>
      </c>
      <c r="AP11">
        <f>IFERROR(INDEX($W$3:$W$94,MATCH(SMALL($AF$3:$AF$94,9),$AF$3:$AF$94,0)),"")</f>
        <v/>
      </c>
      <c r="AQ11">
        <f>IFERROR(INDEX($AC$3:$AC$94,MATCH(SMALL($AF$3:$AF$94,9),$AF$3:$AF$94,0)),"")</f>
        <v/>
      </c>
      <c r="AR11">
        <f>IFERROR(INDEX($W$3:$W$94,MATCH(LARGE($AG$3:$AG$94,9),$AG$3:$AG$94,0)),"")</f>
        <v/>
      </c>
      <c r="AS11">
        <f>IFERROR(INDEX($AD$3:$AD$94,MATCH(LARGE($AG$3:$AG$94,9),$AG$3:$AG$94,0)),"")</f>
        <v/>
      </c>
      <c r="AT11">
        <f>IFERROR(INDEX($W$3:$W$94,MATCH(SMALL($AG$3:$AG$94,9),$AG$3:$AG$94,0)),"")</f>
        <v/>
      </c>
      <c r="AU11">
        <f>IFERROR(INDEX($AD$3:$AD$94,MATCH(SMALL($AG$3:$AG$94,9),$AG$3:$AG$94,0)),"")</f>
        <v/>
      </c>
      <c r="AW11">
        <f>IFERROR(SMALL(WSF_CELLS_CURRENT!$N:$N,8),"")</f>
        <v/>
      </c>
      <c r="AX11">
        <f>IF($AW11="","",INDEX(WSF_CELLS_CURRENT!$C:$C,$AW11))</f>
        <v/>
      </c>
      <c r="AY11">
        <f>IF($AW11="","",INDEX(WSF_CELLS_CURRENT!$D:$D,$AW11))</f>
        <v/>
      </c>
      <c r="AZ11">
        <f>IF($AW11="","",INDEX(WSF_CELLS_CURRENT!$E:$E,$AW11))</f>
        <v/>
      </c>
    </row>
    <row r="12">
      <c r="A12" t="inlineStr">
        <is>
          <t>Selected month</t>
        </is>
      </c>
      <c r="B12">
        <f>IF(B10=0,0,MONTH(B10))</f>
        <v/>
      </c>
      <c r="W12">
        <f>IFERROR(INDEX(MASTER_AREAS!$B:$B,11)&amp;"","")</f>
        <v/>
      </c>
      <c r="X12">
        <f>IF(OR(W12="",$B$10=0),0,COUNTIFS(DATA_WSF!$A:$A,$B$10,DATA_WSF!$C:$C,W12))</f>
        <v/>
      </c>
      <c r="Y12">
        <f>IF(X12=0,0,SUMIFS(DATA_WSF!$L:$L,DATA_WSF!$A:$A,$B$10,DATA_WSF!$C:$C,W12))</f>
        <v/>
      </c>
      <c r="Z12">
        <f>IF(OR(W12="",$B$10=0),0,SUMIFS(DATA_WSF!$L:$L,DATA_WSF!$A:$A,$B$10-7,DATA_WSF!$C:$C,W12))</f>
        <v/>
      </c>
      <c r="AA12">
        <f>IF(X12=0,0,SUMIFS(DATA_WSF!$E:$E,DATA_WSF!$A:$A,$B$10,DATA_WSF!$C:$C,W12))</f>
        <v/>
      </c>
      <c r="AB12">
        <f>IF(X12=0,0,SUMIFS(DATA_WSF!$F:$F,DATA_WSF!$A:$A,$B$10,DATA_WSF!$C:$C,W12))</f>
        <v/>
      </c>
      <c r="AC12">
        <f>IF(AA12=0,"",AB12/AA12)</f>
        <v/>
      </c>
      <c r="AD12">
        <f>IF(OR(X12=0,Z12=0),"",Y12/Z12-1)</f>
        <v/>
      </c>
      <c r="AE12">
        <f>IF(X12=0,"",Y12+ROW()/1000000)</f>
        <v/>
      </c>
      <c r="AF12">
        <f>IF(AC12="","",AC12+ROW()/1000000000)</f>
        <v/>
      </c>
      <c r="AG12">
        <f>IF(AD12="","",AD12+ROW()/1000000000)</f>
        <v/>
      </c>
      <c r="AI12" t="n">
        <v>10</v>
      </c>
      <c r="AJ12">
        <f>IFERROR(INDEX($W$3:$W$94,MATCH(LARGE($AE$3:$AE$94,10),$AE$3:$AE$94,0)),"")</f>
        <v/>
      </c>
      <c r="AK12">
        <f>IFERROR(INDEX($Y$3:$Y$94,MATCH(LARGE($AE$3:$AE$94,10),$AE$3:$AE$94,0)),"")</f>
        <v/>
      </c>
      <c r="AL12">
        <f>IFERROR(INDEX($W$3:$W$94,MATCH(SMALL($AE$3:$AE$94,10),$AE$3:$AE$94,0)),"")</f>
        <v/>
      </c>
      <c r="AM12">
        <f>IFERROR(INDEX($Y$3:$Y$94,MATCH(SMALL($AE$3:$AE$94,10),$AE$3:$AE$94,0)),"")</f>
        <v/>
      </c>
      <c r="AN12">
        <f>IFERROR(INDEX($W$3:$W$94,MATCH(LARGE($AF$3:$AF$94,10),$AF$3:$AF$94,0)),"")</f>
        <v/>
      </c>
      <c r="AO12">
        <f>IFERROR(INDEX($AC$3:$AC$94,MATCH(LARGE($AF$3:$AF$94,10),$AF$3:$AF$94,0)),"")</f>
        <v/>
      </c>
      <c r="AP12">
        <f>IFERROR(INDEX($W$3:$W$94,MATCH(SMALL($AF$3:$AF$94,10),$AF$3:$AF$94,0)),"")</f>
        <v/>
      </c>
      <c r="AQ12">
        <f>IFERROR(INDEX($AC$3:$AC$94,MATCH(SMALL($AF$3:$AF$94,10),$AF$3:$AF$94,0)),"")</f>
        <v/>
      </c>
      <c r="AR12">
        <f>IFERROR(INDEX($W$3:$W$94,MATCH(LARGE($AG$3:$AG$94,10),$AG$3:$AG$94,0)),"")</f>
        <v/>
      </c>
      <c r="AS12">
        <f>IFERROR(INDEX($AD$3:$AD$94,MATCH(LARGE($AG$3:$AG$94,10),$AG$3:$AG$94,0)),"")</f>
        <v/>
      </c>
      <c r="AT12">
        <f>IFERROR(INDEX($W$3:$W$94,MATCH(SMALL($AG$3:$AG$94,10),$AG$3:$AG$94,0)),"")</f>
        <v/>
      </c>
      <c r="AU12">
        <f>IFERROR(INDEX($AD$3:$AD$94,MATCH(SMALL($AG$3:$AG$94,10),$AG$3:$AG$94,0)),"")</f>
        <v/>
      </c>
      <c r="AW12">
        <f>IFERROR(SMALL(WSF_CELLS_CURRENT!$N:$N,9),"")</f>
        <v/>
      </c>
      <c r="AX12">
        <f>IF($AW12="","",INDEX(WSF_CELLS_CURRENT!$C:$C,$AW12))</f>
        <v/>
      </c>
      <c r="AY12">
        <f>IF($AW12="","",INDEX(WSF_CELLS_CURRENT!$D:$D,$AW12))</f>
        <v/>
      </c>
      <c r="AZ12">
        <f>IF($AW12="","",INDEX(WSF_CELLS_CURRENT!$E:$E,$AW12))</f>
        <v/>
      </c>
    </row>
    <row r="13">
      <c r="A13" t="inlineStr">
        <is>
          <t>Selected quarter</t>
        </is>
      </c>
      <c r="B13">
        <f>IF(B10=0,0,ROUNDUP(MONTH(B10)/3,0))</f>
        <v/>
      </c>
      <c r="W13">
        <f>IFERROR(INDEX(MASTER_AREAS!$B:$B,12)&amp;"","")</f>
        <v/>
      </c>
      <c r="X13">
        <f>IF(OR(W13="",$B$10=0),0,COUNTIFS(DATA_WSF!$A:$A,$B$10,DATA_WSF!$C:$C,W13))</f>
        <v/>
      </c>
      <c r="Y13">
        <f>IF(X13=0,0,SUMIFS(DATA_WSF!$L:$L,DATA_WSF!$A:$A,$B$10,DATA_WSF!$C:$C,W13))</f>
        <v/>
      </c>
      <c r="Z13">
        <f>IF(OR(W13="",$B$10=0),0,SUMIFS(DATA_WSF!$L:$L,DATA_WSF!$A:$A,$B$10-7,DATA_WSF!$C:$C,W13))</f>
        <v/>
      </c>
      <c r="AA13">
        <f>IF(X13=0,0,SUMIFS(DATA_WSF!$E:$E,DATA_WSF!$A:$A,$B$10,DATA_WSF!$C:$C,W13))</f>
        <v/>
      </c>
      <c r="AB13">
        <f>IF(X13=0,0,SUMIFS(DATA_WSF!$F:$F,DATA_WSF!$A:$A,$B$10,DATA_WSF!$C:$C,W13))</f>
        <v/>
      </c>
      <c r="AC13">
        <f>IF(AA13=0,"",AB13/AA13)</f>
        <v/>
      </c>
      <c r="AD13">
        <f>IF(OR(X13=0,Z13=0),"",Y13/Z13-1)</f>
        <v/>
      </c>
      <c r="AE13">
        <f>IF(X13=0,"",Y13+ROW()/1000000)</f>
        <v/>
      </c>
      <c r="AF13">
        <f>IF(AC13="","",AC13+ROW()/1000000000)</f>
        <v/>
      </c>
      <c r="AG13">
        <f>IF(AD13="","",AD13+ROW()/1000000000)</f>
        <v/>
      </c>
      <c r="AW13">
        <f>IFERROR(SMALL(WSF_CELLS_CURRENT!$N:$N,10),"")</f>
        <v/>
      </c>
      <c r="AX13">
        <f>IF($AW13="","",INDEX(WSF_CELLS_CURRENT!$C:$C,$AW13))</f>
        <v/>
      </c>
      <c r="AY13">
        <f>IF($AW13="","",INDEX(WSF_CELLS_CURRENT!$D:$D,$AW13))</f>
        <v/>
      </c>
      <c r="AZ13">
        <f>IF($AW13="","",INDEX(WSF_CELLS_CURRENT!$E:$E,$AW13))</f>
        <v/>
      </c>
    </row>
    <row r="14">
      <c r="A14" t="inlineStr">
        <is>
          <t>Selected year</t>
        </is>
      </c>
      <c r="B14">
        <f>IF(B10=0,0,YEAR(B10))</f>
        <v/>
      </c>
      <c r="W14">
        <f>IFERROR(INDEX(MASTER_AREAS!$B:$B,13)&amp;"","")</f>
        <v/>
      </c>
      <c r="X14">
        <f>IF(OR(W14="",$B$10=0),0,COUNTIFS(DATA_WSF!$A:$A,$B$10,DATA_WSF!$C:$C,W14))</f>
        <v/>
      </c>
      <c r="Y14">
        <f>IF(X14=0,0,SUMIFS(DATA_WSF!$L:$L,DATA_WSF!$A:$A,$B$10,DATA_WSF!$C:$C,W14))</f>
        <v/>
      </c>
      <c r="Z14">
        <f>IF(OR(W14="",$B$10=0),0,SUMIFS(DATA_WSF!$L:$L,DATA_WSF!$A:$A,$B$10-7,DATA_WSF!$C:$C,W14))</f>
        <v/>
      </c>
      <c r="AA14">
        <f>IF(X14=0,0,SUMIFS(DATA_WSF!$E:$E,DATA_WSF!$A:$A,$B$10,DATA_WSF!$C:$C,W14))</f>
        <v/>
      </c>
      <c r="AB14">
        <f>IF(X14=0,0,SUMIFS(DATA_WSF!$F:$F,DATA_WSF!$A:$A,$B$10,DATA_WSF!$C:$C,W14))</f>
        <v/>
      </c>
      <c r="AC14">
        <f>IF(AA14=0,"",AB14/AA14)</f>
        <v/>
      </c>
      <c r="AD14">
        <f>IF(OR(X14=0,Z14=0),"",Y14/Z14-1)</f>
        <v/>
      </c>
      <c r="AE14">
        <f>IF(X14=0,"",Y14+ROW()/1000000)</f>
        <v/>
      </c>
      <c r="AF14">
        <f>IF(AC14="","",AC14+ROW()/1000000000)</f>
        <v/>
      </c>
      <c r="AG14">
        <f>IF(AD14="","",AD14+ROW()/1000000000)</f>
        <v/>
      </c>
      <c r="AW14">
        <f>IFERROR(SMALL(WSF_CELLS_CURRENT!$N:$N,11),"")</f>
        <v/>
      </c>
      <c r="AX14">
        <f>IF($AW14="","",INDEX(WSF_CELLS_CURRENT!$C:$C,$AW14))</f>
        <v/>
      </c>
      <c r="AY14">
        <f>IF($AW14="","",INDEX(WSF_CELLS_CURRENT!$D:$D,$AW14))</f>
        <v/>
      </c>
      <c r="AZ14">
        <f>IF($AW14="","",INDEX(WSF_CELLS_CURRENT!$E:$E,$AW14))</f>
        <v/>
      </c>
    </row>
    <row r="15">
      <c r="A15" t="inlineStr">
        <is>
          <t>Any WSF data</t>
        </is>
      </c>
      <c r="B15">
        <f>B9&gt;0</f>
        <v/>
      </c>
      <c r="W15">
        <f>IFERROR(INDEX(MASTER_AREAS!$B:$B,14)&amp;"","")</f>
        <v/>
      </c>
      <c r="X15">
        <f>IF(OR(W15="",$B$10=0),0,COUNTIFS(DATA_WSF!$A:$A,$B$10,DATA_WSF!$C:$C,W15))</f>
        <v/>
      </c>
      <c r="Y15">
        <f>IF(X15=0,0,SUMIFS(DATA_WSF!$L:$L,DATA_WSF!$A:$A,$B$10,DATA_WSF!$C:$C,W15))</f>
        <v/>
      </c>
      <c r="Z15">
        <f>IF(OR(W15="",$B$10=0),0,SUMIFS(DATA_WSF!$L:$L,DATA_WSF!$A:$A,$B$10-7,DATA_WSF!$C:$C,W15))</f>
        <v/>
      </c>
      <c r="AA15">
        <f>IF(X15=0,0,SUMIFS(DATA_WSF!$E:$E,DATA_WSF!$A:$A,$B$10,DATA_WSF!$C:$C,W15))</f>
        <v/>
      </c>
      <c r="AB15">
        <f>IF(X15=0,0,SUMIFS(DATA_WSF!$F:$F,DATA_WSF!$A:$A,$B$10,DATA_WSF!$C:$C,W15))</f>
        <v/>
      </c>
      <c r="AC15">
        <f>IF(AA15=0,"",AB15/AA15)</f>
        <v/>
      </c>
      <c r="AD15">
        <f>IF(OR(X15=0,Z15=0),"",Y15/Z15-1)</f>
        <v/>
      </c>
      <c r="AE15">
        <f>IF(X15=0,"",Y15+ROW()/1000000)</f>
        <v/>
      </c>
      <c r="AF15">
        <f>IF(AC15="","",AC15+ROW()/1000000000)</f>
        <v/>
      </c>
      <c r="AG15">
        <f>IF(AD15="","",AD15+ROW()/1000000000)</f>
        <v/>
      </c>
      <c r="AI15" t="inlineStr">
        <is>
          <t>Selected area rank: attendance</t>
        </is>
      </c>
      <c r="AJ15">
        <f>IF($B$3&lt;&gt;"Area","",IFERROR(COUNTIF($AE$3:$AE$94,"&gt;"&amp;INDEX($AE$3:$AE$94,MATCH($B$4,$W$3:$W$94,0)))+1,""))</f>
        <v/>
      </c>
      <c r="AW15">
        <f>IFERROR(SMALL(WSF_CELLS_CURRENT!$N:$N,12),"")</f>
        <v/>
      </c>
      <c r="AX15">
        <f>IF($AW15="","",INDEX(WSF_CELLS_CURRENT!$C:$C,$AW15))</f>
        <v/>
      </c>
      <c r="AY15">
        <f>IF($AW15="","",INDEX(WSF_CELLS_CURRENT!$D:$D,$AW15))</f>
        <v/>
      </c>
      <c r="AZ15">
        <f>IF($AW15="","",INDEX(WSF_CELLS_CURRENT!$E:$E,$AW15))</f>
        <v/>
      </c>
    </row>
    <row r="16">
      <c r="A16" t="inlineStr">
        <is>
          <t>Scope label</t>
        </is>
      </c>
      <c r="B16">
        <f>IF(B3="Global","All Areas",IF(B3="Area","Area: "&amp;IF(B4="","(none selected)",B4),"Zone: "&amp;IF(B4="","(none selected)",B4&amp;IF(B8="",""," ("&amp;B8&amp;")"))))</f>
        <v/>
      </c>
      <c r="W16">
        <f>IFERROR(INDEX(MASTER_AREAS!$B:$B,15)&amp;"","")</f>
        <v/>
      </c>
      <c r="X16">
        <f>IF(OR(W16="",$B$10=0),0,COUNTIFS(DATA_WSF!$A:$A,$B$10,DATA_WSF!$C:$C,W16))</f>
        <v/>
      </c>
      <c r="Y16">
        <f>IF(X16=0,0,SUMIFS(DATA_WSF!$L:$L,DATA_WSF!$A:$A,$B$10,DATA_WSF!$C:$C,W16))</f>
        <v/>
      </c>
      <c r="Z16">
        <f>IF(OR(W16="",$B$10=0),0,SUMIFS(DATA_WSF!$L:$L,DATA_WSF!$A:$A,$B$10-7,DATA_WSF!$C:$C,W16))</f>
        <v/>
      </c>
      <c r="AA16">
        <f>IF(X16=0,0,SUMIFS(DATA_WSF!$E:$E,DATA_WSF!$A:$A,$B$10,DATA_WSF!$C:$C,W16))</f>
        <v/>
      </c>
      <c r="AB16">
        <f>IF(X16=0,0,SUMIFS(DATA_WSF!$F:$F,DATA_WSF!$A:$A,$B$10,DATA_WSF!$C:$C,W16))</f>
        <v/>
      </c>
      <c r="AC16">
        <f>IF(AA16=0,"",AB16/AA16)</f>
        <v/>
      </c>
      <c r="AD16">
        <f>IF(OR(X16=0,Z16=0),"",Y16/Z16-1)</f>
        <v/>
      </c>
      <c r="AE16">
        <f>IF(X16=0,"",Y16+ROW()/1000000)</f>
        <v/>
      </c>
      <c r="AF16">
        <f>IF(AC16="","",AC16+ROW()/1000000000)</f>
        <v/>
      </c>
      <c r="AG16">
        <f>IF(AD16="","",AD16+ROW()/1000000000)</f>
        <v/>
      </c>
      <c r="AI16" t="inlineStr">
        <is>
          <t>% reporting</t>
        </is>
      </c>
      <c r="AJ16">
        <f>IF($B$3&lt;&gt;"Area","",IFERROR(COUNTIF($AF$3:$AF$94,"&gt;"&amp;INDEX($AF$3:$AF$94,MATCH($B$4,$W$3:$W$94,0)))+1,""))</f>
        <v/>
      </c>
      <c r="AW16">
        <f>IFERROR(SMALL(WSF_CELLS_CURRENT!$N:$N,13),"")</f>
        <v/>
      </c>
      <c r="AX16">
        <f>IF($AW16="","",INDEX(WSF_CELLS_CURRENT!$C:$C,$AW16))</f>
        <v/>
      </c>
      <c r="AY16">
        <f>IF($AW16="","",INDEX(WSF_CELLS_CURRENT!$D:$D,$AW16))</f>
        <v/>
      </c>
      <c r="AZ16">
        <f>IF($AW16="","",INDEX(WSF_CELLS_CURRENT!$E:$E,$AW16))</f>
        <v/>
      </c>
    </row>
    <row r="17">
      <c r="A17" t="inlineStr">
        <is>
          <t>Zones with zero cells reporting</t>
        </is>
      </c>
      <c r="B17">
        <f>IF(B10=0,0,COUNTIFS(DATA_WSF!$A:$A,B10,DATA_WSF!$C:$C,B6,DATA_WSF!$D:$D,B7,DATA_WSF!$F:$F,0))</f>
        <v/>
      </c>
      <c r="W17">
        <f>IFERROR(INDEX(MASTER_AREAS!$B:$B,16)&amp;"","")</f>
        <v/>
      </c>
      <c r="X17">
        <f>IF(OR(W17="",$B$10=0),0,COUNTIFS(DATA_WSF!$A:$A,$B$10,DATA_WSF!$C:$C,W17))</f>
        <v/>
      </c>
      <c r="Y17">
        <f>IF(X17=0,0,SUMIFS(DATA_WSF!$L:$L,DATA_WSF!$A:$A,$B$10,DATA_WSF!$C:$C,W17))</f>
        <v/>
      </c>
      <c r="Z17">
        <f>IF(OR(W17="",$B$10=0),0,SUMIFS(DATA_WSF!$L:$L,DATA_WSF!$A:$A,$B$10-7,DATA_WSF!$C:$C,W17))</f>
        <v/>
      </c>
      <c r="AA17">
        <f>IF(X17=0,0,SUMIFS(DATA_WSF!$E:$E,DATA_WSF!$A:$A,$B$10,DATA_WSF!$C:$C,W17))</f>
        <v/>
      </c>
      <c r="AB17">
        <f>IF(X17=0,0,SUMIFS(DATA_WSF!$F:$F,DATA_WSF!$A:$A,$B$10,DATA_WSF!$C:$C,W17))</f>
        <v/>
      </c>
      <c r="AC17">
        <f>IF(AA17=0,"",AB17/AA17)</f>
        <v/>
      </c>
      <c r="AD17">
        <f>IF(OR(X17=0,Z17=0),"",Y17/Z17-1)</f>
        <v/>
      </c>
      <c r="AE17">
        <f>IF(X17=0,"",Y17+ROW()/1000000)</f>
        <v/>
      </c>
      <c r="AF17">
        <f>IF(AC17="","",AC17+ROW()/1000000000)</f>
        <v/>
      </c>
      <c r="AG17">
        <f>IF(AD17="","",AD17+ROW()/1000000000)</f>
        <v/>
      </c>
      <c r="AI17" t="inlineStr">
        <is>
          <t>growth</t>
        </is>
      </c>
      <c r="AJ17">
        <f>IF($B$3&lt;&gt;"Area","",IFERROR(COUNTIF($AG$3:$AG$94,"&gt;"&amp;INDEX($AG$3:$AG$94,MATCH($B$4,$W$3:$W$94,0)))+1,""))</f>
        <v/>
      </c>
      <c r="AW17">
        <f>IFERROR(SMALL(WSF_CELLS_CURRENT!$N:$N,14),"")</f>
        <v/>
      </c>
      <c r="AX17">
        <f>IF($AW17="","",INDEX(WSF_CELLS_CURRENT!$C:$C,$AW17))</f>
        <v/>
      </c>
      <c r="AY17">
        <f>IF($AW17="","",INDEX(WSF_CELLS_CURRENT!$D:$D,$AW17))</f>
        <v/>
      </c>
      <c r="AZ17">
        <f>IF($AW17="","",INDEX(WSF_CELLS_CURRENT!$E:$E,$AW17))</f>
        <v/>
      </c>
    </row>
    <row r="18">
      <c r="W18">
        <f>IFERROR(INDEX(MASTER_AREAS!$B:$B,17)&amp;"","")</f>
        <v/>
      </c>
      <c r="X18">
        <f>IF(OR(W18="",$B$10=0),0,COUNTIFS(DATA_WSF!$A:$A,$B$10,DATA_WSF!$C:$C,W18))</f>
        <v/>
      </c>
      <c r="Y18">
        <f>IF(X18=0,0,SUMIFS(DATA_WSF!$L:$L,DATA_WSF!$A:$A,$B$10,DATA_WSF!$C:$C,W18))</f>
        <v/>
      </c>
      <c r="Z18">
        <f>IF(OR(W18="",$B$10=0),0,SUMIFS(DATA_WSF!$L:$L,DATA_WSF!$A:$A,$B$10-7,DATA_WSF!$C:$C,W18))</f>
        <v/>
      </c>
      <c r="AA18">
        <f>IF(X18=0,0,SUMIFS(DATA_WSF!$E:$E,DATA_WSF!$A:$A,$B$10,DATA_WSF!$C:$C,W18))</f>
        <v/>
      </c>
      <c r="AB18">
        <f>IF(X18=0,0,SUMIFS(DATA_WSF!$F:$F,DATA_WSF!$A:$A,$B$10,DATA_WSF!$C:$C,W18))</f>
        <v/>
      </c>
      <c r="AC18">
        <f>IF(AA18=0,"",AB18/AA18)</f>
        <v/>
      </c>
      <c r="AD18">
        <f>IF(OR(X18=0,Z18=0),"",Y18/Z18-1)</f>
        <v/>
      </c>
      <c r="AE18">
        <f>IF(X18=0,"",Y18+ROW()/1000000)</f>
        <v/>
      </c>
      <c r="AF18">
        <f>IF(AC18="","",AC18+ROW()/1000000000)</f>
        <v/>
      </c>
      <c r="AG18">
        <f>IF(AD18="","",AD18+ROW()/1000000000)</f>
        <v/>
      </c>
      <c r="AI18" t="inlineStr">
        <is>
          <t>Areas ranked</t>
        </is>
      </c>
      <c r="AJ18">
        <f>COUNT($AE$3:$AE$94)</f>
        <v/>
      </c>
      <c r="AW18">
        <f>IFERROR(SMALL(WSF_CELLS_CURRENT!$N:$N,15),"")</f>
        <v/>
      </c>
      <c r="AX18">
        <f>IF($AW18="","",INDEX(WSF_CELLS_CURRENT!$C:$C,$AW18))</f>
        <v/>
      </c>
      <c r="AY18">
        <f>IF($AW18="","",INDEX(WSF_CELLS_CURRENT!$D:$D,$AW18))</f>
        <v/>
      </c>
      <c r="AZ18">
        <f>IF($AW18="","",INDEX(WSF_CELLS_CURRENT!$E:$E,$AW18))</f>
        <v/>
      </c>
    </row>
    <row r="19">
      <c r="W19">
        <f>IFERROR(INDEX(MASTER_AREAS!$B:$B,18)&amp;"","")</f>
        <v/>
      </c>
      <c r="X19">
        <f>IF(OR(W19="",$B$10=0),0,COUNTIFS(DATA_WSF!$A:$A,$B$10,DATA_WSF!$C:$C,W19))</f>
        <v/>
      </c>
      <c r="Y19">
        <f>IF(X19=0,0,SUMIFS(DATA_WSF!$L:$L,DATA_WSF!$A:$A,$B$10,DATA_WSF!$C:$C,W19))</f>
        <v/>
      </c>
      <c r="Z19">
        <f>IF(OR(W19="",$B$10=0),0,SUMIFS(DATA_WSF!$L:$L,DATA_WSF!$A:$A,$B$10-7,DATA_WSF!$C:$C,W19))</f>
        <v/>
      </c>
      <c r="AA19">
        <f>IF(X19=0,0,SUMIFS(DATA_WSF!$E:$E,DATA_WSF!$A:$A,$B$10,DATA_WSF!$C:$C,W19))</f>
        <v/>
      </c>
      <c r="AB19">
        <f>IF(X19=0,0,SUMIFS(DATA_WSF!$F:$F,DATA_WSF!$A:$A,$B$10,DATA_WSF!$C:$C,W19))</f>
        <v/>
      </c>
      <c r="AC19">
        <f>IF(AA19=0,"",AB19/AA19)</f>
        <v/>
      </c>
      <c r="AD19">
        <f>IF(OR(X19=0,Z19=0),"",Y19/Z19-1)</f>
        <v/>
      </c>
      <c r="AE19">
        <f>IF(X19=0,"",Y19+ROW()/1000000)</f>
        <v/>
      </c>
      <c r="AF19">
        <f>IF(AC19="","",AC19+ROW()/1000000000)</f>
        <v/>
      </c>
      <c r="AG19">
        <f>IF(AD19="","",AD19+ROW()/1000000000)</f>
        <v/>
      </c>
      <c r="AW19">
        <f>IFERROR(SMALL(WSF_CELLS_CURRENT!$N:$N,16),"")</f>
        <v/>
      </c>
      <c r="AX19">
        <f>IF($AW19="","",INDEX(WSF_CELLS_CURRENT!$C:$C,$AW19))</f>
        <v/>
      </c>
      <c r="AY19">
        <f>IF($AW19="","",INDEX(WSF_CELLS_CURRENT!$D:$D,$AW19))</f>
        <v/>
      </c>
      <c r="AZ19">
        <f>IF($AW19="","",INDEX(WSF_CELLS_CURRENT!$E:$E,$AW19))</f>
        <v/>
      </c>
    </row>
    <row r="20">
      <c r="A20" s="187" t="inlineStr">
        <is>
          <t>k</t>
        </is>
      </c>
      <c r="B20" s="187" t="inlineStr">
        <is>
          <t>Week</t>
        </is>
      </c>
      <c r="C20" s="187" t="inlineStr">
        <is>
          <t>Month</t>
        </is>
      </c>
      <c r="D20" s="187" t="inlineStr">
        <is>
          <t>Quarter</t>
        </is>
      </c>
      <c r="E20" s="187" t="inlineStr">
        <is>
          <t>Year</t>
        </is>
      </c>
      <c r="F20" s="187" t="inlineStr">
        <is>
          <t>Rows</t>
        </is>
      </c>
      <c r="G20" s="187" t="inlineStr">
        <is>
          <t>Male</t>
        </is>
      </c>
      <c r="H20" s="187" t="inlineStr">
        <is>
          <t>Female</t>
        </is>
      </c>
      <c r="I20" s="187" t="inlineStr">
        <is>
          <t>Children</t>
        </is>
      </c>
      <c r="J20" s="187" t="inlineStr">
        <is>
          <t>Adult</t>
        </is>
      </c>
      <c r="K20" s="187" t="inlineStr">
        <is>
          <t>Grand</t>
        </is>
      </c>
      <c r="L20" s="187" t="inlineStr">
        <is>
          <t>Cells total</t>
        </is>
      </c>
      <c r="M20" s="187" t="inlineStr">
        <is>
          <t>Cells reported</t>
        </is>
      </c>
      <c r="N20" s="187" t="inlineStr">
        <is>
          <t>Not reported</t>
        </is>
      </c>
      <c r="O20" s="187" t="inlineStr">
        <is>
          <t>% reporting</t>
        </is>
      </c>
      <c r="P20" s="187" t="inlineStr">
        <is>
          <t>Avg / cell</t>
        </is>
      </c>
      <c r="Q20" s="187" t="inlineStr">
        <is>
          <t>Has data</t>
        </is>
      </c>
      <c r="R20" s="187" t="inlineStr">
        <is>
          <t>In window</t>
        </is>
      </c>
      <c r="S20" s="187" t="inlineStr">
        <is>
          <t>In MTD</t>
        </is>
      </c>
      <c r="T20" s="187" t="inlineStr">
        <is>
          <t>In QTD</t>
        </is>
      </c>
      <c r="U20" s="187" t="inlineStr">
        <is>
          <t>In YTD</t>
        </is>
      </c>
      <c r="W20">
        <f>IFERROR(INDEX(MASTER_AREAS!$B:$B,19)&amp;"","")</f>
        <v/>
      </c>
      <c r="X20">
        <f>IF(OR(W20="",$B$10=0),0,COUNTIFS(DATA_WSF!$A:$A,$B$10,DATA_WSF!$C:$C,W20))</f>
        <v/>
      </c>
      <c r="Y20">
        <f>IF(X20=0,0,SUMIFS(DATA_WSF!$L:$L,DATA_WSF!$A:$A,$B$10,DATA_WSF!$C:$C,W20))</f>
        <v/>
      </c>
      <c r="Z20">
        <f>IF(OR(W20="",$B$10=0),0,SUMIFS(DATA_WSF!$L:$L,DATA_WSF!$A:$A,$B$10-7,DATA_WSF!$C:$C,W20))</f>
        <v/>
      </c>
      <c r="AA20">
        <f>IF(X20=0,0,SUMIFS(DATA_WSF!$E:$E,DATA_WSF!$A:$A,$B$10,DATA_WSF!$C:$C,W20))</f>
        <v/>
      </c>
      <c r="AB20">
        <f>IF(X20=0,0,SUMIFS(DATA_WSF!$F:$F,DATA_WSF!$A:$A,$B$10,DATA_WSF!$C:$C,W20))</f>
        <v/>
      </c>
      <c r="AC20">
        <f>IF(AA20=0,"",AB20/AA20)</f>
        <v/>
      </c>
      <c r="AD20">
        <f>IF(OR(X20=0,Z20=0),"",Y20/Z20-1)</f>
        <v/>
      </c>
      <c r="AE20">
        <f>IF(X20=0,"",Y20+ROW()/1000000)</f>
        <v/>
      </c>
      <c r="AF20">
        <f>IF(AC20="","",AC20+ROW()/1000000000)</f>
        <v/>
      </c>
      <c r="AG20">
        <f>IF(AD20="","",AD20+ROW()/1000000000)</f>
        <v/>
      </c>
      <c r="AW20">
        <f>IFERROR(SMALL(WSF_CELLS_CURRENT!$N:$N,17),"")</f>
        <v/>
      </c>
      <c r="AX20">
        <f>IF($AW20="","",INDEX(WSF_CELLS_CURRENT!$C:$C,$AW20))</f>
        <v/>
      </c>
      <c r="AY20">
        <f>IF($AW20="","",INDEX(WSF_CELLS_CURRENT!$D:$D,$AW20))</f>
        <v/>
      </c>
      <c r="AZ20">
        <f>IF($AW20="","",INDEX(WSF_CELLS_CURRENT!$E:$E,$AW20))</f>
        <v/>
      </c>
    </row>
    <row r="21">
      <c r="A21" t="n">
        <v>0</v>
      </c>
      <c r="B21" s="170">
        <f>IF($B$10=0,"",$B$10-7*A21)</f>
        <v/>
      </c>
      <c r="C21">
        <f>IF(B21="","",MONTH(B21))</f>
        <v/>
      </c>
      <c r="D21">
        <f>IF(B21="","",ROUNDUP(MONTH(B21)/3,0))</f>
        <v/>
      </c>
      <c r="E21">
        <f>IF(B21="","",YEAR(B21))</f>
        <v/>
      </c>
      <c r="F21">
        <f>IF(B21="",0,COUNTIFS(DATA_WSF!$A:$A,B21,DATA_WSF!$C:$C,$B$6,DATA_WSF!$D:$D,$B$7))</f>
        <v/>
      </c>
      <c r="G21">
        <f>IF(F21=0,0,SUMIFS(DATA_WSF!$H:$H,DATA_WSF!$A:$A,B21,DATA_WSF!$C:$C,$B$6,DATA_WSF!$D:$D,$B$7))</f>
        <v/>
      </c>
      <c r="H21">
        <f>IF(F21=0,0,SUMIFS(DATA_WSF!$I:$I,DATA_WSF!$A:$A,B21,DATA_WSF!$C:$C,$B$6,DATA_WSF!$D:$D,$B$7))</f>
        <v/>
      </c>
      <c r="I21">
        <f>IF(F21=0,0,SUMIFS(DATA_WSF!$K:$K,DATA_WSF!$A:$A,B21,DATA_WSF!$C:$C,$B$6,DATA_WSF!$D:$D,$B$7))</f>
        <v/>
      </c>
      <c r="J21">
        <f>G21+H21</f>
        <v/>
      </c>
      <c r="K21">
        <f>J21+I21</f>
        <v/>
      </c>
      <c r="L21">
        <f>IF(F21=0,0,SUMIFS(DATA_WSF!$E:$E,DATA_WSF!$A:$A,B21,DATA_WSF!$C:$C,$B$6,DATA_WSF!$D:$D,$B$7))</f>
        <v/>
      </c>
      <c r="M21">
        <f>IF(F21=0,0,SUMIFS(DATA_WSF!$F:$F,DATA_WSF!$A:$A,B21,DATA_WSF!$C:$C,$B$6,DATA_WSF!$D:$D,$B$7))</f>
        <v/>
      </c>
      <c r="N21">
        <f>L21-M21</f>
        <v/>
      </c>
      <c r="O21">
        <f>IF(L21=0,0,M21/L21)</f>
        <v/>
      </c>
      <c r="P21">
        <f>IF(M21=0,0,K21/M21)</f>
        <v/>
      </c>
      <c r="Q21">
        <f>IF(F21&gt;0,1,0)</f>
        <v/>
      </c>
      <c r="R21">
        <f>IF(AND(A21&gt;=1,A21&lt;=$B$11),Q21,0)</f>
        <v/>
      </c>
      <c r="S21">
        <f>IF(AND(C21=$B$12,E21=$B$14),Q21,0)</f>
        <v/>
      </c>
      <c r="T21">
        <f>IF(AND(D21=$B$13,E21=$B$14),Q21,0)</f>
        <v/>
      </c>
      <c r="U21">
        <f>IF(E21=$B$14,Q21,0)</f>
        <v/>
      </c>
      <c r="W21">
        <f>IFERROR(INDEX(MASTER_AREAS!$B:$B,20)&amp;"","")</f>
        <v/>
      </c>
      <c r="X21">
        <f>IF(OR(W21="",$B$10=0),0,COUNTIFS(DATA_WSF!$A:$A,$B$10,DATA_WSF!$C:$C,W21))</f>
        <v/>
      </c>
      <c r="Y21">
        <f>IF(X21=0,0,SUMIFS(DATA_WSF!$L:$L,DATA_WSF!$A:$A,$B$10,DATA_WSF!$C:$C,W21))</f>
        <v/>
      </c>
      <c r="Z21">
        <f>IF(OR(W21="",$B$10=0),0,SUMIFS(DATA_WSF!$L:$L,DATA_WSF!$A:$A,$B$10-7,DATA_WSF!$C:$C,W21))</f>
        <v/>
      </c>
      <c r="AA21">
        <f>IF(X21=0,0,SUMIFS(DATA_WSF!$E:$E,DATA_WSF!$A:$A,$B$10,DATA_WSF!$C:$C,W21))</f>
        <v/>
      </c>
      <c r="AB21">
        <f>IF(X21=0,0,SUMIFS(DATA_WSF!$F:$F,DATA_WSF!$A:$A,$B$10,DATA_WSF!$C:$C,W21))</f>
        <v/>
      </c>
      <c r="AC21">
        <f>IF(AA21=0,"",AB21/AA21)</f>
        <v/>
      </c>
      <c r="AD21">
        <f>IF(OR(X21=0,Z21=0),"",Y21/Z21-1)</f>
        <v/>
      </c>
      <c r="AE21">
        <f>IF(X21=0,"",Y21+ROW()/1000000)</f>
        <v/>
      </c>
      <c r="AF21">
        <f>IF(AC21="","",AC21+ROW()/1000000000)</f>
        <v/>
      </c>
      <c r="AG21">
        <f>IF(AD21="","",AD21+ROW()/1000000000)</f>
        <v/>
      </c>
      <c r="AW21">
        <f>IFERROR(SMALL(WSF_CELLS_CURRENT!$N:$N,18),"")</f>
        <v/>
      </c>
      <c r="AX21">
        <f>IF($AW21="","",INDEX(WSF_CELLS_CURRENT!$C:$C,$AW21))</f>
        <v/>
      </c>
      <c r="AY21">
        <f>IF($AW21="","",INDEX(WSF_CELLS_CURRENT!$D:$D,$AW21))</f>
        <v/>
      </c>
      <c r="AZ21">
        <f>IF($AW21="","",INDEX(WSF_CELLS_CURRENT!$E:$E,$AW21))</f>
        <v/>
      </c>
    </row>
    <row r="22">
      <c r="A22" t="n">
        <v>1</v>
      </c>
      <c r="B22" s="170">
        <f>IF($B$10=0,"",$B$10-7*A22)</f>
        <v/>
      </c>
      <c r="C22">
        <f>IF(B22="","",MONTH(B22))</f>
        <v/>
      </c>
      <c r="D22">
        <f>IF(B22="","",ROUNDUP(MONTH(B22)/3,0))</f>
        <v/>
      </c>
      <c r="E22">
        <f>IF(B22="","",YEAR(B22))</f>
        <v/>
      </c>
      <c r="F22">
        <f>IF(B22="",0,COUNTIFS(DATA_WSF!$A:$A,B22,DATA_WSF!$C:$C,$B$6,DATA_WSF!$D:$D,$B$7))</f>
        <v/>
      </c>
      <c r="G22">
        <f>IF(F22=0,0,SUMIFS(DATA_WSF!$H:$H,DATA_WSF!$A:$A,B22,DATA_WSF!$C:$C,$B$6,DATA_WSF!$D:$D,$B$7))</f>
        <v/>
      </c>
      <c r="H22">
        <f>IF(F22=0,0,SUMIFS(DATA_WSF!$I:$I,DATA_WSF!$A:$A,B22,DATA_WSF!$C:$C,$B$6,DATA_WSF!$D:$D,$B$7))</f>
        <v/>
      </c>
      <c r="I22">
        <f>IF(F22=0,0,SUMIFS(DATA_WSF!$K:$K,DATA_WSF!$A:$A,B22,DATA_WSF!$C:$C,$B$6,DATA_WSF!$D:$D,$B$7))</f>
        <v/>
      </c>
      <c r="J22">
        <f>G22+H22</f>
        <v/>
      </c>
      <c r="K22">
        <f>J22+I22</f>
        <v/>
      </c>
      <c r="L22">
        <f>IF(F22=0,0,SUMIFS(DATA_WSF!$E:$E,DATA_WSF!$A:$A,B22,DATA_WSF!$C:$C,$B$6,DATA_WSF!$D:$D,$B$7))</f>
        <v/>
      </c>
      <c r="M22">
        <f>IF(F22=0,0,SUMIFS(DATA_WSF!$F:$F,DATA_WSF!$A:$A,B22,DATA_WSF!$C:$C,$B$6,DATA_WSF!$D:$D,$B$7))</f>
        <v/>
      </c>
      <c r="N22">
        <f>L22-M22</f>
        <v/>
      </c>
      <c r="O22">
        <f>IF(L22=0,0,M22/L22)</f>
        <v/>
      </c>
      <c r="P22">
        <f>IF(M22=0,0,K22/M22)</f>
        <v/>
      </c>
      <c r="Q22">
        <f>IF(F22&gt;0,1,0)</f>
        <v/>
      </c>
      <c r="R22">
        <f>IF(AND(A22&gt;=1,A22&lt;=$B$11),Q22,0)</f>
        <v/>
      </c>
      <c r="S22">
        <f>IF(AND(C22=$B$12,E22=$B$14),Q22,0)</f>
        <v/>
      </c>
      <c r="T22">
        <f>IF(AND(D22=$B$13,E22=$B$14),Q22,0)</f>
        <v/>
      </c>
      <c r="U22">
        <f>IF(E22=$B$14,Q22,0)</f>
        <v/>
      </c>
      <c r="W22">
        <f>IFERROR(INDEX(MASTER_AREAS!$B:$B,21)&amp;"","")</f>
        <v/>
      </c>
      <c r="X22">
        <f>IF(OR(W22="",$B$10=0),0,COUNTIFS(DATA_WSF!$A:$A,$B$10,DATA_WSF!$C:$C,W22))</f>
        <v/>
      </c>
      <c r="Y22">
        <f>IF(X22=0,0,SUMIFS(DATA_WSF!$L:$L,DATA_WSF!$A:$A,$B$10,DATA_WSF!$C:$C,W22))</f>
        <v/>
      </c>
      <c r="Z22">
        <f>IF(OR(W22="",$B$10=0),0,SUMIFS(DATA_WSF!$L:$L,DATA_WSF!$A:$A,$B$10-7,DATA_WSF!$C:$C,W22))</f>
        <v/>
      </c>
      <c r="AA22">
        <f>IF(X22=0,0,SUMIFS(DATA_WSF!$E:$E,DATA_WSF!$A:$A,$B$10,DATA_WSF!$C:$C,W22))</f>
        <v/>
      </c>
      <c r="AB22">
        <f>IF(X22=0,0,SUMIFS(DATA_WSF!$F:$F,DATA_WSF!$A:$A,$B$10,DATA_WSF!$C:$C,W22))</f>
        <v/>
      </c>
      <c r="AC22">
        <f>IF(AA22=0,"",AB22/AA22)</f>
        <v/>
      </c>
      <c r="AD22">
        <f>IF(OR(X22=0,Z22=0),"",Y22/Z22-1)</f>
        <v/>
      </c>
      <c r="AE22">
        <f>IF(X22=0,"",Y22+ROW()/1000000)</f>
        <v/>
      </c>
      <c r="AF22">
        <f>IF(AC22="","",AC22+ROW()/1000000000)</f>
        <v/>
      </c>
      <c r="AG22">
        <f>IF(AD22="","",AD22+ROW()/1000000000)</f>
        <v/>
      </c>
      <c r="AW22">
        <f>IFERROR(SMALL(WSF_CELLS_CURRENT!$N:$N,19),"")</f>
        <v/>
      </c>
      <c r="AX22">
        <f>IF($AW22="","",INDEX(WSF_CELLS_CURRENT!$C:$C,$AW22))</f>
        <v/>
      </c>
      <c r="AY22">
        <f>IF($AW22="","",INDEX(WSF_CELLS_CURRENT!$D:$D,$AW22))</f>
        <v/>
      </c>
      <c r="AZ22">
        <f>IF($AW22="","",INDEX(WSF_CELLS_CURRENT!$E:$E,$AW22))</f>
        <v/>
      </c>
    </row>
    <row r="23">
      <c r="A23" t="n">
        <v>2</v>
      </c>
      <c r="B23" s="170">
        <f>IF($B$10=0,"",$B$10-7*A23)</f>
        <v/>
      </c>
      <c r="C23">
        <f>IF(B23="","",MONTH(B23))</f>
        <v/>
      </c>
      <c r="D23">
        <f>IF(B23="","",ROUNDUP(MONTH(B23)/3,0))</f>
        <v/>
      </c>
      <c r="E23">
        <f>IF(B23="","",YEAR(B23))</f>
        <v/>
      </c>
      <c r="F23">
        <f>IF(B23="",0,COUNTIFS(DATA_WSF!$A:$A,B23,DATA_WSF!$C:$C,$B$6,DATA_WSF!$D:$D,$B$7))</f>
        <v/>
      </c>
      <c r="G23">
        <f>IF(F23=0,0,SUMIFS(DATA_WSF!$H:$H,DATA_WSF!$A:$A,B23,DATA_WSF!$C:$C,$B$6,DATA_WSF!$D:$D,$B$7))</f>
        <v/>
      </c>
      <c r="H23">
        <f>IF(F23=0,0,SUMIFS(DATA_WSF!$I:$I,DATA_WSF!$A:$A,B23,DATA_WSF!$C:$C,$B$6,DATA_WSF!$D:$D,$B$7))</f>
        <v/>
      </c>
      <c r="I23">
        <f>IF(F23=0,0,SUMIFS(DATA_WSF!$K:$K,DATA_WSF!$A:$A,B23,DATA_WSF!$C:$C,$B$6,DATA_WSF!$D:$D,$B$7))</f>
        <v/>
      </c>
      <c r="J23">
        <f>G23+H23</f>
        <v/>
      </c>
      <c r="K23">
        <f>J23+I23</f>
        <v/>
      </c>
      <c r="L23">
        <f>IF(F23=0,0,SUMIFS(DATA_WSF!$E:$E,DATA_WSF!$A:$A,B23,DATA_WSF!$C:$C,$B$6,DATA_WSF!$D:$D,$B$7))</f>
        <v/>
      </c>
      <c r="M23">
        <f>IF(F23=0,0,SUMIFS(DATA_WSF!$F:$F,DATA_WSF!$A:$A,B23,DATA_WSF!$C:$C,$B$6,DATA_WSF!$D:$D,$B$7))</f>
        <v/>
      </c>
      <c r="N23">
        <f>L23-M23</f>
        <v/>
      </c>
      <c r="O23">
        <f>IF(L23=0,0,M23/L23)</f>
        <v/>
      </c>
      <c r="P23">
        <f>IF(M23=0,0,K23/M23)</f>
        <v/>
      </c>
      <c r="Q23">
        <f>IF(F23&gt;0,1,0)</f>
        <v/>
      </c>
      <c r="R23">
        <f>IF(AND(A23&gt;=1,A23&lt;=$B$11),Q23,0)</f>
        <v/>
      </c>
      <c r="S23">
        <f>IF(AND(C23=$B$12,E23=$B$14),Q23,0)</f>
        <v/>
      </c>
      <c r="T23">
        <f>IF(AND(D23=$B$13,E23=$B$14),Q23,0)</f>
        <v/>
      </c>
      <c r="U23">
        <f>IF(E23=$B$14,Q23,0)</f>
        <v/>
      </c>
      <c r="W23">
        <f>IFERROR(INDEX(MASTER_AREAS!$B:$B,22)&amp;"","")</f>
        <v/>
      </c>
      <c r="X23">
        <f>IF(OR(W23="",$B$10=0),0,COUNTIFS(DATA_WSF!$A:$A,$B$10,DATA_WSF!$C:$C,W23))</f>
        <v/>
      </c>
      <c r="Y23">
        <f>IF(X23=0,0,SUMIFS(DATA_WSF!$L:$L,DATA_WSF!$A:$A,$B$10,DATA_WSF!$C:$C,W23))</f>
        <v/>
      </c>
      <c r="Z23">
        <f>IF(OR(W23="",$B$10=0),0,SUMIFS(DATA_WSF!$L:$L,DATA_WSF!$A:$A,$B$10-7,DATA_WSF!$C:$C,W23))</f>
        <v/>
      </c>
      <c r="AA23">
        <f>IF(X23=0,0,SUMIFS(DATA_WSF!$E:$E,DATA_WSF!$A:$A,$B$10,DATA_WSF!$C:$C,W23))</f>
        <v/>
      </c>
      <c r="AB23">
        <f>IF(X23=0,0,SUMIFS(DATA_WSF!$F:$F,DATA_WSF!$A:$A,$B$10,DATA_WSF!$C:$C,W23))</f>
        <v/>
      </c>
      <c r="AC23">
        <f>IF(AA23=0,"",AB23/AA23)</f>
        <v/>
      </c>
      <c r="AD23">
        <f>IF(OR(X23=0,Z23=0),"",Y23/Z23-1)</f>
        <v/>
      </c>
      <c r="AE23">
        <f>IF(X23=0,"",Y23+ROW()/1000000)</f>
        <v/>
      </c>
      <c r="AF23">
        <f>IF(AC23="","",AC23+ROW()/1000000000)</f>
        <v/>
      </c>
      <c r="AG23">
        <f>IF(AD23="","",AD23+ROW()/1000000000)</f>
        <v/>
      </c>
      <c r="AW23">
        <f>IFERROR(SMALL(WSF_CELLS_CURRENT!$N:$N,20),"")</f>
        <v/>
      </c>
      <c r="AX23">
        <f>IF($AW23="","",INDEX(WSF_CELLS_CURRENT!$C:$C,$AW23))</f>
        <v/>
      </c>
      <c r="AY23">
        <f>IF($AW23="","",INDEX(WSF_CELLS_CURRENT!$D:$D,$AW23))</f>
        <v/>
      </c>
      <c r="AZ23">
        <f>IF($AW23="","",INDEX(WSF_CELLS_CURRENT!$E:$E,$AW23))</f>
        <v/>
      </c>
    </row>
    <row r="24">
      <c r="A24" t="n">
        <v>3</v>
      </c>
      <c r="B24" s="170">
        <f>IF($B$10=0,"",$B$10-7*A24)</f>
        <v/>
      </c>
      <c r="C24">
        <f>IF(B24="","",MONTH(B24))</f>
        <v/>
      </c>
      <c r="D24">
        <f>IF(B24="","",ROUNDUP(MONTH(B24)/3,0))</f>
        <v/>
      </c>
      <c r="E24">
        <f>IF(B24="","",YEAR(B24))</f>
        <v/>
      </c>
      <c r="F24">
        <f>IF(B24="",0,COUNTIFS(DATA_WSF!$A:$A,B24,DATA_WSF!$C:$C,$B$6,DATA_WSF!$D:$D,$B$7))</f>
        <v/>
      </c>
      <c r="G24">
        <f>IF(F24=0,0,SUMIFS(DATA_WSF!$H:$H,DATA_WSF!$A:$A,B24,DATA_WSF!$C:$C,$B$6,DATA_WSF!$D:$D,$B$7))</f>
        <v/>
      </c>
      <c r="H24">
        <f>IF(F24=0,0,SUMIFS(DATA_WSF!$I:$I,DATA_WSF!$A:$A,B24,DATA_WSF!$C:$C,$B$6,DATA_WSF!$D:$D,$B$7))</f>
        <v/>
      </c>
      <c r="I24">
        <f>IF(F24=0,0,SUMIFS(DATA_WSF!$K:$K,DATA_WSF!$A:$A,B24,DATA_WSF!$C:$C,$B$6,DATA_WSF!$D:$D,$B$7))</f>
        <v/>
      </c>
      <c r="J24">
        <f>G24+H24</f>
        <v/>
      </c>
      <c r="K24">
        <f>J24+I24</f>
        <v/>
      </c>
      <c r="L24">
        <f>IF(F24=0,0,SUMIFS(DATA_WSF!$E:$E,DATA_WSF!$A:$A,B24,DATA_WSF!$C:$C,$B$6,DATA_WSF!$D:$D,$B$7))</f>
        <v/>
      </c>
      <c r="M24">
        <f>IF(F24=0,0,SUMIFS(DATA_WSF!$F:$F,DATA_WSF!$A:$A,B24,DATA_WSF!$C:$C,$B$6,DATA_WSF!$D:$D,$B$7))</f>
        <v/>
      </c>
      <c r="N24">
        <f>L24-M24</f>
        <v/>
      </c>
      <c r="O24">
        <f>IF(L24=0,0,M24/L24)</f>
        <v/>
      </c>
      <c r="P24">
        <f>IF(M24=0,0,K24/M24)</f>
        <v/>
      </c>
      <c r="Q24">
        <f>IF(F24&gt;0,1,0)</f>
        <v/>
      </c>
      <c r="R24">
        <f>IF(AND(A24&gt;=1,A24&lt;=$B$11),Q24,0)</f>
        <v/>
      </c>
      <c r="S24">
        <f>IF(AND(C24=$B$12,E24=$B$14),Q24,0)</f>
        <v/>
      </c>
      <c r="T24">
        <f>IF(AND(D24=$B$13,E24=$B$14),Q24,0)</f>
        <v/>
      </c>
      <c r="U24">
        <f>IF(E24=$B$14,Q24,0)</f>
        <v/>
      </c>
      <c r="W24">
        <f>IFERROR(INDEX(MASTER_AREAS!$B:$B,23)&amp;"","")</f>
        <v/>
      </c>
      <c r="X24">
        <f>IF(OR(W24="",$B$10=0),0,COUNTIFS(DATA_WSF!$A:$A,$B$10,DATA_WSF!$C:$C,W24))</f>
        <v/>
      </c>
      <c r="Y24">
        <f>IF(X24=0,0,SUMIFS(DATA_WSF!$L:$L,DATA_WSF!$A:$A,$B$10,DATA_WSF!$C:$C,W24))</f>
        <v/>
      </c>
      <c r="Z24">
        <f>IF(OR(W24="",$B$10=0),0,SUMIFS(DATA_WSF!$L:$L,DATA_WSF!$A:$A,$B$10-7,DATA_WSF!$C:$C,W24))</f>
        <v/>
      </c>
      <c r="AA24">
        <f>IF(X24=0,0,SUMIFS(DATA_WSF!$E:$E,DATA_WSF!$A:$A,$B$10,DATA_WSF!$C:$C,W24))</f>
        <v/>
      </c>
      <c r="AB24">
        <f>IF(X24=0,0,SUMIFS(DATA_WSF!$F:$F,DATA_WSF!$A:$A,$B$10,DATA_WSF!$C:$C,W24))</f>
        <v/>
      </c>
      <c r="AC24">
        <f>IF(AA24=0,"",AB24/AA24)</f>
        <v/>
      </c>
      <c r="AD24">
        <f>IF(OR(X24=0,Z24=0),"",Y24/Z24-1)</f>
        <v/>
      </c>
      <c r="AE24">
        <f>IF(X24=0,"",Y24+ROW()/1000000)</f>
        <v/>
      </c>
      <c r="AF24">
        <f>IF(AC24="","",AC24+ROW()/1000000000)</f>
        <v/>
      </c>
      <c r="AG24">
        <f>IF(AD24="","",AD24+ROW()/1000000000)</f>
        <v/>
      </c>
      <c r="AW24">
        <f>IFERROR(SMALL(WSF_CELLS_CURRENT!$N:$N,21),"")</f>
        <v/>
      </c>
      <c r="AX24">
        <f>IF($AW24="","",INDEX(WSF_CELLS_CURRENT!$C:$C,$AW24))</f>
        <v/>
      </c>
      <c r="AY24">
        <f>IF($AW24="","",INDEX(WSF_CELLS_CURRENT!$D:$D,$AW24))</f>
        <v/>
      </c>
      <c r="AZ24">
        <f>IF($AW24="","",INDEX(WSF_CELLS_CURRENT!$E:$E,$AW24))</f>
        <v/>
      </c>
    </row>
    <row r="25">
      <c r="A25" t="n">
        <v>4</v>
      </c>
      <c r="B25" s="170">
        <f>IF($B$10=0,"",$B$10-7*A25)</f>
        <v/>
      </c>
      <c r="C25">
        <f>IF(B25="","",MONTH(B25))</f>
        <v/>
      </c>
      <c r="D25">
        <f>IF(B25="","",ROUNDUP(MONTH(B25)/3,0))</f>
        <v/>
      </c>
      <c r="E25">
        <f>IF(B25="","",YEAR(B25))</f>
        <v/>
      </c>
      <c r="F25">
        <f>IF(B25="",0,COUNTIFS(DATA_WSF!$A:$A,B25,DATA_WSF!$C:$C,$B$6,DATA_WSF!$D:$D,$B$7))</f>
        <v/>
      </c>
      <c r="G25">
        <f>IF(F25=0,0,SUMIFS(DATA_WSF!$H:$H,DATA_WSF!$A:$A,B25,DATA_WSF!$C:$C,$B$6,DATA_WSF!$D:$D,$B$7))</f>
        <v/>
      </c>
      <c r="H25">
        <f>IF(F25=0,0,SUMIFS(DATA_WSF!$I:$I,DATA_WSF!$A:$A,B25,DATA_WSF!$C:$C,$B$6,DATA_WSF!$D:$D,$B$7))</f>
        <v/>
      </c>
      <c r="I25">
        <f>IF(F25=0,0,SUMIFS(DATA_WSF!$K:$K,DATA_WSF!$A:$A,B25,DATA_WSF!$C:$C,$B$6,DATA_WSF!$D:$D,$B$7))</f>
        <v/>
      </c>
      <c r="J25">
        <f>G25+H25</f>
        <v/>
      </c>
      <c r="K25">
        <f>J25+I25</f>
        <v/>
      </c>
      <c r="L25">
        <f>IF(F25=0,0,SUMIFS(DATA_WSF!$E:$E,DATA_WSF!$A:$A,B25,DATA_WSF!$C:$C,$B$6,DATA_WSF!$D:$D,$B$7))</f>
        <v/>
      </c>
      <c r="M25">
        <f>IF(F25=0,0,SUMIFS(DATA_WSF!$F:$F,DATA_WSF!$A:$A,B25,DATA_WSF!$C:$C,$B$6,DATA_WSF!$D:$D,$B$7))</f>
        <v/>
      </c>
      <c r="N25">
        <f>L25-M25</f>
        <v/>
      </c>
      <c r="O25">
        <f>IF(L25=0,0,M25/L25)</f>
        <v/>
      </c>
      <c r="P25">
        <f>IF(M25=0,0,K25/M25)</f>
        <v/>
      </c>
      <c r="Q25">
        <f>IF(F25&gt;0,1,0)</f>
        <v/>
      </c>
      <c r="R25">
        <f>IF(AND(A25&gt;=1,A25&lt;=$B$11),Q25,0)</f>
        <v/>
      </c>
      <c r="S25">
        <f>IF(AND(C25=$B$12,E25=$B$14),Q25,0)</f>
        <v/>
      </c>
      <c r="T25">
        <f>IF(AND(D25=$B$13,E25=$B$14),Q25,0)</f>
        <v/>
      </c>
      <c r="U25">
        <f>IF(E25=$B$14,Q25,0)</f>
        <v/>
      </c>
      <c r="W25">
        <f>IFERROR(INDEX(MASTER_AREAS!$B:$B,24)&amp;"","")</f>
        <v/>
      </c>
      <c r="X25">
        <f>IF(OR(W25="",$B$10=0),0,COUNTIFS(DATA_WSF!$A:$A,$B$10,DATA_WSF!$C:$C,W25))</f>
        <v/>
      </c>
      <c r="Y25">
        <f>IF(X25=0,0,SUMIFS(DATA_WSF!$L:$L,DATA_WSF!$A:$A,$B$10,DATA_WSF!$C:$C,W25))</f>
        <v/>
      </c>
      <c r="Z25">
        <f>IF(OR(W25="",$B$10=0),0,SUMIFS(DATA_WSF!$L:$L,DATA_WSF!$A:$A,$B$10-7,DATA_WSF!$C:$C,W25))</f>
        <v/>
      </c>
      <c r="AA25">
        <f>IF(X25=0,0,SUMIFS(DATA_WSF!$E:$E,DATA_WSF!$A:$A,$B$10,DATA_WSF!$C:$C,W25))</f>
        <v/>
      </c>
      <c r="AB25">
        <f>IF(X25=0,0,SUMIFS(DATA_WSF!$F:$F,DATA_WSF!$A:$A,$B$10,DATA_WSF!$C:$C,W25))</f>
        <v/>
      </c>
      <c r="AC25">
        <f>IF(AA25=0,"",AB25/AA25)</f>
        <v/>
      </c>
      <c r="AD25">
        <f>IF(OR(X25=0,Z25=0),"",Y25/Z25-1)</f>
        <v/>
      </c>
      <c r="AE25">
        <f>IF(X25=0,"",Y25+ROW()/1000000)</f>
        <v/>
      </c>
      <c r="AF25">
        <f>IF(AC25="","",AC25+ROW()/1000000000)</f>
        <v/>
      </c>
      <c r="AG25">
        <f>IF(AD25="","",AD25+ROW()/1000000000)</f>
        <v/>
      </c>
      <c r="AW25">
        <f>IFERROR(SMALL(WSF_CELLS_CURRENT!$N:$N,22),"")</f>
        <v/>
      </c>
      <c r="AX25">
        <f>IF($AW25="","",INDEX(WSF_CELLS_CURRENT!$C:$C,$AW25))</f>
        <v/>
      </c>
      <c r="AY25">
        <f>IF($AW25="","",INDEX(WSF_CELLS_CURRENT!$D:$D,$AW25))</f>
        <v/>
      </c>
      <c r="AZ25">
        <f>IF($AW25="","",INDEX(WSF_CELLS_CURRENT!$E:$E,$AW25))</f>
        <v/>
      </c>
    </row>
    <row r="26">
      <c r="A26" t="n">
        <v>5</v>
      </c>
      <c r="B26" s="170">
        <f>IF($B$10=0,"",$B$10-7*A26)</f>
        <v/>
      </c>
      <c r="C26">
        <f>IF(B26="","",MONTH(B26))</f>
        <v/>
      </c>
      <c r="D26">
        <f>IF(B26="","",ROUNDUP(MONTH(B26)/3,0))</f>
        <v/>
      </c>
      <c r="E26">
        <f>IF(B26="","",YEAR(B26))</f>
        <v/>
      </c>
      <c r="F26">
        <f>IF(B26="",0,COUNTIFS(DATA_WSF!$A:$A,B26,DATA_WSF!$C:$C,$B$6,DATA_WSF!$D:$D,$B$7))</f>
        <v/>
      </c>
      <c r="G26">
        <f>IF(F26=0,0,SUMIFS(DATA_WSF!$H:$H,DATA_WSF!$A:$A,B26,DATA_WSF!$C:$C,$B$6,DATA_WSF!$D:$D,$B$7))</f>
        <v/>
      </c>
      <c r="H26">
        <f>IF(F26=0,0,SUMIFS(DATA_WSF!$I:$I,DATA_WSF!$A:$A,B26,DATA_WSF!$C:$C,$B$6,DATA_WSF!$D:$D,$B$7))</f>
        <v/>
      </c>
      <c r="I26">
        <f>IF(F26=0,0,SUMIFS(DATA_WSF!$K:$K,DATA_WSF!$A:$A,B26,DATA_WSF!$C:$C,$B$6,DATA_WSF!$D:$D,$B$7))</f>
        <v/>
      </c>
      <c r="J26">
        <f>G26+H26</f>
        <v/>
      </c>
      <c r="K26">
        <f>J26+I26</f>
        <v/>
      </c>
      <c r="L26">
        <f>IF(F26=0,0,SUMIFS(DATA_WSF!$E:$E,DATA_WSF!$A:$A,B26,DATA_WSF!$C:$C,$B$6,DATA_WSF!$D:$D,$B$7))</f>
        <v/>
      </c>
      <c r="M26">
        <f>IF(F26=0,0,SUMIFS(DATA_WSF!$F:$F,DATA_WSF!$A:$A,B26,DATA_WSF!$C:$C,$B$6,DATA_WSF!$D:$D,$B$7))</f>
        <v/>
      </c>
      <c r="N26">
        <f>L26-M26</f>
        <v/>
      </c>
      <c r="O26">
        <f>IF(L26=0,0,M26/L26)</f>
        <v/>
      </c>
      <c r="P26">
        <f>IF(M26=0,0,K26/M26)</f>
        <v/>
      </c>
      <c r="Q26">
        <f>IF(F26&gt;0,1,0)</f>
        <v/>
      </c>
      <c r="R26">
        <f>IF(AND(A26&gt;=1,A26&lt;=$B$11),Q26,0)</f>
        <v/>
      </c>
      <c r="S26">
        <f>IF(AND(C26=$B$12,E26=$B$14),Q26,0)</f>
        <v/>
      </c>
      <c r="T26">
        <f>IF(AND(D26=$B$13,E26=$B$14),Q26,0)</f>
        <v/>
      </c>
      <c r="U26">
        <f>IF(E26=$B$14,Q26,0)</f>
        <v/>
      </c>
      <c r="W26">
        <f>IFERROR(INDEX(MASTER_AREAS!$B:$B,25)&amp;"","")</f>
        <v/>
      </c>
      <c r="X26">
        <f>IF(OR(W26="",$B$10=0),0,COUNTIFS(DATA_WSF!$A:$A,$B$10,DATA_WSF!$C:$C,W26))</f>
        <v/>
      </c>
      <c r="Y26">
        <f>IF(X26=0,0,SUMIFS(DATA_WSF!$L:$L,DATA_WSF!$A:$A,$B$10,DATA_WSF!$C:$C,W26))</f>
        <v/>
      </c>
      <c r="Z26">
        <f>IF(OR(W26="",$B$10=0),0,SUMIFS(DATA_WSF!$L:$L,DATA_WSF!$A:$A,$B$10-7,DATA_WSF!$C:$C,W26))</f>
        <v/>
      </c>
      <c r="AA26">
        <f>IF(X26=0,0,SUMIFS(DATA_WSF!$E:$E,DATA_WSF!$A:$A,$B$10,DATA_WSF!$C:$C,W26))</f>
        <v/>
      </c>
      <c r="AB26">
        <f>IF(X26=0,0,SUMIFS(DATA_WSF!$F:$F,DATA_WSF!$A:$A,$B$10,DATA_WSF!$C:$C,W26))</f>
        <v/>
      </c>
      <c r="AC26">
        <f>IF(AA26=0,"",AB26/AA26)</f>
        <v/>
      </c>
      <c r="AD26">
        <f>IF(OR(X26=0,Z26=0),"",Y26/Z26-1)</f>
        <v/>
      </c>
      <c r="AE26">
        <f>IF(X26=0,"",Y26+ROW()/1000000)</f>
        <v/>
      </c>
      <c r="AF26">
        <f>IF(AC26="","",AC26+ROW()/1000000000)</f>
        <v/>
      </c>
      <c r="AG26">
        <f>IF(AD26="","",AD26+ROW()/1000000000)</f>
        <v/>
      </c>
      <c r="AW26">
        <f>IFERROR(SMALL(WSF_CELLS_CURRENT!$N:$N,23),"")</f>
        <v/>
      </c>
      <c r="AX26">
        <f>IF($AW26="","",INDEX(WSF_CELLS_CURRENT!$C:$C,$AW26))</f>
        <v/>
      </c>
      <c r="AY26">
        <f>IF($AW26="","",INDEX(WSF_CELLS_CURRENT!$D:$D,$AW26))</f>
        <v/>
      </c>
      <c r="AZ26">
        <f>IF($AW26="","",INDEX(WSF_CELLS_CURRENT!$E:$E,$AW26))</f>
        <v/>
      </c>
    </row>
    <row r="27">
      <c r="A27" t="n">
        <v>6</v>
      </c>
      <c r="B27" s="170">
        <f>IF($B$10=0,"",$B$10-7*A27)</f>
        <v/>
      </c>
      <c r="C27">
        <f>IF(B27="","",MONTH(B27))</f>
        <v/>
      </c>
      <c r="D27">
        <f>IF(B27="","",ROUNDUP(MONTH(B27)/3,0))</f>
        <v/>
      </c>
      <c r="E27">
        <f>IF(B27="","",YEAR(B27))</f>
        <v/>
      </c>
      <c r="F27">
        <f>IF(B27="",0,COUNTIFS(DATA_WSF!$A:$A,B27,DATA_WSF!$C:$C,$B$6,DATA_WSF!$D:$D,$B$7))</f>
        <v/>
      </c>
      <c r="G27">
        <f>IF(F27=0,0,SUMIFS(DATA_WSF!$H:$H,DATA_WSF!$A:$A,B27,DATA_WSF!$C:$C,$B$6,DATA_WSF!$D:$D,$B$7))</f>
        <v/>
      </c>
      <c r="H27">
        <f>IF(F27=0,0,SUMIFS(DATA_WSF!$I:$I,DATA_WSF!$A:$A,B27,DATA_WSF!$C:$C,$B$6,DATA_WSF!$D:$D,$B$7))</f>
        <v/>
      </c>
      <c r="I27">
        <f>IF(F27=0,0,SUMIFS(DATA_WSF!$K:$K,DATA_WSF!$A:$A,B27,DATA_WSF!$C:$C,$B$6,DATA_WSF!$D:$D,$B$7))</f>
        <v/>
      </c>
      <c r="J27">
        <f>G27+H27</f>
        <v/>
      </c>
      <c r="K27">
        <f>J27+I27</f>
        <v/>
      </c>
      <c r="L27">
        <f>IF(F27=0,0,SUMIFS(DATA_WSF!$E:$E,DATA_WSF!$A:$A,B27,DATA_WSF!$C:$C,$B$6,DATA_WSF!$D:$D,$B$7))</f>
        <v/>
      </c>
      <c r="M27">
        <f>IF(F27=0,0,SUMIFS(DATA_WSF!$F:$F,DATA_WSF!$A:$A,B27,DATA_WSF!$C:$C,$B$6,DATA_WSF!$D:$D,$B$7))</f>
        <v/>
      </c>
      <c r="N27">
        <f>L27-M27</f>
        <v/>
      </c>
      <c r="O27">
        <f>IF(L27=0,0,M27/L27)</f>
        <v/>
      </c>
      <c r="P27">
        <f>IF(M27=0,0,K27/M27)</f>
        <v/>
      </c>
      <c r="Q27">
        <f>IF(F27&gt;0,1,0)</f>
        <v/>
      </c>
      <c r="R27">
        <f>IF(AND(A27&gt;=1,A27&lt;=$B$11),Q27,0)</f>
        <v/>
      </c>
      <c r="S27">
        <f>IF(AND(C27=$B$12,E27=$B$14),Q27,0)</f>
        <v/>
      </c>
      <c r="T27">
        <f>IF(AND(D27=$B$13,E27=$B$14),Q27,0)</f>
        <v/>
      </c>
      <c r="U27">
        <f>IF(E27=$B$14,Q27,0)</f>
        <v/>
      </c>
      <c r="W27">
        <f>IFERROR(INDEX(MASTER_AREAS!$B:$B,26)&amp;"","")</f>
        <v/>
      </c>
      <c r="X27">
        <f>IF(OR(W27="",$B$10=0),0,COUNTIFS(DATA_WSF!$A:$A,$B$10,DATA_WSF!$C:$C,W27))</f>
        <v/>
      </c>
      <c r="Y27">
        <f>IF(X27=0,0,SUMIFS(DATA_WSF!$L:$L,DATA_WSF!$A:$A,$B$10,DATA_WSF!$C:$C,W27))</f>
        <v/>
      </c>
      <c r="Z27">
        <f>IF(OR(W27="",$B$10=0),0,SUMIFS(DATA_WSF!$L:$L,DATA_WSF!$A:$A,$B$10-7,DATA_WSF!$C:$C,W27))</f>
        <v/>
      </c>
      <c r="AA27">
        <f>IF(X27=0,0,SUMIFS(DATA_WSF!$E:$E,DATA_WSF!$A:$A,$B$10,DATA_WSF!$C:$C,W27))</f>
        <v/>
      </c>
      <c r="AB27">
        <f>IF(X27=0,0,SUMIFS(DATA_WSF!$F:$F,DATA_WSF!$A:$A,$B$10,DATA_WSF!$C:$C,W27))</f>
        <v/>
      </c>
      <c r="AC27">
        <f>IF(AA27=0,"",AB27/AA27)</f>
        <v/>
      </c>
      <c r="AD27">
        <f>IF(OR(X27=0,Z27=0),"",Y27/Z27-1)</f>
        <v/>
      </c>
      <c r="AE27">
        <f>IF(X27=0,"",Y27+ROW()/1000000)</f>
        <v/>
      </c>
      <c r="AF27">
        <f>IF(AC27="","",AC27+ROW()/1000000000)</f>
        <v/>
      </c>
      <c r="AG27">
        <f>IF(AD27="","",AD27+ROW()/1000000000)</f>
        <v/>
      </c>
      <c r="AW27">
        <f>IFERROR(SMALL(WSF_CELLS_CURRENT!$N:$N,24),"")</f>
        <v/>
      </c>
      <c r="AX27">
        <f>IF($AW27="","",INDEX(WSF_CELLS_CURRENT!$C:$C,$AW27))</f>
        <v/>
      </c>
      <c r="AY27">
        <f>IF($AW27="","",INDEX(WSF_CELLS_CURRENT!$D:$D,$AW27))</f>
        <v/>
      </c>
      <c r="AZ27">
        <f>IF($AW27="","",INDEX(WSF_CELLS_CURRENT!$E:$E,$AW27))</f>
        <v/>
      </c>
    </row>
    <row r="28">
      <c r="A28" t="n">
        <v>7</v>
      </c>
      <c r="B28" s="170">
        <f>IF($B$10=0,"",$B$10-7*A28)</f>
        <v/>
      </c>
      <c r="C28">
        <f>IF(B28="","",MONTH(B28))</f>
        <v/>
      </c>
      <c r="D28">
        <f>IF(B28="","",ROUNDUP(MONTH(B28)/3,0))</f>
        <v/>
      </c>
      <c r="E28">
        <f>IF(B28="","",YEAR(B28))</f>
        <v/>
      </c>
      <c r="F28">
        <f>IF(B28="",0,COUNTIFS(DATA_WSF!$A:$A,B28,DATA_WSF!$C:$C,$B$6,DATA_WSF!$D:$D,$B$7))</f>
        <v/>
      </c>
      <c r="G28">
        <f>IF(F28=0,0,SUMIFS(DATA_WSF!$H:$H,DATA_WSF!$A:$A,B28,DATA_WSF!$C:$C,$B$6,DATA_WSF!$D:$D,$B$7))</f>
        <v/>
      </c>
      <c r="H28">
        <f>IF(F28=0,0,SUMIFS(DATA_WSF!$I:$I,DATA_WSF!$A:$A,B28,DATA_WSF!$C:$C,$B$6,DATA_WSF!$D:$D,$B$7))</f>
        <v/>
      </c>
      <c r="I28">
        <f>IF(F28=0,0,SUMIFS(DATA_WSF!$K:$K,DATA_WSF!$A:$A,B28,DATA_WSF!$C:$C,$B$6,DATA_WSF!$D:$D,$B$7))</f>
        <v/>
      </c>
      <c r="J28">
        <f>G28+H28</f>
        <v/>
      </c>
      <c r="K28">
        <f>J28+I28</f>
        <v/>
      </c>
      <c r="L28">
        <f>IF(F28=0,0,SUMIFS(DATA_WSF!$E:$E,DATA_WSF!$A:$A,B28,DATA_WSF!$C:$C,$B$6,DATA_WSF!$D:$D,$B$7))</f>
        <v/>
      </c>
      <c r="M28">
        <f>IF(F28=0,0,SUMIFS(DATA_WSF!$F:$F,DATA_WSF!$A:$A,B28,DATA_WSF!$C:$C,$B$6,DATA_WSF!$D:$D,$B$7))</f>
        <v/>
      </c>
      <c r="N28">
        <f>L28-M28</f>
        <v/>
      </c>
      <c r="O28">
        <f>IF(L28=0,0,M28/L28)</f>
        <v/>
      </c>
      <c r="P28">
        <f>IF(M28=0,0,K28/M28)</f>
        <v/>
      </c>
      <c r="Q28">
        <f>IF(F28&gt;0,1,0)</f>
        <v/>
      </c>
      <c r="R28">
        <f>IF(AND(A28&gt;=1,A28&lt;=$B$11),Q28,0)</f>
        <v/>
      </c>
      <c r="S28">
        <f>IF(AND(C28=$B$12,E28=$B$14),Q28,0)</f>
        <v/>
      </c>
      <c r="T28">
        <f>IF(AND(D28=$B$13,E28=$B$14),Q28,0)</f>
        <v/>
      </c>
      <c r="U28">
        <f>IF(E28=$B$14,Q28,0)</f>
        <v/>
      </c>
      <c r="W28">
        <f>IFERROR(INDEX(MASTER_AREAS!$B:$B,27)&amp;"","")</f>
        <v/>
      </c>
      <c r="X28">
        <f>IF(OR(W28="",$B$10=0),0,COUNTIFS(DATA_WSF!$A:$A,$B$10,DATA_WSF!$C:$C,W28))</f>
        <v/>
      </c>
      <c r="Y28">
        <f>IF(X28=0,0,SUMIFS(DATA_WSF!$L:$L,DATA_WSF!$A:$A,$B$10,DATA_WSF!$C:$C,W28))</f>
        <v/>
      </c>
      <c r="Z28">
        <f>IF(OR(W28="",$B$10=0),0,SUMIFS(DATA_WSF!$L:$L,DATA_WSF!$A:$A,$B$10-7,DATA_WSF!$C:$C,W28))</f>
        <v/>
      </c>
      <c r="AA28">
        <f>IF(X28=0,0,SUMIFS(DATA_WSF!$E:$E,DATA_WSF!$A:$A,$B$10,DATA_WSF!$C:$C,W28))</f>
        <v/>
      </c>
      <c r="AB28">
        <f>IF(X28=0,0,SUMIFS(DATA_WSF!$F:$F,DATA_WSF!$A:$A,$B$10,DATA_WSF!$C:$C,W28))</f>
        <v/>
      </c>
      <c r="AC28">
        <f>IF(AA28=0,"",AB28/AA28)</f>
        <v/>
      </c>
      <c r="AD28">
        <f>IF(OR(X28=0,Z28=0),"",Y28/Z28-1)</f>
        <v/>
      </c>
      <c r="AE28">
        <f>IF(X28=0,"",Y28+ROW()/1000000)</f>
        <v/>
      </c>
      <c r="AF28">
        <f>IF(AC28="","",AC28+ROW()/1000000000)</f>
        <v/>
      </c>
      <c r="AG28">
        <f>IF(AD28="","",AD28+ROW()/1000000000)</f>
        <v/>
      </c>
      <c r="AW28">
        <f>IFERROR(SMALL(WSF_CELLS_CURRENT!$N:$N,25),"")</f>
        <v/>
      </c>
      <c r="AX28">
        <f>IF($AW28="","",INDEX(WSF_CELLS_CURRENT!$C:$C,$AW28))</f>
        <v/>
      </c>
      <c r="AY28">
        <f>IF($AW28="","",INDEX(WSF_CELLS_CURRENT!$D:$D,$AW28))</f>
        <v/>
      </c>
      <c r="AZ28">
        <f>IF($AW28="","",INDEX(WSF_CELLS_CURRENT!$E:$E,$AW28))</f>
        <v/>
      </c>
    </row>
    <row r="29">
      <c r="A29" t="n">
        <v>8</v>
      </c>
      <c r="B29" s="170">
        <f>IF($B$10=0,"",$B$10-7*A29)</f>
        <v/>
      </c>
      <c r="C29">
        <f>IF(B29="","",MONTH(B29))</f>
        <v/>
      </c>
      <c r="D29">
        <f>IF(B29="","",ROUNDUP(MONTH(B29)/3,0))</f>
        <v/>
      </c>
      <c r="E29">
        <f>IF(B29="","",YEAR(B29))</f>
        <v/>
      </c>
      <c r="F29">
        <f>IF(B29="",0,COUNTIFS(DATA_WSF!$A:$A,B29,DATA_WSF!$C:$C,$B$6,DATA_WSF!$D:$D,$B$7))</f>
        <v/>
      </c>
      <c r="G29">
        <f>IF(F29=0,0,SUMIFS(DATA_WSF!$H:$H,DATA_WSF!$A:$A,B29,DATA_WSF!$C:$C,$B$6,DATA_WSF!$D:$D,$B$7))</f>
        <v/>
      </c>
      <c r="H29">
        <f>IF(F29=0,0,SUMIFS(DATA_WSF!$I:$I,DATA_WSF!$A:$A,B29,DATA_WSF!$C:$C,$B$6,DATA_WSF!$D:$D,$B$7))</f>
        <v/>
      </c>
      <c r="I29">
        <f>IF(F29=0,0,SUMIFS(DATA_WSF!$K:$K,DATA_WSF!$A:$A,B29,DATA_WSF!$C:$C,$B$6,DATA_WSF!$D:$D,$B$7))</f>
        <v/>
      </c>
      <c r="J29">
        <f>G29+H29</f>
        <v/>
      </c>
      <c r="K29">
        <f>J29+I29</f>
        <v/>
      </c>
      <c r="L29">
        <f>IF(F29=0,0,SUMIFS(DATA_WSF!$E:$E,DATA_WSF!$A:$A,B29,DATA_WSF!$C:$C,$B$6,DATA_WSF!$D:$D,$B$7))</f>
        <v/>
      </c>
      <c r="M29">
        <f>IF(F29=0,0,SUMIFS(DATA_WSF!$F:$F,DATA_WSF!$A:$A,B29,DATA_WSF!$C:$C,$B$6,DATA_WSF!$D:$D,$B$7))</f>
        <v/>
      </c>
      <c r="N29">
        <f>L29-M29</f>
        <v/>
      </c>
      <c r="O29">
        <f>IF(L29=0,0,M29/L29)</f>
        <v/>
      </c>
      <c r="P29">
        <f>IF(M29=0,0,K29/M29)</f>
        <v/>
      </c>
      <c r="Q29">
        <f>IF(F29&gt;0,1,0)</f>
        <v/>
      </c>
      <c r="R29">
        <f>IF(AND(A29&gt;=1,A29&lt;=$B$11),Q29,0)</f>
        <v/>
      </c>
      <c r="S29">
        <f>IF(AND(C29=$B$12,E29=$B$14),Q29,0)</f>
        <v/>
      </c>
      <c r="T29">
        <f>IF(AND(D29=$B$13,E29=$B$14),Q29,0)</f>
        <v/>
      </c>
      <c r="U29">
        <f>IF(E29=$B$14,Q29,0)</f>
        <v/>
      </c>
      <c r="W29">
        <f>IFERROR(INDEX(MASTER_AREAS!$B:$B,28)&amp;"","")</f>
        <v/>
      </c>
      <c r="X29">
        <f>IF(OR(W29="",$B$10=0),0,COUNTIFS(DATA_WSF!$A:$A,$B$10,DATA_WSF!$C:$C,W29))</f>
        <v/>
      </c>
      <c r="Y29">
        <f>IF(X29=0,0,SUMIFS(DATA_WSF!$L:$L,DATA_WSF!$A:$A,$B$10,DATA_WSF!$C:$C,W29))</f>
        <v/>
      </c>
      <c r="Z29">
        <f>IF(OR(W29="",$B$10=0),0,SUMIFS(DATA_WSF!$L:$L,DATA_WSF!$A:$A,$B$10-7,DATA_WSF!$C:$C,W29))</f>
        <v/>
      </c>
      <c r="AA29">
        <f>IF(X29=0,0,SUMIFS(DATA_WSF!$E:$E,DATA_WSF!$A:$A,$B$10,DATA_WSF!$C:$C,W29))</f>
        <v/>
      </c>
      <c r="AB29">
        <f>IF(X29=0,0,SUMIFS(DATA_WSF!$F:$F,DATA_WSF!$A:$A,$B$10,DATA_WSF!$C:$C,W29))</f>
        <v/>
      </c>
      <c r="AC29">
        <f>IF(AA29=0,"",AB29/AA29)</f>
        <v/>
      </c>
      <c r="AD29">
        <f>IF(OR(X29=0,Z29=0),"",Y29/Z29-1)</f>
        <v/>
      </c>
      <c r="AE29">
        <f>IF(X29=0,"",Y29+ROW()/1000000)</f>
        <v/>
      </c>
      <c r="AF29">
        <f>IF(AC29="","",AC29+ROW()/1000000000)</f>
        <v/>
      </c>
      <c r="AG29">
        <f>IF(AD29="","",AD29+ROW()/1000000000)</f>
        <v/>
      </c>
      <c r="AW29">
        <f>IFERROR(SMALL(WSF_CELLS_CURRENT!$N:$N,26),"")</f>
        <v/>
      </c>
      <c r="AX29">
        <f>IF($AW29="","",INDEX(WSF_CELLS_CURRENT!$C:$C,$AW29))</f>
        <v/>
      </c>
      <c r="AY29">
        <f>IF($AW29="","",INDEX(WSF_CELLS_CURRENT!$D:$D,$AW29))</f>
        <v/>
      </c>
      <c r="AZ29">
        <f>IF($AW29="","",INDEX(WSF_CELLS_CURRENT!$E:$E,$AW29))</f>
        <v/>
      </c>
    </row>
    <row r="30">
      <c r="A30" t="n">
        <v>9</v>
      </c>
      <c r="B30" s="170">
        <f>IF($B$10=0,"",$B$10-7*A30)</f>
        <v/>
      </c>
      <c r="C30">
        <f>IF(B30="","",MONTH(B30))</f>
        <v/>
      </c>
      <c r="D30">
        <f>IF(B30="","",ROUNDUP(MONTH(B30)/3,0))</f>
        <v/>
      </c>
      <c r="E30">
        <f>IF(B30="","",YEAR(B30))</f>
        <v/>
      </c>
      <c r="F30">
        <f>IF(B30="",0,COUNTIFS(DATA_WSF!$A:$A,B30,DATA_WSF!$C:$C,$B$6,DATA_WSF!$D:$D,$B$7))</f>
        <v/>
      </c>
      <c r="G30">
        <f>IF(F30=0,0,SUMIFS(DATA_WSF!$H:$H,DATA_WSF!$A:$A,B30,DATA_WSF!$C:$C,$B$6,DATA_WSF!$D:$D,$B$7))</f>
        <v/>
      </c>
      <c r="H30">
        <f>IF(F30=0,0,SUMIFS(DATA_WSF!$I:$I,DATA_WSF!$A:$A,B30,DATA_WSF!$C:$C,$B$6,DATA_WSF!$D:$D,$B$7))</f>
        <v/>
      </c>
      <c r="I30">
        <f>IF(F30=0,0,SUMIFS(DATA_WSF!$K:$K,DATA_WSF!$A:$A,B30,DATA_WSF!$C:$C,$B$6,DATA_WSF!$D:$D,$B$7))</f>
        <v/>
      </c>
      <c r="J30">
        <f>G30+H30</f>
        <v/>
      </c>
      <c r="K30">
        <f>J30+I30</f>
        <v/>
      </c>
      <c r="L30">
        <f>IF(F30=0,0,SUMIFS(DATA_WSF!$E:$E,DATA_WSF!$A:$A,B30,DATA_WSF!$C:$C,$B$6,DATA_WSF!$D:$D,$B$7))</f>
        <v/>
      </c>
      <c r="M30">
        <f>IF(F30=0,0,SUMIFS(DATA_WSF!$F:$F,DATA_WSF!$A:$A,B30,DATA_WSF!$C:$C,$B$6,DATA_WSF!$D:$D,$B$7))</f>
        <v/>
      </c>
      <c r="N30">
        <f>L30-M30</f>
        <v/>
      </c>
      <c r="O30">
        <f>IF(L30=0,0,M30/L30)</f>
        <v/>
      </c>
      <c r="P30">
        <f>IF(M30=0,0,K30/M30)</f>
        <v/>
      </c>
      <c r="Q30">
        <f>IF(F30&gt;0,1,0)</f>
        <v/>
      </c>
      <c r="R30">
        <f>IF(AND(A30&gt;=1,A30&lt;=$B$11),Q30,0)</f>
        <v/>
      </c>
      <c r="S30">
        <f>IF(AND(C30=$B$12,E30=$B$14),Q30,0)</f>
        <v/>
      </c>
      <c r="T30">
        <f>IF(AND(D30=$B$13,E30=$B$14),Q30,0)</f>
        <v/>
      </c>
      <c r="U30">
        <f>IF(E30=$B$14,Q30,0)</f>
        <v/>
      </c>
      <c r="W30">
        <f>IFERROR(INDEX(MASTER_AREAS!$B:$B,29)&amp;"","")</f>
        <v/>
      </c>
      <c r="X30">
        <f>IF(OR(W30="",$B$10=0),0,COUNTIFS(DATA_WSF!$A:$A,$B$10,DATA_WSF!$C:$C,W30))</f>
        <v/>
      </c>
      <c r="Y30">
        <f>IF(X30=0,0,SUMIFS(DATA_WSF!$L:$L,DATA_WSF!$A:$A,$B$10,DATA_WSF!$C:$C,W30))</f>
        <v/>
      </c>
      <c r="Z30">
        <f>IF(OR(W30="",$B$10=0),0,SUMIFS(DATA_WSF!$L:$L,DATA_WSF!$A:$A,$B$10-7,DATA_WSF!$C:$C,W30))</f>
        <v/>
      </c>
      <c r="AA30">
        <f>IF(X30=0,0,SUMIFS(DATA_WSF!$E:$E,DATA_WSF!$A:$A,$B$10,DATA_WSF!$C:$C,W30))</f>
        <v/>
      </c>
      <c r="AB30">
        <f>IF(X30=0,0,SUMIFS(DATA_WSF!$F:$F,DATA_WSF!$A:$A,$B$10,DATA_WSF!$C:$C,W30))</f>
        <v/>
      </c>
      <c r="AC30">
        <f>IF(AA30=0,"",AB30/AA30)</f>
        <v/>
      </c>
      <c r="AD30">
        <f>IF(OR(X30=0,Z30=0),"",Y30/Z30-1)</f>
        <v/>
      </c>
      <c r="AE30">
        <f>IF(X30=0,"",Y30+ROW()/1000000)</f>
        <v/>
      </c>
      <c r="AF30">
        <f>IF(AC30="","",AC30+ROW()/1000000000)</f>
        <v/>
      </c>
      <c r="AG30">
        <f>IF(AD30="","",AD30+ROW()/1000000000)</f>
        <v/>
      </c>
      <c r="AW30">
        <f>IFERROR(SMALL(WSF_CELLS_CURRENT!$N:$N,27),"")</f>
        <v/>
      </c>
      <c r="AX30">
        <f>IF($AW30="","",INDEX(WSF_CELLS_CURRENT!$C:$C,$AW30))</f>
        <v/>
      </c>
      <c r="AY30">
        <f>IF($AW30="","",INDEX(WSF_CELLS_CURRENT!$D:$D,$AW30))</f>
        <v/>
      </c>
      <c r="AZ30">
        <f>IF($AW30="","",INDEX(WSF_CELLS_CURRENT!$E:$E,$AW30))</f>
        <v/>
      </c>
    </row>
    <row r="31">
      <c r="A31" t="n">
        <v>10</v>
      </c>
      <c r="B31" s="170">
        <f>IF($B$10=0,"",$B$10-7*A31)</f>
        <v/>
      </c>
      <c r="C31">
        <f>IF(B31="","",MONTH(B31))</f>
        <v/>
      </c>
      <c r="D31">
        <f>IF(B31="","",ROUNDUP(MONTH(B31)/3,0))</f>
        <v/>
      </c>
      <c r="E31">
        <f>IF(B31="","",YEAR(B31))</f>
        <v/>
      </c>
      <c r="F31">
        <f>IF(B31="",0,COUNTIFS(DATA_WSF!$A:$A,B31,DATA_WSF!$C:$C,$B$6,DATA_WSF!$D:$D,$B$7))</f>
        <v/>
      </c>
      <c r="G31">
        <f>IF(F31=0,0,SUMIFS(DATA_WSF!$H:$H,DATA_WSF!$A:$A,B31,DATA_WSF!$C:$C,$B$6,DATA_WSF!$D:$D,$B$7))</f>
        <v/>
      </c>
      <c r="H31">
        <f>IF(F31=0,0,SUMIFS(DATA_WSF!$I:$I,DATA_WSF!$A:$A,B31,DATA_WSF!$C:$C,$B$6,DATA_WSF!$D:$D,$B$7))</f>
        <v/>
      </c>
      <c r="I31">
        <f>IF(F31=0,0,SUMIFS(DATA_WSF!$K:$K,DATA_WSF!$A:$A,B31,DATA_WSF!$C:$C,$B$6,DATA_WSF!$D:$D,$B$7))</f>
        <v/>
      </c>
      <c r="J31">
        <f>G31+H31</f>
        <v/>
      </c>
      <c r="K31">
        <f>J31+I31</f>
        <v/>
      </c>
      <c r="L31">
        <f>IF(F31=0,0,SUMIFS(DATA_WSF!$E:$E,DATA_WSF!$A:$A,B31,DATA_WSF!$C:$C,$B$6,DATA_WSF!$D:$D,$B$7))</f>
        <v/>
      </c>
      <c r="M31">
        <f>IF(F31=0,0,SUMIFS(DATA_WSF!$F:$F,DATA_WSF!$A:$A,B31,DATA_WSF!$C:$C,$B$6,DATA_WSF!$D:$D,$B$7))</f>
        <v/>
      </c>
      <c r="N31">
        <f>L31-M31</f>
        <v/>
      </c>
      <c r="O31">
        <f>IF(L31=0,0,M31/L31)</f>
        <v/>
      </c>
      <c r="P31">
        <f>IF(M31=0,0,K31/M31)</f>
        <v/>
      </c>
      <c r="Q31">
        <f>IF(F31&gt;0,1,0)</f>
        <v/>
      </c>
      <c r="R31">
        <f>IF(AND(A31&gt;=1,A31&lt;=$B$11),Q31,0)</f>
        <v/>
      </c>
      <c r="S31">
        <f>IF(AND(C31=$B$12,E31=$B$14),Q31,0)</f>
        <v/>
      </c>
      <c r="T31">
        <f>IF(AND(D31=$B$13,E31=$B$14),Q31,0)</f>
        <v/>
      </c>
      <c r="U31">
        <f>IF(E31=$B$14,Q31,0)</f>
        <v/>
      </c>
      <c r="W31">
        <f>IFERROR(INDEX(MASTER_AREAS!$B:$B,30)&amp;"","")</f>
        <v/>
      </c>
      <c r="X31">
        <f>IF(OR(W31="",$B$10=0),0,COUNTIFS(DATA_WSF!$A:$A,$B$10,DATA_WSF!$C:$C,W31))</f>
        <v/>
      </c>
      <c r="Y31">
        <f>IF(X31=0,0,SUMIFS(DATA_WSF!$L:$L,DATA_WSF!$A:$A,$B$10,DATA_WSF!$C:$C,W31))</f>
        <v/>
      </c>
      <c r="Z31">
        <f>IF(OR(W31="",$B$10=0),0,SUMIFS(DATA_WSF!$L:$L,DATA_WSF!$A:$A,$B$10-7,DATA_WSF!$C:$C,W31))</f>
        <v/>
      </c>
      <c r="AA31">
        <f>IF(X31=0,0,SUMIFS(DATA_WSF!$E:$E,DATA_WSF!$A:$A,$B$10,DATA_WSF!$C:$C,W31))</f>
        <v/>
      </c>
      <c r="AB31">
        <f>IF(X31=0,0,SUMIFS(DATA_WSF!$F:$F,DATA_WSF!$A:$A,$B$10,DATA_WSF!$C:$C,W31))</f>
        <v/>
      </c>
      <c r="AC31">
        <f>IF(AA31=0,"",AB31/AA31)</f>
        <v/>
      </c>
      <c r="AD31">
        <f>IF(OR(X31=0,Z31=0),"",Y31/Z31-1)</f>
        <v/>
      </c>
      <c r="AE31">
        <f>IF(X31=0,"",Y31+ROW()/1000000)</f>
        <v/>
      </c>
      <c r="AF31">
        <f>IF(AC31="","",AC31+ROW()/1000000000)</f>
        <v/>
      </c>
      <c r="AG31">
        <f>IF(AD31="","",AD31+ROW()/1000000000)</f>
        <v/>
      </c>
      <c r="AW31">
        <f>IFERROR(SMALL(WSF_CELLS_CURRENT!$N:$N,28),"")</f>
        <v/>
      </c>
      <c r="AX31">
        <f>IF($AW31="","",INDEX(WSF_CELLS_CURRENT!$C:$C,$AW31))</f>
        <v/>
      </c>
      <c r="AY31">
        <f>IF($AW31="","",INDEX(WSF_CELLS_CURRENT!$D:$D,$AW31))</f>
        <v/>
      </c>
      <c r="AZ31">
        <f>IF($AW31="","",INDEX(WSF_CELLS_CURRENT!$E:$E,$AW31))</f>
        <v/>
      </c>
    </row>
    <row r="32">
      <c r="A32" t="n">
        <v>11</v>
      </c>
      <c r="B32" s="170">
        <f>IF($B$10=0,"",$B$10-7*A32)</f>
        <v/>
      </c>
      <c r="C32">
        <f>IF(B32="","",MONTH(B32))</f>
        <v/>
      </c>
      <c r="D32">
        <f>IF(B32="","",ROUNDUP(MONTH(B32)/3,0))</f>
        <v/>
      </c>
      <c r="E32">
        <f>IF(B32="","",YEAR(B32))</f>
        <v/>
      </c>
      <c r="F32">
        <f>IF(B32="",0,COUNTIFS(DATA_WSF!$A:$A,B32,DATA_WSF!$C:$C,$B$6,DATA_WSF!$D:$D,$B$7))</f>
        <v/>
      </c>
      <c r="G32">
        <f>IF(F32=0,0,SUMIFS(DATA_WSF!$H:$H,DATA_WSF!$A:$A,B32,DATA_WSF!$C:$C,$B$6,DATA_WSF!$D:$D,$B$7))</f>
        <v/>
      </c>
      <c r="H32">
        <f>IF(F32=0,0,SUMIFS(DATA_WSF!$I:$I,DATA_WSF!$A:$A,B32,DATA_WSF!$C:$C,$B$6,DATA_WSF!$D:$D,$B$7))</f>
        <v/>
      </c>
      <c r="I32">
        <f>IF(F32=0,0,SUMIFS(DATA_WSF!$K:$K,DATA_WSF!$A:$A,B32,DATA_WSF!$C:$C,$B$6,DATA_WSF!$D:$D,$B$7))</f>
        <v/>
      </c>
      <c r="J32">
        <f>G32+H32</f>
        <v/>
      </c>
      <c r="K32">
        <f>J32+I32</f>
        <v/>
      </c>
      <c r="L32">
        <f>IF(F32=0,0,SUMIFS(DATA_WSF!$E:$E,DATA_WSF!$A:$A,B32,DATA_WSF!$C:$C,$B$6,DATA_WSF!$D:$D,$B$7))</f>
        <v/>
      </c>
      <c r="M32">
        <f>IF(F32=0,0,SUMIFS(DATA_WSF!$F:$F,DATA_WSF!$A:$A,B32,DATA_WSF!$C:$C,$B$6,DATA_WSF!$D:$D,$B$7))</f>
        <v/>
      </c>
      <c r="N32">
        <f>L32-M32</f>
        <v/>
      </c>
      <c r="O32">
        <f>IF(L32=0,0,M32/L32)</f>
        <v/>
      </c>
      <c r="P32">
        <f>IF(M32=0,0,K32/M32)</f>
        <v/>
      </c>
      <c r="Q32">
        <f>IF(F32&gt;0,1,0)</f>
        <v/>
      </c>
      <c r="R32">
        <f>IF(AND(A32&gt;=1,A32&lt;=$B$11),Q32,0)</f>
        <v/>
      </c>
      <c r="S32">
        <f>IF(AND(C32=$B$12,E32=$B$14),Q32,0)</f>
        <v/>
      </c>
      <c r="T32">
        <f>IF(AND(D32=$B$13,E32=$B$14),Q32,0)</f>
        <v/>
      </c>
      <c r="U32">
        <f>IF(E32=$B$14,Q32,0)</f>
        <v/>
      </c>
      <c r="W32">
        <f>IFERROR(INDEX(MASTER_AREAS!$B:$B,31)&amp;"","")</f>
        <v/>
      </c>
      <c r="X32">
        <f>IF(OR(W32="",$B$10=0),0,COUNTIFS(DATA_WSF!$A:$A,$B$10,DATA_WSF!$C:$C,W32))</f>
        <v/>
      </c>
      <c r="Y32">
        <f>IF(X32=0,0,SUMIFS(DATA_WSF!$L:$L,DATA_WSF!$A:$A,$B$10,DATA_WSF!$C:$C,W32))</f>
        <v/>
      </c>
      <c r="Z32">
        <f>IF(OR(W32="",$B$10=0),0,SUMIFS(DATA_WSF!$L:$L,DATA_WSF!$A:$A,$B$10-7,DATA_WSF!$C:$C,W32))</f>
        <v/>
      </c>
      <c r="AA32">
        <f>IF(X32=0,0,SUMIFS(DATA_WSF!$E:$E,DATA_WSF!$A:$A,$B$10,DATA_WSF!$C:$C,W32))</f>
        <v/>
      </c>
      <c r="AB32">
        <f>IF(X32=0,0,SUMIFS(DATA_WSF!$F:$F,DATA_WSF!$A:$A,$B$10,DATA_WSF!$C:$C,W32))</f>
        <v/>
      </c>
      <c r="AC32">
        <f>IF(AA32=0,"",AB32/AA32)</f>
        <v/>
      </c>
      <c r="AD32">
        <f>IF(OR(X32=0,Z32=0),"",Y32/Z32-1)</f>
        <v/>
      </c>
      <c r="AE32">
        <f>IF(X32=0,"",Y32+ROW()/1000000)</f>
        <v/>
      </c>
      <c r="AF32">
        <f>IF(AC32="","",AC32+ROW()/1000000000)</f>
        <v/>
      </c>
      <c r="AG32">
        <f>IF(AD32="","",AD32+ROW()/1000000000)</f>
        <v/>
      </c>
      <c r="AW32">
        <f>IFERROR(SMALL(WSF_CELLS_CURRENT!$N:$N,29),"")</f>
        <v/>
      </c>
      <c r="AX32">
        <f>IF($AW32="","",INDEX(WSF_CELLS_CURRENT!$C:$C,$AW32))</f>
        <v/>
      </c>
      <c r="AY32">
        <f>IF($AW32="","",INDEX(WSF_CELLS_CURRENT!$D:$D,$AW32))</f>
        <v/>
      </c>
      <c r="AZ32">
        <f>IF($AW32="","",INDEX(WSF_CELLS_CURRENT!$E:$E,$AW32))</f>
        <v/>
      </c>
    </row>
    <row r="33">
      <c r="A33" t="n">
        <v>12</v>
      </c>
      <c r="B33" s="170">
        <f>IF($B$10=0,"",$B$10-7*A33)</f>
        <v/>
      </c>
      <c r="C33">
        <f>IF(B33="","",MONTH(B33))</f>
        <v/>
      </c>
      <c r="D33">
        <f>IF(B33="","",ROUNDUP(MONTH(B33)/3,0))</f>
        <v/>
      </c>
      <c r="E33">
        <f>IF(B33="","",YEAR(B33))</f>
        <v/>
      </c>
      <c r="F33">
        <f>IF(B33="",0,COUNTIFS(DATA_WSF!$A:$A,B33,DATA_WSF!$C:$C,$B$6,DATA_WSF!$D:$D,$B$7))</f>
        <v/>
      </c>
      <c r="G33">
        <f>IF(F33=0,0,SUMIFS(DATA_WSF!$H:$H,DATA_WSF!$A:$A,B33,DATA_WSF!$C:$C,$B$6,DATA_WSF!$D:$D,$B$7))</f>
        <v/>
      </c>
      <c r="H33">
        <f>IF(F33=0,0,SUMIFS(DATA_WSF!$I:$I,DATA_WSF!$A:$A,B33,DATA_WSF!$C:$C,$B$6,DATA_WSF!$D:$D,$B$7))</f>
        <v/>
      </c>
      <c r="I33">
        <f>IF(F33=0,0,SUMIFS(DATA_WSF!$K:$K,DATA_WSF!$A:$A,B33,DATA_WSF!$C:$C,$B$6,DATA_WSF!$D:$D,$B$7))</f>
        <v/>
      </c>
      <c r="J33">
        <f>G33+H33</f>
        <v/>
      </c>
      <c r="K33">
        <f>J33+I33</f>
        <v/>
      </c>
      <c r="L33">
        <f>IF(F33=0,0,SUMIFS(DATA_WSF!$E:$E,DATA_WSF!$A:$A,B33,DATA_WSF!$C:$C,$B$6,DATA_WSF!$D:$D,$B$7))</f>
        <v/>
      </c>
      <c r="M33">
        <f>IF(F33=0,0,SUMIFS(DATA_WSF!$F:$F,DATA_WSF!$A:$A,B33,DATA_WSF!$C:$C,$B$6,DATA_WSF!$D:$D,$B$7))</f>
        <v/>
      </c>
      <c r="N33">
        <f>L33-M33</f>
        <v/>
      </c>
      <c r="O33">
        <f>IF(L33=0,0,M33/L33)</f>
        <v/>
      </c>
      <c r="P33">
        <f>IF(M33=0,0,K33/M33)</f>
        <v/>
      </c>
      <c r="Q33">
        <f>IF(F33&gt;0,1,0)</f>
        <v/>
      </c>
      <c r="R33">
        <f>IF(AND(A33&gt;=1,A33&lt;=$B$11),Q33,0)</f>
        <v/>
      </c>
      <c r="S33">
        <f>IF(AND(C33=$B$12,E33=$B$14),Q33,0)</f>
        <v/>
      </c>
      <c r="T33">
        <f>IF(AND(D33=$B$13,E33=$B$14),Q33,0)</f>
        <v/>
      </c>
      <c r="U33">
        <f>IF(E33=$B$14,Q33,0)</f>
        <v/>
      </c>
      <c r="W33">
        <f>IFERROR(INDEX(MASTER_AREAS!$B:$B,32)&amp;"","")</f>
        <v/>
      </c>
      <c r="X33">
        <f>IF(OR(W33="",$B$10=0),0,COUNTIFS(DATA_WSF!$A:$A,$B$10,DATA_WSF!$C:$C,W33))</f>
        <v/>
      </c>
      <c r="Y33">
        <f>IF(X33=0,0,SUMIFS(DATA_WSF!$L:$L,DATA_WSF!$A:$A,$B$10,DATA_WSF!$C:$C,W33))</f>
        <v/>
      </c>
      <c r="Z33">
        <f>IF(OR(W33="",$B$10=0),0,SUMIFS(DATA_WSF!$L:$L,DATA_WSF!$A:$A,$B$10-7,DATA_WSF!$C:$C,W33))</f>
        <v/>
      </c>
      <c r="AA33">
        <f>IF(X33=0,0,SUMIFS(DATA_WSF!$E:$E,DATA_WSF!$A:$A,$B$10,DATA_WSF!$C:$C,W33))</f>
        <v/>
      </c>
      <c r="AB33">
        <f>IF(X33=0,0,SUMIFS(DATA_WSF!$F:$F,DATA_WSF!$A:$A,$B$10,DATA_WSF!$C:$C,W33))</f>
        <v/>
      </c>
      <c r="AC33">
        <f>IF(AA33=0,"",AB33/AA33)</f>
        <v/>
      </c>
      <c r="AD33">
        <f>IF(OR(X33=0,Z33=0),"",Y33/Z33-1)</f>
        <v/>
      </c>
      <c r="AE33">
        <f>IF(X33=0,"",Y33+ROW()/1000000)</f>
        <v/>
      </c>
      <c r="AF33">
        <f>IF(AC33="","",AC33+ROW()/1000000000)</f>
        <v/>
      </c>
      <c r="AG33">
        <f>IF(AD33="","",AD33+ROW()/1000000000)</f>
        <v/>
      </c>
      <c r="AW33">
        <f>IFERROR(SMALL(WSF_CELLS_CURRENT!$N:$N,30),"")</f>
        <v/>
      </c>
      <c r="AX33">
        <f>IF($AW33="","",INDEX(WSF_CELLS_CURRENT!$C:$C,$AW33))</f>
        <v/>
      </c>
      <c r="AY33">
        <f>IF($AW33="","",INDEX(WSF_CELLS_CURRENT!$D:$D,$AW33))</f>
        <v/>
      </c>
      <c r="AZ33">
        <f>IF($AW33="","",INDEX(WSF_CELLS_CURRENT!$E:$E,$AW33))</f>
        <v/>
      </c>
    </row>
    <row r="34">
      <c r="A34" t="n">
        <v>13</v>
      </c>
      <c r="B34" s="170">
        <f>IF($B$10=0,"",$B$10-7*A34)</f>
        <v/>
      </c>
      <c r="C34">
        <f>IF(B34="","",MONTH(B34))</f>
        <v/>
      </c>
      <c r="D34">
        <f>IF(B34="","",ROUNDUP(MONTH(B34)/3,0))</f>
        <v/>
      </c>
      <c r="E34">
        <f>IF(B34="","",YEAR(B34))</f>
        <v/>
      </c>
      <c r="F34">
        <f>IF(B34="",0,COUNTIFS(DATA_WSF!$A:$A,B34,DATA_WSF!$C:$C,$B$6,DATA_WSF!$D:$D,$B$7))</f>
        <v/>
      </c>
      <c r="G34">
        <f>IF(F34=0,0,SUMIFS(DATA_WSF!$H:$H,DATA_WSF!$A:$A,B34,DATA_WSF!$C:$C,$B$6,DATA_WSF!$D:$D,$B$7))</f>
        <v/>
      </c>
      <c r="H34">
        <f>IF(F34=0,0,SUMIFS(DATA_WSF!$I:$I,DATA_WSF!$A:$A,B34,DATA_WSF!$C:$C,$B$6,DATA_WSF!$D:$D,$B$7))</f>
        <v/>
      </c>
      <c r="I34">
        <f>IF(F34=0,0,SUMIFS(DATA_WSF!$K:$K,DATA_WSF!$A:$A,B34,DATA_WSF!$C:$C,$B$6,DATA_WSF!$D:$D,$B$7))</f>
        <v/>
      </c>
      <c r="J34">
        <f>G34+H34</f>
        <v/>
      </c>
      <c r="K34">
        <f>J34+I34</f>
        <v/>
      </c>
      <c r="L34">
        <f>IF(F34=0,0,SUMIFS(DATA_WSF!$E:$E,DATA_WSF!$A:$A,B34,DATA_WSF!$C:$C,$B$6,DATA_WSF!$D:$D,$B$7))</f>
        <v/>
      </c>
      <c r="M34">
        <f>IF(F34=0,0,SUMIFS(DATA_WSF!$F:$F,DATA_WSF!$A:$A,B34,DATA_WSF!$C:$C,$B$6,DATA_WSF!$D:$D,$B$7))</f>
        <v/>
      </c>
      <c r="N34">
        <f>L34-M34</f>
        <v/>
      </c>
      <c r="O34">
        <f>IF(L34=0,0,M34/L34)</f>
        <v/>
      </c>
      <c r="P34">
        <f>IF(M34=0,0,K34/M34)</f>
        <v/>
      </c>
      <c r="Q34">
        <f>IF(F34&gt;0,1,0)</f>
        <v/>
      </c>
      <c r="R34">
        <f>IF(AND(A34&gt;=1,A34&lt;=$B$11),Q34,0)</f>
        <v/>
      </c>
      <c r="S34">
        <f>IF(AND(C34=$B$12,E34=$B$14),Q34,0)</f>
        <v/>
      </c>
      <c r="T34">
        <f>IF(AND(D34=$B$13,E34=$B$14),Q34,0)</f>
        <v/>
      </c>
      <c r="U34">
        <f>IF(E34=$B$14,Q34,0)</f>
        <v/>
      </c>
      <c r="W34">
        <f>IFERROR(INDEX(MASTER_AREAS!$B:$B,33)&amp;"","")</f>
        <v/>
      </c>
      <c r="X34">
        <f>IF(OR(W34="",$B$10=0),0,COUNTIFS(DATA_WSF!$A:$A,$B$10,DATA_WSF!$C:$C,W34))</f>
        <v/>
      </c>
      <c r="Y34">
        <f>IF(X34=0,0,SUMIFS(DATA_WSF!$L:$L,DATA_WSF!$A:$A,$B$10,DATA_WSF!$C:$C,W34))</f>
        <v/>
      </c>
      <c r="Z34">
        <f>IF(OR(W34="",$B$10=0),0,SUMIFS(DATA_WSF!$L:$L,DATA_WSF!$A:$A,$B$10-7,DATA_WSF!$C:$C,W34))</f>
        <v/>
      </c>
      <c r="AA34">
        <f>IF(X34=0,0,SUMIFS(DATA_WSF!$E:$E,DATA_WSF!$A:$A,$B$10,DATA_WSF!$C:$C,W34))</f>
        <v/>
      </c>
      <c r="AB34">
        <f>IF(X34=0,0,SUMIFS(DATA_WSF!$F:$F,DATA_WSF!$A:$A,$B$10,DATA_WSF!$C:$C,W34))</f>
        <v/>
      </c>
      <c r="AC34">
        <f>IF(AA34=0,"",AB34/AA34)</f>
        <v/>
      </c>
      <c r="AD34">
        <f>IF(OR(X34=0,Z34=0),"",Y34/Z34-1)</f>
        <v/>
      </c>
      <c r="AE34">
        <f>IF(X34=0,"",Y34+ROW()/1000000)</f>
        <v/>
      </c>
      <c r="AF34">
        <f>IF(AC34="","",AC34+ROW()/1000000000)</f>
        <v/>
      </c>
      <c r="AG34">
        <f>IF(AD34="","",AD34+ROW()/1000000000)</f>
        <v/>
      </c>
      <c r="AW34">
        <f>IFERROR(SMALL(WSF_CELLS_CURRENT!$N:$N,31),"")</f>
        <v/>
      </c>
      <c r="AX34">
        <f>IF($AW34="","",INDEX(WSF_CELLS_CURRENT!$C:$C,$AW34))</f>
        <v/>
      </c>
      <c r="AY34">
        <f>IF($AW34="","",INDEX(WSF_CELLS_CURRENT!$D:$D,$AW34))</f>
        <v/>
      </c>
      <c r="AZ34">
        <f>IF($AW34="","",INDEX(WSF_CELLS_CURRENT!$E:$E,$AW34))</f>
        <v/>
      </c>
    </row>
    <row r="35">
      <c r="A35" t="n">
        <v>14</v>
      </c>
      <c r="B35" s="170">
        <f>IF($B$10=0,"",$B$10-7*A35)</f>
        <v/>
      </c>
      <c r="C35">
        <f>IF(B35="","",MONTH(B35))</f>
        <v/>
      </c>
      <c r="D35">
        <f>IF(B35="","",ROUNDUP(MONTH(B35)/3,0))</f>
        <v/>
      </c>
      <c r="E35">
        <f>IF(B35="","",YEAR(B35))</f>
        <v/>
      </c>
      <c r="F35">
        <f>IF(B35="",0,COUNTIFS(DATA_WSF!$A:$A,B35,DATA_WSF!$C:$C,$B$6,DATA_WSF!$D:$D,$B$7))</f>
        <v/>
      </c>
      <c r="G35">
        <f>IF(F35=0,0,SUMIFS(DATA_WSF!$H:$H,DATA_WSF!$A:$A,B35,DATA_WSF!$C:$C,$B$6,DATA_WSF!$D:$D,$B$7))</f>
        <v/>
      </c>
      <c r="H35">
        <f>IF(F35=0,0,SUMIFS(DATA_WSF!$I:$I,DATA_WSF!$A:$A,B35,DATA_WSF!$C:$C,$B$6,DATA_WSF!$D:$D,$B$7))</f>
        <v/>
      </c>
      <c r="I35">
        <f>IF(F35=0,0,SUMIFS(DATA_WSF!$K:$K,DATA_WSF!$A:$A,B35,DATA_WSF!$C:$C,$B$6,DATA_WSF!$D:$D,$B$7))</f>
        <v/>
      </c>
      <c r="J35">
        <f>G35+H35</f>
        <v/>
      </c>
      <c r="K35">
        <f>J35+I35</f>
        <v/>
      </c>
      <c r="L35">
        <f>IF(F35=0,0,SUMIFS(DATA_WSF!$E:$E,DATA_WSF!$A:$A,B35,DATA_WSF!$C:$C,$B$6,DATA_WSF!$D:$D,$B$7))</f>
        <v/>
      </c>
      <c r="M35">
        <f>IF(F35=0,0,SUMIFS(DATA_WSF!$F:$F,DATA_WSF!$A:$A,B35,DATA_WSF!$C:$C,$B$6,DATA_WSF!$D:$D,$B$7))</f>
        <v/>
      </c>
      <c r="N35">
        <f>L35-M35</f>
        <v/>
      </c>
      <c r="O35">
        <f>IF(L35=0,0,M35/L35)</f>
        <v/>
      </c>
      <c r="P35">
        <f>IF(M35=0,0,K35/M35)</f>
        <v/>
      </c>
      <c r="Q35">
        <f>IF(F35&gt;0,1,0)</f>
        <v/>
      </c>
      <c r="R35">
        <f>IF(AND(A35&gt;=1,A35&lt;=$B$11),Q35,0)</f>
        <v/>
      </c>
      <c r="S35">
        <f>IF(AND(C35=$B$12,E35=$B$14),Q35,0)</f>
        <v/>
      </c>
      <c r="T35">
        <f>IF(AND(D35=$B$13,E35=$B$14),Q35,0)</f>
        <v/>
      </c>
      <c r="U35">
        <f>IF(E35=$B$14,Q35,0)</f>
        <v/>
      </c>
      <c r="W35">
        <f>IFERROR(INDEX(MASTER_AREAS!$B:$B,34)&amp;"","")</f>
        <v/>
      </c>
      <c r="X35">
        <f>IF(OR(W35="",$B$10=0),0,COUNTIFS(DATA_WSF!$A:$A,$B$10,DATA_WSF!$C:$C,W35))</f>
        <v/>
      </c>
      <c r="Y35">
        <f>IF(X35=0,0,SUMIFS(DATA_WSF!$L:$L,DATA_WSF!$A:$A,$B$10,DATA_WSF!$C:$C,W35))</f>
        <v/>
      </c>
      <c r="Z35">
        <f>IF(OR(W35="",$B$10=0),0,SUMIFS(DATA_WSF!$L:$L,DATA_WSF!$A:$A,$B$10-7,DATA_WSF!$C:$C,W35))</f>
        <v/>
      </c>
      <c r="AA35">
        <f>IF(X35=0,0,SUMIFS(DATA_WSF!$E:$E,DATA_WSF!$A:$A,$B$10,DATA_WSF!$C:$C,W35))</f>
        <v/>
      </c>
      <c r="AB35">
        <f>IF(X35=0,0,SUMIFS(DATA_WSF!$F:$F,DATA_WSF!$A:$A,$B$10,DATA_WSF!$C:$C,W35))</f>
        <v/>
      </c>
      <c r="AC35">
        <f>IF(AA35=0,"",AB35/AA35)</f>
        <v/>
      </c>
      <c r="AD35">
        <f>IF(OR(X35=0,Z35=0),"",Y35/Z35-1)</f>
        <v/>
      </c>
      <c r="AE35">
        <f>IF(X35=0,"",Y35+ROW()/1000000)</f>
        <v/>
      </c>
      <c r="AF35">
        <f>IF(AC35="","",AC35+ROW()/1000000000)</f>
        <v/>
      </c>
      <c r="AG35">
        <f>IF(AD35="","",AD35+ROW()/1000000000)</f>
        <v/>
      </c>
      <c r="AW35">
        <f>IFERROR(SMALL(WSF_CELLS_CURRENT!$N:$N,32),"")</f>
        <v/>
      </c>
      <c r="AX35">
        <f>IF($AW35="","",INDEX(WSF_CELLS_CURRENT!$C:$C,$AW35))</f>
        <v/>
      </c>
      <c r="AY35">
        <f>IF($AW35="","",INDEX(WSF_CELLS_CURRENT!$D:$D,$AW35))</f>
        <v/>
      </c>
      <c r="AZ35">
        <f>IF($AW35="","",INDEX(WSF_CELLS_CURRENT!$E:$E,$AW35))</f>
        <v/>
      </c>
    </row>
    <row r="36">
      <c r="A36" t="n">
        <v>15</v>
      </c>
      <c r="B36" s="170">
        <f>IF($B$10=0,"",$B$10-7*A36)</f>
        <v/>
      </c>
      <c r="C36">
        <f>IF(B36="","",MONTH(B36))</f>
        <v/>
      </c>
      <c r="D36">
        <f>IF(B36="","",ROUNDUP(MONTH(B36)/3,0))</f>
        <v/>
      </c>
      <c r="E36">
        <f>IF(B36="","",YEAR(B36))</f>
        <v/>
      </c>
      <c r="F36">
        <f>IF(B36="",0,COUNTIFS(DATA_WSF!$A:$A,B36,DATA_WSF!$C:$C,$B$6,DATA_WSF!$D:$D,$B$7))</f>
        <v/>
      </c>
      <c r="G36">
        <f>IF(F36=0,0,SUMIFS(DATA_WSF!$H:$H,DATA_WSF!$A:$A,B36,DATA_WSF!$C:$C,$B$6,DATA_WSF!$D:$D,$B$7))</f>
        <v/>
      </c>
      <c r="H36">
        <f>IF(F36=0,0,SUMIFS(DATA_WSF!$I:$I,DATA_WSF!$A:$A,B36,DATA_WSF!$C:$C,$B$6,DATA_WSF!$D:$D,$B$7))</f>
        <v/>
      </c>
      <c r="I36">
        <f>IF(F36=0,0,SUMIFS(DATA_WSF!$K:$K,DATA_WSF!$A:$A,B36,DATA_WSF!$C:$C,$B$6,DATA_WSF!$D:$D,$B$7))</f>
        <v/>
      </c>
      <c r="J36">
        <f>G36+H36</f>
        <v/>
      </c>
      <c r="K36">
        <f>J36+I36</f>
        <v/>
      </c>
      <c r="L36">
        <f>IF(F36=0,0,SUMIFS(DATA_WSF!$E:$E,DATA_WSF!$A:$A,B36,DATA_WSF!$C:$C,$B$6,DATA_WSF!$D:$D,$B$7))</f>
        <v/>
      </c>
      <c r="M36">
        <f>IF(F36=0,0,SUMIFS(DATA_WSF!$F:$F,DATA_WSF!$A:$A,B36,DATA_WSF!$C:$C,$B$6,DATA_WSF!$D:$D,$B$7))</f>
        <v/>
      </c>
      <c r="N36">
        <f>L36-M36</f>
        <v/>
      </c>
      <c r="O36">
        <f>IF(L36=0,0,M36/L36)</f>
        <v/>
      </c>
      <c r="P36">
        <f>IF(M36=0,0,K36/M36)</f>
        <v/>
      </c>
      <c r="Q36">
        <f>IF(F36&gt;0,1,0)</f>
        <v/>
      </c>
      <c r="R36">
        <f>IF(AND(A36&gt;=1,A36&lt;=$B$11),Q36,0)</f>
        <v/>
      </c>
      <c r="S36">
        <f>IF(AND(C36=$B$12,E36=$B$14),Q36,0)</f>
        <v/>
      </c>
      <c r="T36">
        <f>IF(AND(D36=$B$13,E36=$B$14),Q36,0)</f>
        <v/>
      </c>
      <c r="U36">
        <f>IF(E36=$B$14,Q36,0)</f>
        <v/>
      </c>
      <c r="W36">
        <f>IFERROR(INDEX(MASTER_AREAS!$B:$B,35)&amp;"","")</f>
        <v/>
      </c>
      <c r="X36">
        <f>IF(OR(W36="",$B$10=0),0,COUNTIFS(DATA_WSF!$A:$A,$B$10,DATA_WSF!$C:$C,W36))</f>
        <v/>
      </c>
      <c r="Y36">
        <f>IF(X36=0,0,SUMIFS(DATA_WSF!$L:$L,DATA_WSF!$A:$A,$B$10,DATA_WSF!$C:$C,W36))</f>
        <v/>
      </c>
      <c r="Z36">
        <f>IF(OR(W36="",$B$10=0),0,SUMIFS(DATA_WSF!$L:$L,DATA_WSF!$A:$A,$B$10-7,DATA_WSF!$C:$C,W36))</f>
        <v/>
      </c>
      <c r="AA36">
        <f>IF(X36=0,0,SUMIFS(DATA_WSF!$E:$E,DATA_WSF!$A:$A,$B$10,DATA_WSF!$C:$C,W36))</f>
        <v/>
      </c>
      <c r="AB36">
        <f>IF(X36=0,0,SUMIFS(DATA_WSF!$F:$F,DATA_WSF!$A:$A,$B$10,DATA_WSF!$C:$C,W36))</f>
        <v/>
      </c>
      <c r="AC36">
        <f>IF(AA36=0,"",AB36/AA36)</f>
        <v/>
      </c>
      <c r="AD36">
        <f>IF(OR(X36=0,Z36=0),"",Y36/Z36-1)</f>
        <v/>
      </c>
      <c r="AE36">
        <f>IF(X36=0,"",Y36+ROW()/1000000)</f>
        <v/>
      </c>
      <c r="AF36">
        <f>IF(AC36="","",AC36+ROW()/1000000000)</f>
        <v/>
      </c>
      <c r="AG36">
        <f>IF(AD36="","",AD36+ROW()/1000000000)</f>
        <v/>
      </c>
      <c r="AW36">
        <f>IFERROR(SMALL(WSF_CELLS_CURRENT!$N:$N,33),"")</f>
        <v/>
      </c>
      <c r="AX36">
        <f>IF($AW36="","",INDEX(WSF_CELLS_CURRENT!$C:$C,$AW36))</f>
        <v/>
      </c>
      <c r="AY36">
        <f>IF($AW36="","",INDEX(WSF_CELLS_CURRENT!$D:$D,$AW36))</f>
        <v/>
      </c>
      <c r="AZ36">
        <f>IF($AW36="","",INDEX(WSF_CELLS_CURRENT!$E:$E,$AW36))</f>
        <v/>
      </c>
    </row>
    <row r="37">
      <c r="A37" t="n">
        <v>16</v>
      </c>
      <c r="B37" s="170">
        <f>IF($B$10=0,"",$B$10-7*A37)</f>
        <v/>
      </c>
      <c r="C37">
        <f>IF(B37="","",MONTH(B37))</f>
        <v/>
      </c>
      <c r="D37">
        <f>IF(B37="","",ROUNDUP(MONTH(B37)/3,0))</f>
        <v/>
      </c>
      <c r="E37">
        <f>IF(B37="","",YEAR(B37))</f>
        <v/>
      </c>
      <c r="F37">
        <f>IF(B37="",0,COUNTIFS(DATA_WSF!$A:$A,B37,DATA_WSF!$C:$C,$B$6,DATA_WSF!$D:$D,$B$7))</f>
        <v/>
      </c>
      <c r="G37">
        <f>IF(F37=0,0,SUMIFS(DATA_WSF!$H:$H,DATA_WSF!$A:$A,B37,DATA_WSF!$C:$C,$B$6,DATA_WSF!$D:$D,$B$7))</f>
        <v/>
      </c>
      <c r="H37">
        <f>IF(F37=0,0,SUMIFS(DATA_WSF!$I:$I,DATA_WSF!$A:$A,B37,DATA_WSF!$C:$C,$B$6,DATA_WSF!$D:$D,$B$7))</f>
        <v/>
      </c>
      <c r="I37">
        <f>IF(F37=0,0,SUMIFS(DATA_WSF!$K:$K,DATA_WSF!$A:$A,B37,DATA_WSF!$C:$C,$B$6,DATA_WSF!$D:$D,$B$7))</f>
        <v/>
      </c>
      <c r="J37">
        <f>G37+H37</f>
        <v/>
      </c>
      <c r="K37">
        <f>J37+I37</f>
        <v/>
      </c>
      <c r="L37">
        <f>IF(F37=0,0,SUMIFS(DATA_WSF!$E:$E,DATA_WSF!$A:$A,B37,DATA_WSF!$C:$C,$B$6,DATA_WSF!$D:$D,$B$7))</f>
        <v/>
      </c>
      <c r="M37">
        <f>IF(F37=0,0,SUMIFS(DATA_WSF!$F:$F,DATA_WSF!$A:$A,B37,DATA_WSF!$C:$C,$B$6,DATA_WSF!$D:$D,$B$7))</f>
        <v/>
      </c>
      <c r="N37">
        <f>L37-M37</f>
        <v/>
      </c>
      <c r="O37">
        <f>IF(L37=0,0,M37/L37)</f>
        <v/>
      </c>
      <c r="P37">
        <f>IF(M37=0,0,K37/M37)</f>
        <v/>
      </c>
      <c r="Q37">
        <f>IF(F37&gt;0,1,0)</f>
        <v/>
      </c>
      <c r="R37">
        <f>IF(AND(A37&gt;=1,A37&lt;=$B$11),Q37,0)</f>
        <v/>
      </c>
      <c r="S37">
        <f>IF(AND(C37=$B$12,E37=$B$14),Q37,0)</f>
        <v/>
      </c>
      <c r="T37">
        <f>IF(AND(D37=$B$13,E37=$B$14),Q37,0)</f>
        <v/>
      </c>
      <c r="U37">
        <f>IF(E37=$B$14,Q37,0)</f>
        <v/>
      </c>
      <c r="W37">
        <f>IFERROR(INDEX(MASTER_AREAS!$B:$B,36)&amp;"","")</f>
        <v/>
      </c>
      <c r="X37">
        <f>IF(OR(W37="",$B$10=0),0,COUNTIFS(DATA_WSF!$A:$A,$B$10,DATA_WSF!$C:$C,W37))</f>
        <v/>
      </c>
      <c r="Y37">
        <f>IF(X37=0,0,SUMIFS(DATA_WSF!$L:$L,DATA_WSF!$A:$A,$B$10,DATA_WSF!$C:$C,W37))</f>
        <v/>
      </c>
      <c r="Z37">
        <f>IF(OR(W37="",$B$10=0),0,SUMIFS(DATA_WSF!$L:$L,DATA_WSF!$A:$A,$B$10-7,DATA_WSF!$C:$C,W37))</f>
        <v/>
      </c>
      <c r="AA37">
        <f>IF(X37=0,0,SUMIFS(DATA_WSF!$E:$E,DATA_WSF!$A:$A,$B$10,DATA_WSF!$C:$C,W37))</f>
        <v/>
      </c>
      <c r="AB37">
        <f>IF(X37=0,0,SUMIFS(DATA_WSF!$F:$F,DATA_WSF!$A:$A,$B$10,DATA_WSF!$C:$C,W37))</f>
        <v/>
      </c>
      <c r="AC37">
        <f>IF(AA37=0,"",AB37/AA37)</f>
        <v/>
      </c>
      <c r="AD37">
        <f>IF(OR(X37=0,Z37=0),"",Y37/Z37-1)</f>
        <v/>
      </c>
      <c r="AE37">
        <f>IF(X37=0,"",Y37+ROW()/1000000)</f>
        <v/>
      </c>
      <c r="AF37">
        <f>IF(AC37="","",AC37+ROW()/1000000000)</f>
        <v/>
      </c>
      <c r="AG37">
        <f>IF(AD37="","",AD37+ROW()/1000000000)</f>
        <v/>
      </c>
      <c r="AW37">
        <f>IFERROR(SMALL(WSF_CELLS_CURRENT!$N:$N,34),"")</f>
        <v/>
      </c>
      <c r="AX37">
        <f>IF($AW37="","",INDEX(WSF_CELLS_CURRENT!$C:$C,$AW37))</f>
        <v/>
      </c>
      <c r="AY37">
        <f>IF($AW37="","",INDEX(WSF_CELLS_CURRENT!$D:$D,$AW37))</f>
        <v/>
      </c>
      <c r="AZ37">
        <f>IF($AW37="","",INDEX(WSF_CELLS_CURRENT!$E:$E,$AW37))</f>
        <v/>
      </c>
    </row>
    <row r="38">
      <c r="A38" t="n">
        <v>17</v>
      </c>
      <c r="B38" s="170">
        <f>IF($B$10=0,"",$B$10-7*A38)</f>
        <v/>
      </c>
      <c r="C38">
        <f>IF(B38="","",MONTH(B38))</f>
        <v/>
      </c>
      <c r="D38">
        <f>IF(B38="","",ROUNDUP(MONTH(B38)/3,0))</f>
        <v/>
      </c>
      <c r="E38">
        <f>IF(B38="","",YEAR(B38))</f>
        <v/>
      </c>
      <c r="F38">
        <f>IF(B38="",0,COUNTIFS(DATA_WSF!$A:$A,B38,DATA_WSF!$C:$C,$B$6,DATA_WSF!$D:$D,$B$7))</f>
        <v/>
      </c>
      <c r="G38">
        <f>IF(F38=0,0,SUMIFS(DATA_WSF!$H:$H,DATA_WSF!$A:$A,B38,DATA_WSF!$C:$C,$B$6,DATA_WSF!$D:$D,$B$7))</f>
        <v/>
      </c>
      <c r="H38">
        <f>IF(F38=0,0,SUMIFS(DATA_WSF!$I:$I,DATA_WSF!$A:$A,B38,DATA_WSF!$C:$C,$B$6,DATA_WSF!$D:$D,$B$7))</f>
        <v/>
      </c>
      <c r="I38">
        <f>IF(F38=0,0,SUMIFS(DATA_WSF!$K:$K,DATA_WSF!$A:$A,B38,DATA_WSF!$C:$C,$B$6,DATA_WSF!$D:$D,$B$7))</f>
        <v/>
      </c>
      <c r="J38">
        <f>G38+H38</f>
        <v/>
      </c>
      <c r="K38">
        <f>J38+I38</f>
        <v/>
      </c>
      <c r="L38">
        <f>IF(F38=0,0,SUMIFS(DATA_WSF!$E:$E,DATA_WSF!$A:$A,B38,DATA_WSF!$C:$C,$B$6,DATA_WSF!$D:$D,$B$7))</f>
        <v/>
      </c>
      <c r="M38">
        <f>IF(F38=0,0,SUMIFS(DATA_WSF!$F:$F,DATA_WSF!$A:$A,B38,DATA_WSF!$C:$C,$B$6,DATA_WSF!$D:$D,$B$7))</f>
        <v/>
      </c>
      <c r="N38">
        <f>L38-M38</f>
        <v/>
      </c>
      <c r="O38">
        <f>IF(L38=0,0,M38/L38)</f>
        <v/>
      </c>
      <c r="P38">
        <f>IF(M38=0,0,K38/M38)</f>
        <v/>
      </c>
      <c r="Q38">
        <f>IF(F38&gt;0,1,0)</f>
        <v/>
      </c>
      <c r="R38">
        <f>IF(AND(A38&gt;=1,A38&lt;=$B$11),Q38,0)</f>
        <v/>
      </c>
      <c r="S38">
        <f>IF(AND(C38=$B$12,E38=$B$14),Q38,0)</f>
        <v/>
      </c>
      <c r="T38">
        <f>IF(AND(D38=$B$13,E38=$B$14),Q38,0)</f>
        <v/>
      </c>
      <c r="U38">
        <f>IF(E38=$B$14,Q38,0)</f>
        <v/>
      </c>
      <c r="W38">
        <f>IFERROR(INDEX(MASTER_AREAS!$B:$B,37)&amp;"","")</f>
        <v/>
      </c>
      <c r="X38">
        <f>IF(OR(W38="",$B$10=0),0,COUNTIFS(DATA_WSF!$A:$A,$B$10,DATA_WSF!$C:$C,W38))</f>
        <v/>
      </c>
      <c r="Y38">
        <f>IF(X38=0,0,SUMIFS(DATA_WSF!$L:$L,DATA_WSF!$A:$A,$B$10,DATA_WSF!$C:$C,W38))</f>
        <v/>
      </c>
      <c r="Z38">
        <f>IF(OR(W38="",$B$10=0),0,SUMIFS(DATA_WSF!$L:$L,DATA_WSF!$A:$A,$B$10-7,DATA_WSF!$C:$C,W38))</f>
        <v/>
      </c>
      <c r="AA38">
        <f>IF(X38=0,0,SUMIFS(DATA_WSF!$E:$E,DATA_WSF!$A:$A,$B$10,DATA_WSF!$C:$C,W38))</f>
        <v/>
      </c>
      <c r="AB38">
        <f>IF(X38=0,0,SUMIFS(DATA_WSF!$F:$F,DATA_WSF!$A:$A,$B$10,DATA_WSF!$C:$C,W38))</f>
        <v/>
      </c>
      <c r="AC38">
        <f>IF(AA38=0,"",AB38/AA38)</f>
        <v/>
      </c>
      <c r="AD38">
        <f>IF(OR(X38=0,Z38=0),"",Y38/Z38-1)</f>
        <v/>
      </c>
      <c r="AE38">
        <f>IF(X38=0,"",Y38+ROW()/1000000)</f>
        <v/>
      </c>
      <c r="AF38">
        <f>IF(AC38="","",AC38+ROW()/1000000000)</f>
        <v/>
      </c>
      <c r="AG38">
        <f>IF(AD38="","",AD38+ROW()/1000000000)</f>
        <v/>
      </c>
      <c r="AW38">
        <f>IFERROR(SMALL(WSF_CELLS_CURRENT!$N:$N,35),"")</f>
        <v/>
      </c>
      <c r="AX38">
        <f>IF($AW38="","",INDEX(WSF_CELLS_CURRENT!$C:$C,$AW38))</f>
        <v/>
      </c>
      <c r="AY38">
        <f>IF($AW38="","",INDEX(WSF_CELLS_CURRENT!$D:$D,$AW38))</f>
        <v/>
      </c>
      <c r="AZ38">
        <f>IF($AW38="","",INDEX(WSF_CELLS_CURRENT!$E:$E,$AW38))</f>
        <v/>
      </c>
    </row>
    <row r="39">
      <c r="A39" t="n">
        <v>18</v>
      </c>
      <c r="B39" s="170">
        <f>IF($B$10=0,"",$B$10-7*A39)</f>
        <v/>
      </c>
      <c r="C39">
        <f>IF(B39="","",MONTH(B39))</f>
        <v/>
      </c>
      <c r="D39">
        <f>IF(B39="","",ROUNDUP(MONTH(B39)/3,0))</f>
        <v/>
      </c>
      <c r="E39">
        <f>IF(B39="","",YEAR(B39))</f>
        <v/>
      </c>
      <c r="F39">
        <f>IF(B39="",0,COUNTIFS(DATA_WSF!$A:$A,B39,DATA_WSF!$C:$C,$B$6,DATA_WSF!$D:$D,$B$7))</f>
        <v/>
      </c>
      <c r="G39">
        <f>IF(F39=0,0,SUMIFS(DATA_WSF!$H:$H,DATA_WSF!$A:$A,B39,DATA_WSF!$C:$C,$B$6,DATA_WSF!$D:$D,$B$7))</f>
        <v/>
      </c>
      <c r="H39">
        <f>IF(F39=0,0,SUMIFS(DATA_WSF!$I:$I,DATA_WSF!$A:$A,B39,DATA_WSF!$C:$C,$B$6,DATA_WSF!$D:$D,$B$7))</f>
        <v/>
      </c>
      <c r="I39">
        <f>IF(F39=0,0,SUMIFS(DATA_WSF!$K:$K,DATA_WSF!$A:$A,B39,DATA_WSF!$C:$C,$B$6,DATA_WSF!$D:$D,$B$7))</f>
        <v/>
      </c>
      <c r="J39">
        <f>G39+H39</f>
        <v/>
      </c>
      <c r="K39">
        <f>J39+I39</f>
        <v/>
      </c>
      <c r="L39">
        <f>IF(F39=0,0,SUMIFS(DATA_WSF!$E:$E,DATA_WSF!$A:$A,B39,DATA_WSF!$C:$C,$B$6,DATA_WSF!$D:$D,$B$7))</f>
        <v/>
      </c>
      <c r="M39">
        <f>IF(F39=0,0,SUMIFS(DATA_WSF!$F:$F,DATA_WSF!$A:$A,B39,DATA_WSF!$C:$C,$B$6,DATA_WSF!$D:$D,$B$7))</f>
        <v/>
      </c>
      <c r="N39">
        <f>L39-M39</f>
        <v/>
      </c>
      <c r="O39">
        <f>IF(L39=0,0,M39/L39)</f>
        <v/>
      </c>
      <c r="P39">
        <f>IF(M39=0,0,K39/M39)</f>
        <v/>
      </c>
      <c r="Q39">
        <f>IF(F39&gt;0,1,0)</f>
        <v/>
      </c>
      <c r="R39">
        <f>IF(AND(A39&gt;=1,A39&lt;=$B$11),Q39,0)</f>
        <v/>
      </c>
      <c r="S39">
        <f>IF(AND(C39=$B$12,E39=$B$14),Q39,0)</f>
        <v/>
      </c>
      <c r="T39">
        <f>IF(AND(D39=$B$13,E39=$B$14),Q39,0)</f>
        <v/>
      </c>
      <c r="U39">
        <f>IF(E39=$B$14,Q39,0)</f>
        <v/>
      </c>
      <c r="W39">
        <f>IFERROR(INDEX(MASTER_AREAS!$B:$B,38)&amp;"","")</f>
        <v/>
      </c>
      <c r="X39">
        <f>IF(OR(W39="",$B$10=0),0,COUNTIFS(DATA_WSF!$A:$A,$B$10,DATA_WSF!$C:$C,W39))</f>
        <v/>
      </c>
      <c r="Y39">
        <f>IF(X39=0,0,SUMIFS(DATA_WSF!$L:$L,DATA_WSF!$A:$A,$B$10,DATA_WSF!$C:$C,W39))</f>
        <v/>
      </c>
      <c r="Z39">
        <f>IF(OR(W39="",$B$10=0),0,SUMIFS(DATA_WSF!$L:$L,DATA_WSF!$A:$A,$B$10-7,DATA_WSF!$C:$C,W39))</f>
        <v/>
      </c>
      <c r="AA39">
        <f>IF(X39=0,0,SUMIFS(DATA_WSF!$E:$E,DATA_WSF!$A:$A,$B$10,DATA_WSF!$C:$C,W39))</f>
        <v/>
      </c>
      <c r="AB39">
        <f>IF(X39=0,0,SUMIFS(DATA_WSF!$F:$F,DATA_WSF!$A:$A,$B$10,DATA_WSF!$C:$C,W39))</f>
        <v/>
      </c>
      <c r="AC39">
        <f>IF(AA39=0,"",AB39/AA39)</f>
        <v/>
      </c>
      <c r="AD39">
        <f>IF(OR(X39=0,Z39=0),"",Y39/Z39-1)</f>
        <v/>
      </c>
      <c r="AE39">
        <f>IF(X39=0,"",Y39+ROW()/1000000)</f>
        <v/>
      </c>
      <c r="AF39">
        <f>IF(AC39="","",AC39+ROW()/1000000000)</f>
        <v/>
      </c>
      <c r="AG39">
        <f>IF(AD39="","",AD39+ROW()/1000000000)</f>
        <v/>
      </c>
      <c r="AW39">
        <f>IFERROR(SMALL(WSF_CELLS_CURRENT!$N:$N,36),"")</f>
        <v/>
      </c>
      <c r="AX39">
        <f>IF($AW39="","",INDEX(WSF_CELLS_CURRENT!$C:$C,$AW39))</f>
        <v/>
      </c>
      <c r="AY39">
        <f>IF($AW39="","",INDEX(WSF_CELLS_CURRENT!$D:$D,$AW39))</f>
        <v/>
      </c>
      <c r="AZ39">
        <f>IF($AW39="","",INDEX(WSF_CELLS_CURRENT!$E:$E,$AW39))</f>
        <v/>
      </c>
    </row>
    <row r="40">
      <c r="A40" t="n">
        <v>19</v>
      </c>
      <c r="B40" s="170">
        <f>IF($B$10=0,"",$B$10-7*A40)</f>
        <v/>
      </c>
      <c r="C40">
        <f>IF(B40="","",MONTH(B40))</f>
        <v/>
      </c>
      <c r="D40">
        <f>IF(B40="","",ROUNDUP(MONTH(B40)/3,0))</f>
        <v/>
      </c>
      <c r="E40">
        <f>IF(B40="","",YEAR(B40))</f>
        <v/>
      </c>
      <c r="F40">
        <f>IF(B40="",0,COUNTIFS(DATA_WSF!$A:$A,B40,DATA_WSF!$C:$C,$B$6,DATA_WSF!$D:$D,$B$7))</f>
        <v/>
      </c>
      <c r="G40">
        <f>IF(F40=0,0,SUMIFS(DATA_WSF!$H:$H,DATA_WSF!$A:$A,B40,DATA_WSF!$C:$C,$B$6,DATA_WSF!$D:$D,$B$7))</f>
        <v/>
      </c>
      <c r="H40">
        <f>IF(F40=0,0,SUMIFS(DATA_WSF!$I:$I,DATA_WSF!$A:$A,B40,DATA_WSF!$C:$C,$B$6,DATA_WSF!$D:$D,$B$7))</f>
        <v/>
      </c>
      <c r="I40">
        <f>IF(F40=0,0,SUMIFS(DATA_WSF!$K:$K,DATA_WSF!$A:$A,B40,DATA_WSF!$C:$C,$B$6,DATA_WSF!$D:$D,$B$7))</f>
        <v/>
      </c>
      <c r="J40">
        <f>G40+H40</f>
        <v/>
      </c>
      <c r="K40">
        <f>J40+I40</f>
        <v/>
      </c>
      <c r="L40">
        <f>IF(F40=0,0,SUMIFS(DATA_WSF!$E:$E,DATA_WSF!$A:$A,B40,DATA_WSF!$C:$C,$B$6,DATA_WSF!$D:$D,$B$7))</f>
        <v/>
      </c>
      <c r="M40">
        <f>IF(F40=0,0,SUMIFS(DATA_WSF!$F:$F,DATA_WSF!$A:$A,B40,DATA_WSF!$C:$C,$B$6,DATA_WSF!$D:$D,$B$7))</f>
        <v/>
      </c>
      <c r="N40">
        <f>L40-M40</f>
        <v/>
      </c>
      <c r="O40">
        <f>IF(L40=0,0,M40/L40)</f>
        <v/>
      </c>
      <c r="P40">
        <f>IF(M40=0,0,K40/M40)</f>
        <v/>
      </c>
      <c r="Q40">
        <f>IF(F40&gt;0,1,0)</f>
        <v/>
      </c>
      <c r="R40">
        <f>IF(AND(A40&gt;=1,A40&lt;=$B$11),Q40,0)</f>
        <v/>
      </c>
      <c r="S40">
        <f>IF(AND(C40=$B$12,E40=$B$14),Q40,0)</f>
        <v/>
      </c>
      <c r="T40">
        <f>IF(AND(D40=$B$13,E40=$B$14),Q40,0)</f>
        <v/>
      </c>
      <c r="U40">
        <f>IF(E40=$B$14,Q40,0)</f>
        <v/>
      </c>
      <c r="W40">
        <f>IFERROR(INDEX(MASTER_AREAS!$B:$B,39)&amp;"","")</f>
        <v/>
      </c>
      <c r="X40">
        <f>IF(OR(W40="",$B$10=0),0,COUNTIFS(DATA_WSF!$A:$A,$B$10,DATA_WSF!$C:$C,W40))</f>
        <v/>
      </c>
      <c r="Y40">
        <f>IF(X40=0,0,SUMIFS(DATA_WSF!$L:$L,DATA_WSF!$A:$A,$B$10,DATA_WSF!$C:$C,W40))</f>
        <v/>
      </c>
      <c r="Z40">
        <f>IF(OR(W40="",$B$10=0),0,SUMIFS(DATA_WSF!$L:$L,DATA_WSF!$A:$A,$B$10-7,DATA_WSF!$C:$C,W40))</f>
        <v/>
      </c>
      <c r="AA40">
        <f>IF(X40=0,0,SUMIFS(DATA_WSF!$E:$E,DATA_WSF!$A:$A,$B$10,DATA_WSF!$C:$C,W40))</f>
        <v/>
      </c>
      <c r="AB40">
        <f>IF(X40=0,0,SUMIFS(DATA_WSF!$F:$F,DATA_WSF!$A:$A,$B$10,DATA_WSF!$C:$C,W40))</f>
        <v/>
      </c>
      <c r="AC40">
        <f>IF(AA40=0,"",AB40/AA40)</f>
        <v/>
      </c>
      <c r="AD40">
        <f>IF(OR(X40=0,Z40=0),"",Y40/Z40-1)</f>
        <v/>
      </c>
      <c r="AE40">
        <f>IF(X40=0,"",Y40+ROW()/1000000)</f>
        <v/>
      </c>
      <c r="AF40">
        <f>IF(AC40="","",AC40+ROW()/1000000000)</f>
        <v/>
      </c>
      <c r="AG40">
        <f>IF(AD40="","",AD40+ROW()/1000000000)</f>
        <v/>
      </c>
      <c r="AW40">
        <f>IFERROR(SMALL(WSF_CELLS_CURRENT!$N:$N,37),"")</f>
        <v/>
      </c>
      <c r="AX40">
        <f>IF($AW40="","",INDEX(WSF_CELLS_CURRENT!$C:$C,$AW40))</f>
        <v/>
      </c>
      <c r="AY40">
        <f>IF($AW40="","",INDEX(WSF_CELLS_CURRENT!$D:$D,$AW40))</f>
        <v/>
      </c>
      <c r="AZ40">
        <f>IF($AW40="","",INDEX(WSF_CELLS_CURRENT!$E:$E,$AW40))</f>
        <v/>
      </c>
    </row>
    <row r="41">
      <c r="A41" t="n">
        <v>20</v>
      </c>
      <c r="B41" s="170">
        <f>IF($B$10=0,"",$B$10-7*A41)</f>
        <v/>
      </c>
      <c r="C41">
        <f>IF(B41="","",MONTH(B41))</f>
        <v/>
      </c>
      <c r="D41">
        <f>IF(B41="","",ROUNDUP(MONTH(B41)/3,0))</f>
        <v/>
      </c>
      <c r="E41">
        <f>IF(B41="","",YEAR(B41))</f>
        <v/>
      </c>
      <c r="F41">
        <f>IF(B41="",0,COUNTIFS(DATA_WSF!$A:$A,B41,DATA_WSF!$C:$C,$B$6,DATA_WSF!$D:$D,$B$7))</f>
        <v/>
      </c>
      <c r="G41">
        <f>IF(F41=0,0,SUMIFS(DATA_WSF!$H:$H,DATA_WSF!$A:$A,B41,DATA_WSF!$C:$C,$B$6,DATA_WSF!$D:$D,$B$7))</f>
        <v/>
      </c>
      <c r="H41">
        <f>IF(F41=0,0,SUMIFS(DATA_WSF!$I:$I,DATA_WSF!$A:$A,B41,DATA_WSF!$C:$C,$B$6,DATA_WSF!$D:$D,$B$7))</f>
        <v/>
      </c>
      <c r="I41">
        <f>IF(F41=0,0,SUMIFS(DATA_WSF!$K:$K,DATA_WSF!$A:$A,B41,DATA_WSF!$C:$C,$B$6,DATA_WSF!$D:$D,$B$7))</f>
        <v/>
      </c>
      <c r="J41">
        <f>G41+H41</f>
        <v/>
      </c>
      <c r="K41">
        <f>J41+I41</f>
        <v/>
      </c>
      <c r="L41">
        <f>IF(F41=0,0,SUMIFS(DATA_WSF!$E:$E,DATA_WSF!$A:$A,B41,DATA_WSF!$C:$C,$B$6,DATA_WSF!$D:$D,$B$7))</f>
        <v/>
      </c>
      <c r="M41">
        <f>IF(F41=0,0,SUMIFS(DATA_WSF!$F:$F,DATA_WSF!$A:$A,B41,DATA_WSF!$C:$C,$B$6,DATA_WSF!$D:$D,$B$7))</f>
        <v/>
      </c>
      <c r="N41">
        <f>L41-M41</f>
        <v/>
      </c>
      <c r="O41">
        <f>IF(L41=0,0,M41/L41)</f>
        <v/>
      </c>
      <c r="P41">
        <f>IF(M41=0,0,K41/M41)</f>
        <v/>
      </c>
      <c r="Q41">
        <f>IF(F41&gt;0,1,0)</f>
        <v/>
      </c>
      <c r="R41">
        <f>IF(AND(A41&gt;=1,A41&lt;=$B$11),Q41,0)</f>
        <v/>
      </c>
      <c r="S41">
        <f>IF(AND(C41=$B$12,E41=$B$14),Q41,0)</f>
        <v/>
      </c>
      <c r="T41">
        <f>IF(AND(D41=$B$13,E41=$B$14),Q41,0)</f>
        <v/>
      </c>
      <c r="U41">
        <f>IF(E41=$B$14,Q41,0)</f>
        <v/>
      </c>
      <c r="W41">
        <f>IFERROR(INDEX(MASTER_AREAS!$B:$B,40)&amp;"","")</f>
        <v/>
      </c>
      <c r="X41">
        <f>IF(OR(W41="",$B$10=0),0,COUNTIFS(DATA_WSF!$A:$A,$B$10,DATA_WSF!$C:$C,W41))</f>
        <v/>
      </c>
      <c r="Y41">
        <f>IF(X41=0,0,SUMIFS(DATA_WSF!$L:$L,DATA_WSF!$A:$A,$B$10,DATA_WSF!$C:$C,W41))</f>
        <v/>
      </c>
      <c r="Z41">
        <f>IF(OR(W41="",$B$10=0),0,SUMIFS(DATA_WSF!$L:$L,DATA_WSF!$A:$A,$B$10-7,DATA_WSF!$C:$C,W41))</f>
        <v/>
      </c>
      <c r="AA41">
        <f>IF(X41=0,0,SUMIFS(DATA_WSF!$E:$E,DATA_WSF!$A:$A,$B$10,DATA_WSF!$C:$C,W41))</f>
        <v/>
      </c>
      <c r="AB41">
        <f>IF(X41=0,0,SUMIFS(DATA_WSF!$F:$F,DATA_WSF!$A:$A,$B$10,DATA_WSF!$C:$C,W41))</f>
        <v/>
      </c>
      <c r="AC41">
        <f>IF(AA41=0,"",AB41/AA41)</f>
        <v/>
      </c>
      <c r="AD41">
        <f>IF(OR(X41=0,Z41=0),"",Y41/Z41-1)</f>
        <v/>
      </c>
      <c r="AE41">
        <f>IF(X41=0,"",Y41+ROW()/1000000)</f>
        <v/>
      </c>
      <c r="AF41">
        <f>IF(AC41="","",AC41+ROW()/1000000000)</f>
        <v/>
      </c>
      <c r="AG41">
        <f>IF(AD41="","",AD41+ROW()/1000000000)</f>
        <v/>
      </c>
      <c r="AW41">
        <f>IFERROR(SMALL(WSF_CELLS_CURRENT!$N:$N,38),"")</f>
        <v/>
      </c>
      <c r="AX41">
        <f>IF($AW41="","",INDEX(WSF_CELLS_CURRENT!$C:$C,$AW41))</f>
        <v/>
      </c>
      <c r="AY41">
        <f>IF($AW41="","",INDEX(WSF_CELLS_CURRENT!$D:$D,$AW41))</f>
        <v/>
      </c>
      <c r="AZ41">
        <f>IF($AW41="","",INDEX(WSF_CELLS_CURRENT!$E:$E,$AW41))</f>
        <v/>
      </c>
    </row>
    <row r="42">
      <c r="A42" t="n">
        <v>21</v>
      </c>
      <c r="B42" s="170">
        <f>IF($B$10=0,"",$B$10-7*A42)</f>
        <v/>
      </c>
      <c r="C42">
        <f>IF(B42="","",MONTH(B42))</f>
        <v/>
      </c>
      <c r="D42">
        <f>IF(B42="","",ROUNDUP(MONTH(B42)/3,0))</f>
        <v/>
      </c>
      <c r="E42">
        <f>IF(B42="","",YEAR(B42))</f>
        <v/>
      </c>
      <c r="F42">
        <f>IF(B42="",0,COUNTIFS(DATA_WSF!$A:$A,B42,DATA_WSF!$C:$C,$B$6,DATA_WSF!$D:$D,$B$7))</f>
        <v/>
      </c>
      <c r="G42">
        <f>IF(F42=0,0,SUMIFS(DATA_WSF!$H:$H,DATA_WSF!$A:$A,B42,DATA_WSF!$C:$C,$B$6,DATA_WSF!$D:$D,$B$7))</f>
        <v/>
      </c>
      <c r="H42">
        <f>IF(F42=0,0,SUMIFS(DATA_WSF!$I:$I,DATA_WSF!$A:$A,B42,DATA_WSF!$C:$C,$B$6,DATA_WSF!$D:$D,$B$7))</f>
        <v/>
      </c>
      <c r="I42">
        <f>IF(F42=0,0,SUMIFS(DATA_WSF!$K:$K,DATA_WSF!$A:$A,B42,DATA_WSF!$C:$C,$B$6,DATA_WSF!$D:$D,$B$7))</f>
        <v/>
      </c>
      <c r="J42">
        <f>G42+H42</f>
        <v/>
      </c>
      <c r="K42">
        <f>J42+I42</f>
        <v/>
      </c>
      <c r="L42">
        <f>IF(F42=0,0,SUMIFS(DATA_WSF!$E:$E,DATA_WSF!$A:$A,B42,DATA_WSF!$C:$C,$B$6,DATA_WSF!$D:$D,$B$7))</f>
        <v/>
      </c>
      <c r="M42">
        <f>IF(F42=0,0,SUMIFS(DATA_WSF!$F:$F,DATA_WSF!$A:$A,B42,DATA_WSF!$C:$C,$B$6,DATA_WSF!$D:$D,$B$7))</f>
        <v/>
      </c>
      <c r="N42">
        <f>L42-M42</f>
        <v/>
      </c>
      <c r="O42">
        <f>IF(L42=0,0,M42/L42)</f>
        <v/>
      </c>
      <c r="P42">
        <f>IF(M42=0,0,K42/M42)</f>
        <v/>
      </c>
      <c r="Q42">
        <f>IF(F42&gt;0,1,0)</f>
        <v/>
      </c>
      <c r="R42">
        <f>IF(AND(A42&gt;=1,A42&lt;=$B$11),Q42,0)</f>
        <v/>
      </c>
      <c r="S42">
        <f>IF(AND(C42=$B$12,E42=$B$14),Q42,0)</f>
        <v/>
      </c>
      <c r="T42">
        <f>IF(AND(D42=$B$13,E42=$B$14),Q42,0)</f>
        <v/>
      </c>
      <c r="U42">
        <f>IF(E42=$B$14,Q42,0)</f>
        <v/>
      </c>
      <c r="W42">
        <f>IFERROR(INDEX(MASTER_AREAS!$B:$B,41)&amp;"","")</f>
        <v/>
      </c>
      <c r="X42">
        <f>IF(OR(W42="",$B$10=0),0,COUNTIFS(DATA_WSF!$A:$A,$B$10,DATA_WSF!$C:$C,W42))</f>
        <v/>
      </c>
      <c r="Y42">
        <f>IF(X42=0,0,SUMIFS(DATA_WSF!$L:$L,DATA_WSF!$A:$A,$B$10,DATA_WSF!$C:$C,W42))</f>
        <v/>
      </c>
      <c r="Z42">
        <f>IF(OR(W42="",$B$10=0),0,SUMIFS(DATA_WSF!$L:$L,DATA_WSF!$A:$A,$B$10-7,DATA_WSF!$C:$C,W42))</f>
        <v/>
      </c>
      <c r="AA42">
        <f>IF(X42=0,0,SUMIFS(DATA_WSF!$E:$E,DATA_WSF!$A:$A,$B$10,DATA_WSF!$C:$C,W42))</f>
        <v/>
      </c>
      <c r="AB42">
        <f>IF(X42=0,0,SUMIFS(DATA_WSF!$F:$F,DATA_WSF!$A:$A,$B$10,DATA_WSF!$C:$C,W42))</f>
        <v/>
      </c>
      <c r="AC42">
        <f>IF(AA42=0,"",AB42/AA42)</f>
        <v/>
      </c>
      <c r="AD42">
        <f>IF(OR(X42=0,Z42=0),"",Y42/Z42-1)</f>
        <v/>
      </c>
      <c r="AE42">
        <f>IF(X42=0,"",Y42+ROW()/1000000)</f>
        <v/>
      </c>
      <c r="AF42">
        <f>IF(AC42="","",AC42+ROW()/1000000000)</f>
        <v/>
      </c>
      <c r="AG42">
        <f>IF(AD42="","",AD42+ROW()/1000000000)</f>
        <v/>
      </c>
      <c r="AW42">
        <f>IFERROR(SMALL(WSF_CELLS_CURRENT!$N:$N,39),"")</f>
        <v/>
      </c>
      <c r="AX42">
        <f>IF($AW42="","",INDEX(WSF_CELLS_CURRENT!$C:$C,$AW42))</f>
        <v/>
      </c>
      <c r="AY42">
        <f>IF($AW42="","",INDEX(WSF_CELLS_CURRENT!$D:$D,$AW42))</f>
        <v/>
      </c>
      <c r="AZ42">
        <f>IF($AW42="","",INDEX(WSF_CELLS_CURRENT!$E:$E,$AW42))</f>
        <v/>
      </c>
    </row>
    <row r="43">
      <c r="A43" t="n">
        <v>22</v>
      </c>
      <c r="B43" s="170">
        <f>IF($B$10=0,"",$B$10-7*A43)</f>
        <v/>
      </c>
      <c r="C43">
        <f>IF(B43="","",MONTH(B43))</f>
        <v/>
      </c>
      <c r="D43">
        <f>IF(B43="","",ROUNDUP(MONTH(B43)/3,0))</f>
        <v/>
      </c>
      <c r="E43">
        <f>IF(B43="","",YEAR(B43))</f>
        <v/>
      </c>
      <c r="F43">
        <f>IF(B43="",0,COUNTIFS(DATA_WSF!$A:$A,B43,DATA_WSF!$C:$C,$B$6,DATA_WSF!$D:$D,$B$7))</f>
        <v/>
      </c>
      <c r="G43">
        <f>IF(F43=0,0,SUMIFS(DATA_WSF!$H:$H,DATA_WSF!$A:$A,B43,DATA_WSF!$C:$C,$B$6,DATA_WSF!$D:$D,$B$7))</f>
        <v/>
      </c>
      <c r="H43">
        <f>IF(F43=0,0,SUMIFS(DATA_WSF!$I:$I,DATA_WSF!$A:$A,B43,DATA_WSF!$C:$C,$B$6,DATA_WSF!$D:$D,$B$7))</f>
        <v/>
      </c>
      <c r="I43">
        <f>IF(F43=0,0,SUMIFS(DATA_WSF!$K:$K,DATA_WSF!$A:$A,B43,DATA_WSF!$C:$C,$B$6,DATA_WSF!$D:$D,$B$7))</f>
        <v/>
      </c>
      <c r="J43">
        <f>G43+H43</f>
        <v/>
      </c>
      <c r="K43">
        <f>J43+I43</f>
        <v/>
      </c>
      <c r="L43">
        <f>IF(F43=0,0,SUMIFS(DATA_WSF!$E:$E,DATA_WSF!$A:$A,B43,DATA_WSF!$C:$C,$B$6,DATA_WSF!$D:$D,$B$7))</f>
        <v/>
      </c>
      <c r="M43">
        <f>IF(F43=0,0,SUMIFS(DATA_WSF!$F:$F,DATA_WSF!$A:$A,B43,DATA_WSF!$C:$C,$B$6,DATA_WSF!$D:$D,$B$7))</f>
        <v/>
      </c>
      <c r="N43">
        <f>L43-M43</f>
        <v/>
      </c>
      <c r="O43">
        <f>IF(L43=0,0,M43/L43)</f>
        <v/>
      </c>
      <c r="P43">
        <f>IF(M43=0,0,K43/M43)</f>
        <v/>
      </c>
      <c r="Q43">
        <f>IF(F43&gt;0,1,0)</f>
        <v/>
      </c>
      <c r="R43">
        <f>IF(AND(A43&gt;=1,A43&lt;=$B$11),Q43,0)</f>
        <v/>
      </c>
      <c r="S43">
        <f>IF(AND(C43=$B$12,E43=$B$14),Q43,0)</f>
        <v/>
      </c>
      <c r="T43">
        <f>IF(AND(D43=$B$13,E43=$B$14),Q43,0)</f>
        <v/>
      </c>
      <c r="U43">
        <f>IF(E43=$B$14,Q43,0)</f>
        <v/>
      </c>
      <c r="W43">
        <f>IFERROR(INDEX(MASTER_AREAS!$B:$B,42)&amp;"","")</f>
        <v/>
      </c>
      <c r="X43">
        <f>IF(OR(W43="",$B$10=0),0,COUNTIFS(DATA_WSF!$A:$A,$B$10,DATA_WSF!$C:$C,W43))</f>
        <v/>
      </c>
      <c r="Y43">
        <f>IF(X43=0,0,SUMIFS(DATA_WSF!$L:$L,DATA_WSF!$A:$A,$B$10,DATA_WSF!$C:$C,W43))</f>
        <v/>
      </c>
      <c r="Z43">
        <f>IF(OR(W43="",$B$10=0),0,SUMIFS(DATA_WSF!$L:$L,DATA_WSF!$A:$A,$B$10-7,DATA_WSF!$C:$C,W43))</f>
        <v/>
      </c>
      <c r="AA43">
        <f>IF(X43=0,0,SUMIFS(DATA_WSF!$E:$E,DATA_WSF!$A:$A,$B$10,DATA_WSF!$C:$C,W43))</f>
        <v/>
      </c>
      <c r="AB43">
        <f>IF(X43=0,0,SUMIFS(DATA_WSF!$F:$F,DATA_WSF!$A:$A,$B$10,DATA_WSF!$C:$C,W43))</f>
        <v/>
      </c>
      <c r="AC43">
        <f>IF(AA43=0,"",AB43/AA43)</f>
        <v/>
      </c>
      <c r="AD43">
        <f>IF(OR(X43=0,Z43=0),"",Y43/Z43-1)</f>
        <v/>
      </c>
      <c r="AE43">
        <f>IF(X43=0,"",Y43+ROW()/1000000)</f>
        <v/>
      </c>
      <c r="AF43">
        <f>IF(AC43="","",AC43+ROW()/1000000000)</f>
        <v/>
      </c>
      <c r="AG43">
        <f>IF(AD43="","",AD43+ROW()/1000000000)</f>
        <v/>
      </c>
      <c r="AW43">
        <f>IFERROR(SMALL(WSF_CELLS_CURRENT!$N:$N,40),"")</f>
        <v/>
      </c>
      <c r="AX43">
        <f>IF($AW43="","",INDEX(WSF_CELLS_CURRENT!$C:$C,$AW43))</f>
        <v/>
      </c>
      <c r="AY43">
        <f>IF($AW43="","",INDEX(WSF_CELLS_CURRENT!$D:$D,$AW43))</f>
        <v/>
      </c>
      <c r="AZ43">
        <f>IF($AW43="","",INDEX(WSF_CELLS_CURRENT!$E:$E,$AW43))</f>
        <v/>
      </c>
    </row>
    <row r="44">
      <c r="A44" t="n">
        <v>23</v>
      </c>
      <c r="B44" s="170">
        <f>IF($B$10=0,"",$B$10-7*A44)</f>
        <v/>
      </c>
      <c r="C44">
        <f>IF(B44="","",MONTH(B44))</f>
        <v/>
      </c>
      <c r="D44">
        <f>IF(B44="","",ROUNDUP(MONTH(B44)/3,0))</f>
        <v/>
      </c>
      <c r="E44">
        <f>IF(B44="","",YEAR(B44))</f>
        <v/>
      </c>
      <c r="F44">
        <f>IF(B44="",0,COUNTIFS(DATA_WSF!$A:$A,B44,DATA_WSF!$C:$C,$B$6,DATA_WSF!$D:$D,$B$7))</f>
        <v/>
      </c>
      <c r="G44">
        <f>IF(F44=0,0,SUMIFS(DATA_WSF!$H:$H,DATA_WSF!$A:$A,B44,DATA_WSF!$C:$C,$B$6,DATA_WSF!$D:$D,$B$7))</f>
        <v/>
      </c>
      <c r="H44">
        <f>IF(F44=0,0,SUMIFS(DATA_WSF!$I:$I,DATA_WSF!$A:$A,B44,DATA_WSF!$C:$C,$B$6,DATA_WSF!$D:$D,$B$7))</f>
        <v/>
      </c>
      <c r="I44">
        <f>IF(F44=0,0,SUMIFS(DATA_WSF!$K:$K,DATA_WSF!$A:$A,B44,DATA_WSF!$C:$C,$B$6,DATA_WSF!$D:$D,$B$7))</f>
        <v/>
      </c>
      <c r="J44">
        <f>G44+H44</f>
        <v/>
      </c>
      <c r="K44">
        <f>J44+I44</f>
        <v/>
      </c>
      <c r="L44">
        <f>IF(F44=0,0,SUMIFS(DATA_WSF!$E:$E,DATA_WSF!$A:$A,B44,DATA_WSF!$C:$C,$B$6,DATA_WSF!$D:$D,$B$7))</f>
        <v/>
      </c>
      <c r="M44">
        <f>IF(F44=0,0,SUMIFS(DATA_WSF!$F:$F,DATA_WSF!$A:$A,B44,DATA_WSF!$C:$C,$B$6,DATA_WSF!$D:$D,$B$7))</f>
        <v/>
      </c>
      <c r="N44">
        <f>L44-M44</f>
        <v/>
      </c>
      <c r="O44">
        <f>IF(L44=0,0,M44/L44)</f>
        <v/>
      </c>
      <c r="P44">
        <f>IF(M44=0,0,K44/M44)</f>
        <v/>
      </c>
      <c r="Q44">
        <f>IF(F44&gt;0,1,0)</f>
        <v/>
      </c>
      <c r="R44">
        <f>IF(AND(A44&gt;=1,A44&lt;=$B$11),Q44,0)</f>
        <v/>
      </c>
      <c r="S44">
        <f>IF(AND(C44=$B$12,E44=$B$14),Q44,0)</f>
        <v/>
      </c>
      <c r="T44">
        <f>IF(AND(D44=$B$13,E44=$B$14),Q44,0)</f>
        <v/>
      </c>
      <c r="U44">
        <f>IF(E44=$B$14,Q44,0)</f>
        <v/>
      </c>
      <c r="W44">
        <f>IFERROR(INDEX(MASTER_AREAS!$B:$B,43)&amp;"","")</f>
        <v/>
      </c>
      <c r="X44">
        <f>IF(OR(W44="",$B$10=0),0,COUNTIFS(DATA_WSF!$A:$A,$B$10,DATA_WSF!$C:$C,W44))</f>
        <v/>
      </c>
      <c r="Y44">
        <f>IF(X44=0,0,SUMIFS(DATA_WSF!$L:$L,DATA_WSF!$A:$A,$B$10,DATA_WSF!$C:$C,W44))</f>
        <v/>
      </c>
      <c r="Z44">
        <f>IF(OR(W44="",$B$10=0),0,SUMIFS(DATA_WSF!$L:$L,DATA_WSF!$A:$A,$B$10-7,DATA_WSF!$C:$C,W44))</f>
        <v/>
      </c>
      <c r="AA44">
        <f>IF(X44=0,0,SUMIFS(DATA_WSF!$E:$E,DATA_WSF!$A:$A,$B$10,DATA_WSF!$C:$C,W44))</f>
        <v/>
      </c>
      <c r="AB44">
        <f>IF(X44=0,0,SUMIFS(DATA_WSF!$F:$F,DATA_WSF!$A:$A,$B$10,DATA_WSF!$C:$C,W44))</f>
        <v/>
      </c>
      <c r="AC44">
        <f>IF(AA44=0,"",AB44/AA44)</f>
        <v/>
      </c>
      <c r="AD44">
        <f>IF(OR(X44=0,Z44=0),"",Y44/Z44-1)</f>
        <v/>
      </c>
      <c r="AE44">
        <f>IF(X44=0,"",Y44+ROW()/1000000)</f>
        <v/>
      </c>
      <c r="AF44">
        <f>IF(AC44="","",AC44+ROW()/1000000000)</f>
        <v/>
      </c>
      <c r="AG44">
        <f>IF(AD44="","",AD44+ROW()/1000000000)</f>
        <v/>
      </c>
      <c r="AW44">
        <f>IFERROR(SMALL(WSF_CELLS_CURRENT!$N:$N,41),"")</f>
        <v/>
      </c>
      <c r="AX44">
        <f>IF($AW44="","",INDEX(WSF_CELLS_CURRENT!$C:$C,$AW44))</f>
        <v/>
      </c>
      <c r="AY44">
        <f>IF($AW44="","",INDEX(WSF_CELLS_CURRENT!$D:$D,$AW44))</f>
        <v/>
      </c>
      <c r="AZ44">
        <f>IF($AW44="","",INDEX(WSF_CELLS_CURRENT!$E:$E,$AW44))</f>
        <v/>
      </c>
    </row>
    <row r="45">
      <c r="A45" t="n">
        <v>24</v>
      </c>
      <c r="B45" s="170">
        <f>IF($B$10=0,"",$B$10-7*A45)</f>
        <v/>
      </c>
      <c r="C45">
        <f>IF(B45="","",MONTH(B45))</f>
        <v/>
      </c>
      <c r="D45">
        <f>IF(B45="","",ROUNDUP(MONTH(B45)/3,0))</f>
        <v/>
      </c>
      <c r="E45">
        <f>IF(B45="","",YEAR(B45))</f>
        <v/>
      </c>
      <c r="F45">
        <f>IF(B45="",0,COUNTIFS(DATA_WSF!$A:$A,B45,DATA_WSF!$C:$C,$B$6,DATA_WSF!$D:$D,$B$7))</f>
        <v/>
      </c>
      <c r="G45">
        <f>IF(F45=0,0,SUMIFS(DATA_WSF!$H:$H,DATA_WSF!$A:$A,B45,DATA_WSF!$C:$C,$B$6,DATA_WSF!$D:$D,$B$7))</f>
        <v/>
      </c>
      <c r="H45">
        <f>IF(F45=0,0,SUMIFS(DATA_WSF!$I:$I,DATA_WSF!$A:$A,B45,DATA_WSF!$C:$C,$B$6,DATA_WSF!$D:$D,$B$7))</f>
        <v/>
      </c>
      <c r="I45">
        <f>IF(F45=0,0,SUMIFS(DATA_WSF!$K:$K,DATA_WSF!$A:$A,B45,DATA_WSF!$C:$C,$B$6,DATA_WSF!$D:$D,$B$7))</f>
        <v/>
      </c>
      <c r="J45">
        <f>G45+H45</f>
        <v/>
      </c>
      <c r="K45">
        <f>J45+I45</f>
        <v/>
      </c>
      <c r="L45">
        <f>IF(F45=0,0,SUMIFS(DATA_WSF!$E:$E,DATA_WSF!$A:$A,B45,DATA_WSF!$C:$C,$B$6,DATA_WSF!$D:$D,$B$7))</f>
        <v/>
      </c>
      <c r="M45">
        <f>IF(F45=0,0,SUMIFS(DATA_WSF!$F:$F,DATA_WSF!$A:$A,B45,DATA_WSF!$C:$C,$B$6,DATA_WSF!$D:$D,$B$7))</f>
        <v/>
      </c>
      <c r="N45">
        <f>L45-M45</f>
        <v/>
      </c>
      <c r="O45">
        <f>IF(L45=0,0,M45/L45)</f>
        <v/>
      </c>
      <c r="P45">
        <f>IF(M45=0,0,K45/M45)</f>
        <v/>
      </c>
      <c r="Q45">
        <f>IF(F45&gt;0,1,0)</f>
        <v/>
      </c>
      <c r="R45">
        <f>IF(AND(A45&gt;=1,A45&lt;=$B$11),Q45,0)</f>
        <v/>
      </c>
      <c r="S45">
        <f>IF(AND(C45=$B$12,E45=$B$14),Q45,0)</f>
        <v/>
      </c>
      <c r="T45">
        <f>IF(AND(D45=$B$13,E45=$B$14),Q45,0)</f>
        <v/>
      </c>
      <c r="U45">
        <f>IF(E45=$B$14,Q45,0)</f>
        <v/>
      </c>
      <c r="W45">
        <f>IFERROR(INDEX(MASTER_AREAS!$B:$B,44)&amp;"","")</f>
        <v/>
      </c>
      <c r="X45">
        <f>IF(OR(W45="",$B$10=0),0,COUNTIFS(DATA_WSF!$A:$A,$B$10,DATA_WSF!$C:$C,W45))</f>
        <v/>
      </c>
      <c r="Y45">
        <f>IF(X45=0,0,SUMIFS(DATA_WSF!$L:$L,DATA_WSF!$A:$A,$B$10,DATA_WSF!$C:$C,W45))</f>
        <v/>
      </c>
      <c r="Z45">
        <f>IF(OR(W45="",$B$10=0),0,SUMIFS(DATA_WSF!$L:$L,DATA_WSF!$A:$A,$B$10-7,DATA_WSF!$C:$C,W45))</f>
        <v/>
      </c>
      <c r="AA45">
        <f>IF(X45=0,0,SUMIFS(DATA_WSF!$E:$E,DATA_WSF!$A:$A,$B$10,DATA_WSF!$C:$C,W45))</f>
        <v/>
      </c>
      <c r="AB45">
        <f>IF(X45=0,0,SUMIFS(DATA_WSF!$F:$F,DATA_WSF!$A:$A,$B$10,DATA_WSF!$C:$C,W45))</f>
        <v/>
      </c>
      <c r="AC45">
        <f>IF(AA45=0,"",AB45/AA45)</f>
        <v/>
      </c>
      <c r="AD45">
        <f>IF(OR(X45=0,Z45=0),"",Y45/Z45-1)</f>
        <v/>
      </c>
      <c r="AE45">
        <f>IF(X45=0,"",Y45+ROW()/1000000)</f>
        <v/>
      </c>
      <c r="AF45">
        <f>IF(AC45="","",AC45+ROW()/1000000000)</f>
        <v/>
      </c>
      <c r="AG45">
        <f>IF(AD45="","",AD45+ROW()/1000000000)</f>
        <v/>
      </c>
      <c r="AW45">
        <f>IFERROR(SMALL(WSF_CELLS_CURRENT!$N:$N,42),"")</f>
        <v/>
      </c>
      <c r="AX45">
        <f>IF($AW45="","",INDEX(WSF_CELLS_CURRENT!$C:$C,$AW45))</f>
        <v/>
      </c>
      <c r="AY45">
        <f>IF($AW45="","",INDEX(WSF_CELLS_CURRENT!$D:$D,$AW45))</f>
        <v/>
      </c>
      <c r="AZ45">
        <f>IF($AW45="","",INDEX(WSF_CELLS_CURRENT!$E:$E,$AW45))</f>
        <v/>
      </c>
    </row>
    <row r="46">
      <c r="A46" t="n">
        <v>25</v>
      </c>
      <c r="B46" s="170">
        <f>IF($B$10=0,"",$B$10-7*A46)</f>
        <v/>
      </c>
      <c r="C46">
        <f>IF(B46="","",MONTH(B46))</f>
        <v/>
      </c>
      <c r="D46">
        <f>IF(B46="","",ROUNDUP(MONTH(B46)/3,0))</f>
        <v/>
      </c>
      <c r="E46">
        <f>IF(B46="","",YEAR(B46))</f>
        <v/>
      </c>
      <c r="F46">
        <f>IF(B46="",0,COUNTIFS(DATA_WSF!$A:$A,B46,DATA_WSF!$C:$C,$B$6,DATA_WSF!$D:$D,$B$7))</f>
        <v/>
      </c>
      <c r="G46">
        <f>IF(F46=0,0,SUMIFS(DATA_WSF!$H:$H,DATA_WSF!$A:$A,B46,DATA_WSF!$C:$C,$B$6,DATA_WSF!$D:$D,$B$7))</f>
        <v/>
      </c>
      <c r="H46">
        <f>IF(F46=0,0,SUMIFS(DATA_WSF!$I:$I,DATA_WSF!$A:$A,B46,DATA_WSF!$C:$C,$B$6,DATA_WSF!$D:$D,$B$7))</f>
        <v/>
      </c>
      <c r="I46">
        <f>IF(F46=0,0,SUMIFS(DATA_WSF!$K:$K,DATA_WSF!$A:$A,B46,DATA_WSF!$C:$C,$B$6,DATA_WSF!$D:$D,$B$7))</f>
        <v/>
      </c>
      <c r="J46">
        <f>G46+H46</f>
        <v/>
      </c>
      <c r="K46">
        <f>J46+I46</f>
        <v/>
      </c>
      <c r="L46">
        <f>IF(F46=0,0,SUMIFS(DATA_WSF!$E:$E,DATA_WSF!$A:$A,B46,DATA_WSF!$C:$C,$B$6,DATA_WSF!$D:$D,$B$7))</f>
        <v/>
      </c>
      <c r="M46">
        <f>IF(F46=0,0,SUMIFS(DATA_WSF!$F:$F,DATA_WSF!$A:$A,B46,DATA_WSF!$C:$C,$B$6,DATA_WSF!$D:$D,$B$7))</f>
        <v/>
      </c>
      <c r="N46">
        <f>L46-M46</f>
        <v/>
      </c>
      <c r="O46">
        <f>IF(L46=0,0,M46/L46)</f>
        <v/>
      </c>
      <c r="P46">
        <f>IF(M46=0,0,K46/M46)</f>
        <v/>
      </c>
      <c r="Q46">
        <f>IF(F46&gt;0,1,0)</f>
        <v/>
      </c>
      <c r="R46">
        <f>IF(AND(A46&gt;=1,A46&lt;=$B$11),Q46,0)</f>
        <v/>
      </c>
      <c r="S46">
        <f>IF(AND(C46=$B$12,E46=$B$14),Q46,0)</f>
        <v/>
      </c>
      <c r="T46">
        <f>IF(AND(D46=$B$13,E46=$B$14),Q46,0)</f>
        <v/>
      </c>
      <c r="U46">
        <f>IF(E46=$B$14,Q46,0)</f>
        <v/>
      </c>
      <c r="W46">
        <f>IFERROR(INDEX(MASTER_AREAS!$B:$B,45)&amp;"","")</f>
        <v/>
      </c>
      <c r="X46">
        <f>IF(OR(W46="",$B$10=0),0,COUNTIFS(DATA_WSF!$A:$A,$B$10,DATA_WSF!$C:$C,W46))</f>
        <v/>
      </c>
      <c r="Y46">
        <f>IF(X46=0,0,SUMIFS(DATA_WSF!$L:$L,DATA_WSF!$A:$A,$B$10,DATA_WSF!$C:$C,W46))</f>
        <v/>
      </c>
      <c r="Z46">
        <f>IF(OR(W46="",$B$10=0),0,SUMIFS(DATA_WSF!$L:$L,DATA_WSF!$A:$A,$B$10-7,DATA_WSF!$C:$C,W46))</f>
        <v/>
      </c>
      <c r="AA46">
        <f>IF(X46=0,0,SUMIFS(DATA_WSF!$E:$E,DATA_WSF!$A:$A,$B$10,DATA_WSF!$C:$C,W46))</f>
        <v/>
      </c>
      <c r="AB46">
        <f>IF(X46=0,0,SUMIFS(DATA_WSF!$F:$F,DATA_WSF!$A:$A,$B$10,DATA_WSF!$C:$C,W46))</f>
        <v/>
      </c>
      <c r="AC46">
        <f>IF(AA46=0,"",AB46/AA46)</f>
        <v/>
      </c>
      <c r="AD46">
        <f>IF(OR(X46=0,Z46=0),"",Y46/Z46-1)</f>
        <v/>
      </c>
      <c r="AE46">
        <f>IF(X46=0,"",Y46+ROW()/1000000)</f>
        <v/>
      </c>
      <c r="AF46">
        <f>IF(AC46="","",AC46+ROW()/1000000000)</f>
        <v/>
      </c>
      <c r="AG46">
        <f>IF(AD46="","",AD46+ROW()/1000000000)</f>
        <v/>
      </c>
      <c r="AW46">
        <f>IFERROR(SMALL(WSF_CELLS_CURRENT!$N:$N,43),"")</f>
        <v/>
      </c>
      <c r="AX46">
        <f>IF($AW46="","",INDEX(WSF_CELLS_CURRENT!$C:$C,$AW46))</f>
        <v/>
      </c>
      <c r="AY46">
        <f>IF($AW46="","",INDEX(WSF_CELLS_CURRENT!$D:$D,$AW46))</f>
        <v/>
      </c>
      <c r="AZ46">
        <f>IF($AW46="","",INDEX(WSF_CELLS_CURRENT!$E:$E,$AW46))</f>
        <v/>
      </c>
    </row>
    <row r="47">
      <c r="A47" t="n">
        <v>26</v>
      </c>
      <c r="B47" s="170">
        <f>IF($B$10=0,"",$B$10-7*A47)</f>
        <v/>
      </c>
      <c r="C47">
        <f>IF(B47="","",MONTH(B47))</f>
        <v/>
      </c>
      <c r="D47">
        <f>IF(B47="","",ROUNDUP(MONTH(B47)/3,0))</f>
        <v/>
      </c>
      <c r="E47">
        <f>IF(B47="","",YEAR(B47))</f>
        <v/>
      </c>
      <c r="F47">
        <f>IF(B47="",0,COUNTIFS(DATA_WSF!$A:$A,B47,DATA_WSF!$C:$C,$B$6,DATA_WSF!$D:$D,$B$7))</f>
        <v/>
      </c>
      <c r="G47">
        <f>IF(F47=0,0,SUMIFS(DATA_WSF!$H:$H,DATA_WSF!$A:$A,B47,DATA_WSF!$C:$C,$B$6,DATA_WSF!$D:$D,$B$7))</f>
        <v/>
      </c>
      <c r="H47">
        <f>IF(F47=0,0,SUMIFS(DATA_WSF!$I:$I,DATA_WSF!$A:$A,B47,DATA_WSF!$C:$C,$B$6,DATA_WSF!$D:$D,$B$7))</f>
        <v/>
      </c>
      <c r="I47">
        <f>IF(F47=0,0,SUMIFS(DATA_WSF!$K:$K,DATA_WSF!$A:$A,B47,DATA_WSF!$C:$C,$B$6,DATA_WSF!$D:$D,$B$7))</f>
        <v/>
      </c>
      <c r="J47">
        <f>G47+H47</f>
        <v/>
      </c>
      <c r="K47">
        <f>J47+I47</f>
        <v/>
      </c>
      <c r="L47">
        <f>IF(F47=0,0,SUMIFS(DATA_WSF!$E:$E,DATA_WSF!$A:$A,B47,DATA_WSF!$C:$C,$B$6,DATA_WSF!$D:$D,$B$7))</f>
        <v/>
      </c>
      <c r="M47">
        <f>IF(F47=0,0,SUMIFS(DATA_WSF!$F:$F,DATA_WSF!$A:$A,B47,DATA_WSF!$C:$C,$B$6,DATA_WSF!$D:$D,$B$7))</f>
        <v/>
      </c>
      <c r="N47">
        <f>L47-M47</f>
        <v/>
      </c>
      <c r="O47">
        <f>IF(L47=0,0,M47/L47)</f>
        <v/>
      </c>
      <c r="P47">
        <f>IF(M47=0,0,K47/M47)</f>
        <v/>
      </c>
      <c r="Q47">
        <f>IF(F47&gt;0,1,0)</f>
        <v/>
      </c>
      <c r="R47">
        <f>IF(AND(A47&gt;=1,A47&lt;=$B$11),Q47,0)</f>
        <v/>
      </c>
      <c r="S47">
        <f>IF(AND(C47=$B$12,E47=$B$14),Q47,0)</f>
        <v/>
      </c>
      <c r="T47">
        <f>IF(AND(D47=$B$13,E47=$B$14),Q47,0)</f>
        <v/>
      </c>
      <c r="U47">
        <f>IF(E47=$B$14,Q47,0)</f>
        <v/>
      </c>
      <c r="W47">
        <f>IFERROR(INDEX(MASTER_AREAS!$B:$B,46)&amp;"","")</f>
        <v/>
      </c>
      <c r="X47">
        <f>IF(OR(W47="",$B$10=0),0,COUNTIFS(DATA_WSF!$A:$A,$B$10,DATA_WSF!$C:$C,W47))</f>
        <v/>
      </c>
      <c r="Y47">
        <f>IF(X47=0,0,SUMIFS(DATA_WSF!$L:$L,DATA_WSF!$A:$A,$B$10,DATA_WSF!$C:$C,W47))</f>
        <v/>
      </c>
      <c r="Z47">
        <f>IF(OR(W47="",$B$10=0),0,SUMIFS(DATA_WSF!$L:$L,DATA_WSF!$A:$A,$B$10-7,DATA_WSF!$C:$C,W47))</f>
        <v/>
      </c>
      <c r="AA47">
        <f>IF(X47=0,0,SUMIFS(DATA_WSF!$E:$E,DATA_WSF!$A:$A,$B$10,DATA_WSF!$C:$C,W47))</f>
        <v/>
      </c>
      <c r="AB47">
        <f>IF(X47=0,0,SUMIFS(DATA_WSF!$F:$F,DATA_WSF!$A:$A,$B$10,DATA_WSF!$C:$C,W47))</f>
        <v/>
      </c>
      <c r="AC47">
        <f>IF(AA47=0,"",AB47/AA47)</f>
        <v/>
      </c>
      <c r="AD47">
        <f>IF(OR(X47=0,Z47=0),"",Y47/Z47-1)</f>
        <v/>
      </c>
      <c r="AE47">
        <f>IF(X47=0,"",Y47+ROW()/1000000)</f>
        <v/>
      </c>
      <c r="AF47">
        <f>IF(AC47="","",AC47+ROW()/1000000000)</f>
        <v/>
      </c>
      <c r="AG47">
        <f>IF(AD47="","",AD47+ROW()/1000000000)</f>
        <v/>
      </c>
      <c r="AW47">
        <f>IFERROR(SMALL(WSF_CELLS_CURRENT!$N:$N,44),"")</f>
        <v/>
      </c>
      <c r="AX47">
        <f>IF($AW47="","",INDEX(WSF_CELLS_CURRENT!$C:$C,$AW47))</f>
        <v/>
      </c>
      <c r="AY47">
        <f>IF($AW47="","",INDEX(WSF_CELLS_CURRENT!$D:$D,$AW47))</f>
        <v/>
      </c>
      <c r="AZ47">
        <f>IF($AW47="","",INDEX(WSF_CELLS_CURRENT!$E:$E,$AW47))</f>
        <v/>
      </c>
    </row>
    <row r="48">
      <c r="A48" t="n">
        <v>27</v>
      </c>
      <c r="B48" s="170">
        <f>IF($B$10=0,"",$B$10-7*A48)</f>
        <v/>
      </c>
      <c r="C48">
        <f>IF(B48="","",MONTH(B48))</f>
        <v/>
      </c>
      <c r="D48">
        <f>IF(B48="","",ROUNDUP(MONTH(B48)/3,0))</f>
        <v/>
      </c>
      <c r="E48">
        <f>IF(B48="","",YEAR(B48))</f>
        <v/>
      </c>
      <c r="F48">
        <f>IF(B48="",0,COUNTIFS(DATA_WSF!$A:$A,B48,DATA_WSF!$C:$C,$B$6,DATA_WSF!$D:$D,$B$7))</f>
        <v/>
      </c>
      <c r="G48">
        <f>IF(F48=0,0,SUMIFS(DATA_WSF!$H:$H,DATA_WSF!$A:$A,B48,DATA_WSF!$C:$C,$B$6,DATA_WSF!$D:$D,$B$7))</f>
        <v/>
      </c>
      <c r="H48">
        <f>IF(F48=0,0,SUMIFS(DATA_WSF!$I:$I,DATA_WSF!$A:$A,B48,DATA_WSF!$C:$C,$B$6,DATA_WSF!$D:$D,$B$7))</f>
        <v/>
      </c>
      <c r="I48">
        <f>IF(F48=0,0,SUMIFS(DATA_WSF!$K:$K,DATA_WSF!$A:$A,B48,DATA_WSF!$C:$C,$B$6,DATA_WSF!$D:$D,$B$7))</f>
        <v/>
      </c>
      <c r="J48">
        <f>G48+H48</f>
        <v/>
      </c>
      <c r="K48">
        <f>J48+I48</f>
        <v/>
      </c>
      <c r="L48">
        <f>IF(F48=0,0,SUMIFS(DATA_WSF!$E:$E,DATA_WSF!$A:$A,B48,DATA_WSF!$C:$C,$B$6,DATA_WSF!$D:$D,$B$7))</f>
        <v/>
      </c>
      <c r="M48">
        <f>IF(F48=0,0,SUMIFS(DATA_WSF!$F:$F,DATA_WSF!$A:$A,B48,DATA_WSF!$C:$C,$B$6,DATA_WSF!$D:$D,$B$7))</f>
        <v/>
      </c>
      <c r="N48">
        <f>L48-M48</f>
        <v/>
      </c>
      <c r="O48">
        <f>IF(L48=0,0,M48/L48)</f>
        <v/>
      </c>
      <c r="P48">
        <f>IF(M48=0,0,K48/M48)</f>
        <v/>
      </c>
      <c r="Q48">
        <f>IF(F48&gt;0,1,0)</f>
        <v/>
      </c>
      <c r="R48">
        <f>IF(AND(A48&gt;=1,A48&lt;=$B$11),Q48,0)</f>
        <v/>
      </c>
      <c r="S48">
        <f>IF(AND(C48=$B$12,E48=$B$14),Q48,0)</f>
        <v/>
      </c>
      <c r="T48">
        <f>IF(AND(D48=$B$13,E48=$B$14),Q48,0)</f>
        <v/>
      </c>
      <c r="U48">
        <f>IF(E48=$B$14,Q48,0)</f>
        <v/>
      </c>
      <c r="W48">
        <f>IFERROR(INDEX(MASTER_AREAS!$B:$B,47)&amp;"","")</f>
        <v/>
      </c>
      <c r="X48">
        <f>IF(OR(W48="",$B$10=0),0,COUNTIFS(DATA_WSF!$A:$A,$B$10,DATA_WSF!$C:$C,W48))</f>
        <v/>
      </c>
      <c r="Y48">
        <f>IF(X48=0,0,SUMIFS(DATA_WSF!$L:$L,DATA_WSF!$A:$A,$B$10,DATA_WSF!$C:$C,W48))</f>
        <v/>
      </c>
      <c r="Z48">
        <f>IF(OR(W48="",$B$10=0),0,SUMIFS(DATA_WSF!$L:$L,DATA_WSF!$A:$A,$B$10-7,DATA_WSF!$C:$C,W48))</f>
        <v/>
      </c>
      <c r="AA48">
        <f>IF(X48=0,0,SUMIFS(DATA_WSF!$E:$E,DATA_WSF!$A:$A,$B$10,DATA_WSF!$C:$C,W48))</f>
        <v/>
      </c>
      <c r="AB48">
        <f>IF(X48=0,0,SUMIFS(DATA_WSF!$F:$F,DATA_WSF!$A:$A,$B$10,DATA_WSF!$C:$C,W48))</f>
        <v/>
      </c>
      <c r="AC48">
        <f>IF(AA48=0,"",AB48/AA48)</f>
        <v/>
      </c>
      <c r="AD48">
        <f>IF(OR(X48=0,Z48=0),"",Y48/Z48-1)</f>
        <v/>
      </c>
      <c r="AE48">
        <f>IF(X48=0,"",Y48+ROW()/1000000)</f>
        <v/>
      </c>
      <c r="AF48">
        <f>IF(AC48="","",AC48+ROW()/1000000000)</f>
        <v/>
      </c>
      <c r="AG48">
        <f>IF(AD48="","",AD48+ROW()/1000000000)</f>
        <v/>
      </c>
      <c r="AW48">
        <f>IFERROR(SMALL(WSF_CELLS_CURRENT!$N:$N,45),"")</f>
        <v/>
      </c>
      <c r="AX48">
        <f>IF($AW48="","",INDEX(WSF_CELLS_CURRENT!$C:$C,$AW48))</f>
        <v/>
      </c>
      <c r="AY48">
        <f>IF($AW48="","",INDEX(WSF_CELLS_CURRENT!$D:$D,$AW48))</f>
        <v/>
      </c>
      <c r="AZ48">
        <f>IF($AW48="","",INDEX(WSF_CELLS_CURRENT!$E:$E,$AW48))</f>
        <v/>
      </c>
    </row>
    <row r="49">
      <c r="A49" t="n">
        <v>28</v>
      </c>
      <c r="B49" s="170">
        <f>IF($B$10=0,"",$B$10-7*A49)</f>
        <v/>
      </c>
      <c r="C49">
        <f>IF(B49="","",MONTH(B49))</f>
        <v/>
      </c>
      <c r="D49">
        <f>IF(B49="","",ROUNDUP(MONTH(B49)/3,0))</f>
        <v/>
      </c>
      <c r="E49">
        <f>IF(B49="","",YEAR(B49))</f>
        <v/>
      </c>
      <c r="F49">
        <f>IF(B49="",0,COUNTIFS(DATA_WSF!$A:$A,B49,DATA_WSF!$C:$C,$B$6,DATA_WSF!$D:$D,$B$7))</f>
        <v/>
      </c>
      <c r="G49">
        <f>IF(F49=0,0,SUMIFS(DATA_WSF!$H:$H,DATA_WSF!$A:$A,B49,DATA_WSF!$C:$C,$B$6,DATA_WSF!$D:$D,$B$7))</f>
        <v/>
      </c>
      <c r="H49">
        <f>IF(F49=0,0,SUMIFS(DATA_WSF!$I:$I,DATA_WSF!$A:$A,B49,DATA_WSF!$C:$C,$B$6,DATA_WSF!$D:$D,$B$7))</f>
        <v/>
      </c>
      <c r="I49">
        <f>IF(F49=0,0,SUMIFS(DATA_WSF!$K:$K,DATA_WSF!$A:$A,B49,DATA_WSF!$C:$C,$B$6,DATA_WSF!$D:$D,$B$7))</f>
        <v/>
      </c>
      <c r="J49">
        <f>G49+H49</f>
        <v/>
      </c>
      <c r="K49">
        <f>J49+I49</f>
        <v/>
      </c>
      <c r="L49">
        <f>IF(F49=0,0,SUMIFS(DATA_WSF!$E:$E,DATA_WSF!$A:$A,B49,DATA_WSF!$C:$C,$B$6,DATA_WSF!$D:$D,$B$7))</f>
        <v/>
      </c>
      <c r="M49">
        <f>IF(F49=0,0,SUMIFS(DATA_WSF!$F:$F,DATA_WSF!$A:$A,B49,DATA_WSF!$C:$C,$B$6,DATA_WSF!$D:$D,$B$7))</f>
        <v/>
      </c>
      <c r="N49">
        <f>L49-M49</f>
        <v/>
      </c>
      <c r="O49">
        <f>IF(L49=0,0,M49/L49)</f>
        <v/>
      </c>
      <c r="P49">
        <f>IF(M49=0,0,K49/M49)</f>
        <v/>
      </c>
      <c r="Q49">
        <f>IF(F49&gt;0,1,0)</f>
        <v/>
      </c>
      <c r="R49">
        <f>IF(AND(A49&gt;=1,A49&lt;=$B$11),Q49,0)</f>
        <v/>
      </c>
      <c r="S49">
        <f>IF(AND(C49=$B$12,E49=$B$14),Q49,0)</f>
        <v/>
      </c>
      <c r="T49">
        <f>IF(AND(D49=$B$13,E49=$B$14),Q49,0)</f>
        <v/>
      </c>
      <c r="U49">
        <f>IF(E49=$B$14,Q49,0)</f>
        <v/>
      </c>
      <c r="W49">
        <f>IFERROR(INDEX(MASTER_AREAS!$B:$B,48)&amp;"","")</f>
        <v/>
      </c>
      <c r="X49">
        <f>IF(OR(W49="",$B$10=0),0,COUNTIFS(DATA_WSF!$A:$A,$B$10,DATA_WSF!$C:$C,W49))</f>
        <v/>
      </c>
      <c r="Y49">
        <f>IF(X49=0,0,SUMIFS(DATA_WSF!$L:$L,DATA_WSF!$A:$A,$B$10,DATA_WSF!$C:$C,W49))</f>
        <v/>
      </c>
      <c r="Z49">
        <f>IF(OR(W49="",$B$10=0),0,SUMIFS(DATA_WSF!$L:$L,DATA_WSF!$A:$A,$B$10-7,DATA_WSF!$C:$C,W49))</f>
        <v/>
      </c>
      <c r="AA49">
        <f>IF(X49=0,0,SUMIFS(DATA_WSF!$E:$E,DATA_WSF!$A:$A,$B$10,DATA_WSF!$C:$C,W49))</f>
        <v/>
      </c>
      <c r="AB49">
        <f>IF(X49=0,0,SUMIFS(DATA_WSF!$F:$F,DATA_WSF!$A:$A,$B$10,DATA_WSF!$C:$C,W49))</f>
        <v/>
      </c>
      <c r="AC49">
        <f>IF(AA49=0,"",AB49/AA49)</f>
        <v/>
      </c>
      <c r="AD49">
        <f>IF(OR(X49=0,Z49=0),"",Y49/Z49-1)</f>
        <v/>
      </c>
      <c r="AE49">
        <f>IF(X49=0,"",Y49+ROW()/1000000)</f>
        <v/>
      </c>
      <c r="AF49">
        <f>IF(AC49="","",AC49+ROW()/1000000000)</f>
        <v/>
      </c>
      <c r="AG49">
        <f>IF(AD49="","",AD49+ROW()/1000000000)</f>
        <v/>
      </c>
      <c r="AW49">
        <f>IFERROR(SMALL(WSF_CELLS_CURRENT!$N:$N,46),"")</f>
        <v/>
      </c>
      <c r="AX49">
        <f>IF($AW49="","",INDEX(WSF_CELLS_CURRENT!$C:$C,$AW49))</f>
        <v/>
      </c>
      <c r="AY49">
        <f>IF($AW49="","",INDEX(WSF_CELLS_CURRENT!$D:$D,$AW49))</f>
        <v/>
      </c>
      <c r="AZ49">
        <f>IF($AW49="","",INDEX(WSF_CELLS_CURRENT!$E:$E,$AW49))</f>
        <v/>
      </c>
    </row>
    <row r="50">
      <c r="A50" t="n">
        <v>29</v>
      </c>
      <c r="B50" s="170">
        <f>IF($B$10=0,"",$B$10-7*A50)</f>
        <v/>
      </c>
      <c r="C50">
        <f>IF(B50="","",MONTH(B50))</f>
        <v/>
      </c>
      <c r="D50">
        <f>IF(B50="","",ROUNDUP(MONTH(B50)/3,0))</f>
        <v/>
      </c>
      <c r="E50">
        <f>IF(B50="","",YEAR(B50))</f>
        <v/>
      </c>
      <c r="F50">
        <f>IF(B50="",0,COUNTIFS(DATA_WSF!$A:$A,B50,DATA_WSF!$C:$C,$B$6,DATA_WSF!$D:$D,$B$7))</f>
        <v/>
      </c>
      <c r="G50">
        <f>IF(F50=0,0,SUMIFS(DATA_WSF!$H:$H,DATA_WSF!$A:$A,B50,DATA_WSF!$C:$C,$B$6,DATA_WSF!$D:$D,$B$7))</f>
        <v/>
      </c>
      <c r="H50">
        <f>IF(F50=0,0,SUMIFS(DATA_WSF!$I:$I,DATA_WSF!$A:$A,B50,DATA_WSF!$C:$C,$B$6,DATA_WSF!$D:$D,$B$7))</f>
        <v/>
      </c>
      <c r="I50">
        <f>IF(F50=0,0,SUMIFS(DATA_WSF!$K:$K,DATA_WSF!$A:$A,B50,DATA_WSF!$C:$C,$B$6,DATA_WSF!$D:$D,$B$7))</f>
        <v/>
      </c>
      <c r="J50">
        <f>G50+H50</f>
        <v/>
      </c>
      <c r="K50">
        <f>J50+I50</f>
        <v/>
      </c>
      <c r="L50">
        <f>IF(F50=0,0,SUMIFS(DATA_WSF!$E:$E,DATA_WSF!$A:$A,B50,DATA_WSF!$C:$C,$B$6,DATA_WSF!$D:$D,$B$7))</f>
        <v/>
      </c>
      <c r="M50">
        <f>IF(F50=0,0,SUMIFS(DATA_WSF!$F:$F,DATA_WSF!$A:$A,B50,DATA_WSF!$C:$C,$B$6,DATA_WSF!$D:$D,$B$7))</f>
        <v/>
      </c>
      <c r="N50">
        <f>L50-M50</f>
        <v/>
      </c>
      <c r="O50">
        <f>IF(L50=0,0,M50/L50)</f>
        <v/>
      </c>
      <c r="P50">
        <f>IF(M50=0,0,K50/M50)</f>
        <v/>
      </c>
      <c r="Q50">
        <f>IF(F50&gt;0,1,0)</f>
        <v/>
      </c>
      <c r="R50">
        <f>IF(AND(A50&gt;=1,A50&lt;=$B$11),Q50,0)</f>
        <v/>
      </c>
      <c r="S50">
        <f>IF(AND(C50=$B$12,E50=$B$14),Q50,0)</f>
        <v/>
      </c>
      <c r="T50">
        <f>IF(AND(D50=$B$13,E50=$B$14),Q50,0)</f>
        <v/>
      </c>
      <c r="U50">
        <f>IF(E50=$B$14,Q50,0)</f>
        <v/>
      </c>
      <c r="W50">
        <f>IFERROR(INDEX(MASTER_AREAS!$B:$B,49)&amp;"","")</f>
        <v/>
      </c>
      <c r="X50">
        <f>IF(OR(W50="",$B$10=0),0,COUNTIFS(DATA_WSF!$A:$A,$B$10,DATA_WSF!$C:$C,W50))</f>
        <v/>
      </c>
      <c r="Y50">
        <f>IF(X50=0,0,SUMIFS(DATA_WSF!$L:$L,DATA_WSF!$A:$A,$B$10,DATA_WSF!$C:$C,W50))</f>
        <v/>
      </c>
      <c r="Z50">
        <f>IF(OR(W50="",$B$10=0),0,SUMIFS(DATA_WSF!$L:$L,DATA_WSF!$A:$A,$B$10-7,DATA_WSF!$C:$C,W50))</f>
        <v/>
      </c>
      <c r="AA50">
        <f>IF(X50=0,0,SUMIFS(DATA_WSF!$E:$E,DATA_WSF!$A:$A,$B$10,DATA_WSF!$C:$C,W50))</f>
        <v/>
      </c>
      <c r="AB50">
        <f>IF(X50=0,0,SUMIFS(DATA_WSF!$F:$F,DATA_WSF!$A:$A,$B$10,DATA_WSF!$C:$C,W50))</f>
        <v/>
      </c>
      <c r="AC50">
        <f>IF(AA50=0,"",AB50/AA50)</f>
        <v/>
      </c>
      <c r="AD50">
        <f>IF(OR(X50=0,Z50=0),"",Y50/Z50-1)</f>
        <v/>
      </c>
      <c r="AE50">
        <f>IF(X50=0,"",Y50+ROW()/1000000)</f>
        <v/>
      </c>
      <c r="AF50">
        <f>IF(AC50="","",AC50+ROW()/1000000000)</f>
        <v/>
      </c>
      <c r="AG50">
        <f>IF(AD50="","",AD50+ROW()/1000000000)</f>
        <v/>
      </c>
      <c r="AW50">
        <f>IFERROR(SMALL(WSF_CELLS_CURRENT!$N:$N,47),"")</f>
        <v/>
      </c>
      <c r="AX50">
        <f>IF($AW50="","",INDEX(WSF_CELLS_CURRENT!$C:$C,$AW50))</f>
        <v/>
      </c>
      <c r="AY50">
        <f>IF($AW50="","",INDEX(WSF_CELLS_CURRENT!$D:$D,$AW50))</f>
        <v/>
      </c>
      <c r="AZ50">
        <f>IF($AW50="","",INDEX(WSF_CELLS_CURRENT!$E:$E,$AW50))</f>
        <v/>
      </c>
    </row>
    <row r="51">
      <c r="A51" t="n">
        <v>30</v>
      </c>
      <c r="B51" s="170">
        <f>IF($B$10=0,"",$B$10-7*A51)</f>
        <v/>
      </c>
      <c r="C51">
        <f>IF(B51="","",MONTH(B51))</f>
        <v/>
      </c>
      <c r="D51">
        <f>IF(B51="","",ROUNDUP(MONTH(B51)/3,0))</f>
        <v/>
      </c>
      <c r="E51">
        <f>IF(B51="","",YEAR(B51))</f>
        <v/>
      </c>
      <c r="F51">
        <f>IF(B51="",0,COUNTIFS(DATA_WSF!$A:$A,B51,DATA_WSF!$C:$C,$B$6,DATA_WSF!$D:$D,$B$7))</f>
        <v/>
      </c>
      <c r="G51">
        <f>IF(F51=0,0,SUMIFS(DATA_WSF!$H:$H,DATA_WSF!$A:$A,B51,DATA_WSF!$C:$C,$B$6,DATA_WSF!$D:$D,$B$7))</f>
        <v/>
      </c>
      <c r="H51">
        <f>IF(F51=0,0,SUMIFS(DATA_WSF!$I:$I,DATA_WSF!$A:$A,B51,DATA_WSF!$C:$C,$B$6,DATA_WSF!$D:$D,$B$7))</f>
        <v/>
      </c>
      <c r="I51">
        <f>IF(F51=0,0,SUMIFS(DATA_WSF!$K:$K,DATA_WSF!$A:$A,B51,DATA_WSF!$C:$C,$B$6,DATA_WSF!$D:$D,$B$7))</f>
        <v/>
      </c>
      <c r="J51">
        <f>G51+H51</f>
        <v/>
      </c>
      <c r="K51">
        <f>J51+I51</f>
        <v/>
      </c>
      <c r="L51">
        <f>IF(F51=0,0,SUMIFS(DATA_WSF!$E:$E,DATA_WSF!$A:$A,B51,DATA_WSF!$C:$C,$B$6,DATA_WSF!$D:$D,$B$7))</f>
        <v/>
      </c>
      <c r="M51">
        <f>IF(F51=0,0,SUMIFS(DATA_WSF!$F:$F,DATA_WSF!$A:$A,B51,DATA_WSF!$C:$C,$B$6,DATA_WSF!$D:$D,$B$7))</f>
        <v/>
      </c>
      <c r="N51">
        <f>L51-M51</f>
        <v/>
      </c>
      <c r="O51">
        <f>IF(L51=0,0,M51/L51)</f>
        <v/>
      </c>
      <c r="P51">
        <f>IF(M51=0,0,K51/M51)</f>
        <v/>
      </c>
      <c r="Q51">
        <f>IF(F51&gt;0,1,0)</f>
        <v/>
      </c>
      <c r="R51">
        <f>IF(AND(A51&gt;=1,A51&lt;=$B$11),Q51,0)</f>
        <v/>
      </c>
      <c r="S51">
        <f>IF(AND(C51=$B$12,E51=$B$14),Q51,0)</f>
        <v/>
      </c>
      <c r="T51">
        <f>IF(AND(D51=$B$13,E51=$B$14),Q51,0)</f>
        <v/>
      </c>
      <c r="U51">
        <f>IF(E51=$B$14,Q51,0)</f>
        <v/>
      </c>
      <c r="W51">
        <f>IFERROR(INDEX(MASTER_AREAS!$B:$B,50)&amp;"","")</f>
        <v/>
      </c>
      <c r="X51">
        <f>IF(OR(W51="",$B$10=0),0,COUNTIFS(DATA_WSF!$A:$A,$B$10,DATA_WSF!$C:$C,W51))</f>
        <v/>
      </c>
      <c r="Y51">
        <f>IF(X51=0,0,SUMIFS(DATA_WSF!$L:$L,DATA_WSF!$A:$A,$B$10,DATA_WSF!$C:$C,W51))</f>
        <v/>
      </c>
      <c r="Z51">
        <f>IF(OR(W51="",$B$10=0),0,SUMIFS(DATA_WSF!$L:$L,DATA_WSF!$A:$A,$B$10-7,DATA_WSF!$C:$C,W51))</f>
        <v/>
      </c>
      <c r="AA51">
        <f>IF(X51=0,0,SUMIFS(DATA_WSF!$E:$E,DATA_WSF!$A:$A,$B$10,DATA_WSF!$C:$C,W51))</f>
        <v/>
      </c>
      <c r="AB51">
        <f>IF(X51=0,0,SUMIFS(DATA_WSF!$F:$F,DATA_WSF!$A:$A,$B$10,DATA_WSF!$C:$C,W51))</f>
        <v/>
      </c>
      <c r="AC51">
        <f>IF(AA51=0,"",AB51/AA51)</f>
        <v/>
      </c>
      <c r="AD51">
        <f>IF(OR(X51=0,Z51=0),"",Y51/Z51-1)</f>
        <v/>
      </c>
      <c r="AE51">
        <f>IF(X51=0,"",Y51+ROW()/1000000)</f>
        <v/>
      </c>
      <c r="AF51">
        <f>IF(AC51="","",AC51+ROW()/1000000000)</f>
        <v/>
      </c>
      <c r="AG51">
        <f>IF(AD51="","",AD51+ROW()/1000000000)</f>
        <v/>
      </c>
      <c r="AW51">
        <f>IFERROR(SMALL(WSF_CELLS_CURRENT!$N:$N,48),"")</f>
        <v/>
      </c>
      <c r="AX51">
        <f>IF($AW51="","",INDEX(WSF_CELLS_CURRENT!$C:$C,$AW51))</f>
        <v/>
      </c>
      <c r="AY51">
        <f>IF($AW51="","",INDEX(WSF_CELLS_CURRENT!$D:$D,$AW51))</f>
        <v/>
      </c>
      <c r="AZ51">
        <f>IF($AW51="","",INDEX(WSF_CELLS_CURRENT!$E:$E,$AW51))</f>
        <v/>
      </c>
    </row>
    <row r="52">
      <c r="A52" t="n">
        <v>31</v>
      </c>
      <c r="B52" s="170">
        <f>IF($B$10=0,"",$B$10-7*A52)</f>
        <v/>
      </c>
      <c r="C52">
        <f>IF(B52="","",MONTH(B52))</f>
        <v/>
      </c>
      <c r="D52">
        <f>IF(B52="","",ROUNDUP(MONTH(B52)/3,0))</f>
        <v/>
      </c>
      <c r="E52">
        <f>IF(B52="","",YEAR(B52))</f>
        <v/>
      </c>
      <c r="F52">
        <f>IF(B52="",0,COUNTIFS(DATA_WSF!$A:$A,B52,DATA_WSF!$C:$C,$B$6,DATA_WSF!$D:$D,$B$7))</f>
        <v/>
      </c>
      <c r="G52">
        <f>IF(F52=0,0,SUMIFS(DATA_WSF!$H:$H,DATA_WSF!$A:$A,B52,DATA_WSF!$C:$C,$B$6,DATA_WSF!$D:$D,$B$7))</f>
        <v/>
      </c>
      <c r="H52">
        <f>IF(F52=0,0,SUMIFS(DATA_WSF!$I:$I,DATA_WSF!$A:$A,B52,DATA_WSF!$C:$C,$B$6,DATA_WSF!$D:$D,$B$7))</f>
        <v/>
      </c>
      <c r="I52">
        <f>IF(F52=0,0,SUMIFS(DATA_WSF!$K:$K,DATA_WSF!$A:$A,B52,DATA_WSF!$C:$C,$B$6,DATA_WSF!$D:$D,$B$7))</f>
        <v/>
      </c>
      <c r="J52">
        <f>G52+H52</f>
        <v/>
      </c>
      <c r="K52">
        <f>J52+I52</f>
        <v/>
      </c>
      <c r="L52">
        <f>IF(F52=0,0,SUMIFS(DATA_WSF!$E:$E,DATA_WSF!$A:$A,B52,DATA_WSF!$C:$C,$B$6,DATA_WSF!$D:$D,$B$7))</f>
        <v/>
      </c>
      <c r="M52">
        <f>IF(F52=0,0,SUMIFS(DATA_WSF!$F:$F,DATA_WSF!$A:$A,B52,DATA_WSF!$C:$C,$B$6,DATA_WSF!$D:$D,$B$7))</f>
        <v/>
      </c>
      <c r="N52">
        <f>L52-M52</f>
        <v/>
      </c>
      <c r="O52">
        <f>IF(L52=0,0,M52/L52)</f>
        <v/>
      </c>
      <c r="P52">
        <f>IF(M52=0,0,K52/M52)</f>
        <v/>
      </c>
      <c r="Q52">
        <f>IF(F52&gt;0,1,0)</f>
        <v/>
      </c>
      <c r="R52">
        <f>IF(AND(A52&gt;=1,A52&lt;=$B$11),Q52,0)</f>
        <v/>
      </c>
      <c r="S52">
        <f>IF(AND(C52=$B$12,E52=$B$14),Q52,0)</f>
        <v/>
      </c>
      <c r="T52">
        <f>IF(AND(D52=$B$13,E52=$B$14),Q52,0)</f>
        <v/>
      </c>
      <c r="U52">
        <f>IF(E52=$B$14,Q52,0)</f>
        <v/>
      </c>
      <c r="W52">
        <f>IFERROR(INDEX(MASTER_AREAS!$B:$B,51)&amp;"","")</f>
        <v/>
      </c>
      <c r="X52">
        <f>IF(OR(W52="",$B$10=0),0,COUNTIFS(DATA_WSF!$A:$A,$B$10,DATA_WSF!$C:$C,W52))</f>
        <v/>
      </c>
      <c r="Y52">
        <f>IF(X52=0,0,SUMIFS(DATA_WSF!$L:$L,DATA_WSF!$A:$A,$B$10,DATA_WSF!$C:$C,W52))</f>
        <v/>
      </c>
      <c r="Z52">
        <f>IF(OR(W52="",$B$10=0),0,SUMIFS(DATA_WSF!$L:$L,DATA_WSF!$A:$A,$B$10-7,DATA_WSF!$C:$C,W52))</f>
        <v/>
      </c>
      <c r="AA52">
        <f>IF(X52=0,0,SUMIFS(DATA_WSF!$E:$E,DATA_WSF!$A:$A,$B$10,DATA_WSF!$C:$C,W52))</f>
        <v/>
      </c>
      <c r="AB52">
        <f>IF(X52=0,0,SUMIFS(DATA_WSF!$F:$F,DATA_WSF!$A:$A,$B$10,DATA_WSF!$C:$C,W52))</f>
        <v/>
      </c>
      <c r="AC52">
        <f>IF(AA52=0,"",AB52/AA52)</f>
        <v/>
      </c>
      <c r="AD52">
        <f>IF(OR(X52=0,Z52=0),"",Y52/Z52-1)</f>
        <v/>
      </c>
      <c r="AE52">
        <f>IF(X52=0,"",Y52+ROW()/1000000)</f>
        <v/>
      </c>
      <c r="AF52">
        <f>IF(AC52="","",AC52+ROW()/1000000000)</f>
        <v/>
      </c>
      <c r="AG52">
        <f>IF(AD52="","",AD52+ROW()/1000000000)</f>
        <v/>
      </c>
      <c r="AW52">
        <f>IFERROR(SMALL(WSF_CELLS_CURRENT!$N:$N,49),"")</f>
        <v/>
      </c>
      <c r="AX52">
        <f>IF($AW52="","",INDEX(WSF_CELLS_CURRENT!$C:$C,$AW52))</f>
        <v/>
      </c>
      <c r="AY52">
        <f>IF($AW52="","",INDEX(WSF_CELLS_CURRENT!$D:$D,$AW52))</f>
        <v/>
      </c>
      <c r="AZ52">
        <f>IF($AW52="","",INDEX(WSF_CELLS_CURRENT!$E:$E,$AW52))</f>
        <v/>
      </c>
    </row>
    <row r="53">
      <c r="A53" t="n">
        <v>32</v>
      </c>
      <c r="B53" s="170">
        <f>IF($B$10=0,"",$B$10-7*A53)</f>
        <v/>
      </c>
      <c r="C53">
        <f>IF(B53="","",MONTH(B53))</f>
        <v/>
      </c>
      <c r="D53">
        <f>IF(B53="","",ROUNDUP(MONTH(B53)/3,0))</f>
        <v/>
      </c>
      <c r="E53">
        <f>IF(B53="","",YEAR(B53))</f>
        <v/>
      </c>
      <c r="F53">
        <f>IF(B53="",0,COUNTIFS(DATA_WSF!$A:$A,B53,DATA_WSF!$C:$C,$B$6,DATA_WSF!$D:$D,$B$7))</f>
        <v/>
      </c>
      <c r="G53">
        <f>IF(F53=0,0,SUMIFS(DATA_WSF!$H:$H,DATA_WSF!$A:$A,B53,DATA_WSF!$C:$C,$B$6,DATA_WSF!$D:$D,$B$7))</f>
        <v/>
      </c>
      <c r="H53">
        <f>IF(F53=0,0,SUMIFS(DATA_WSF!$I:$I,DATA_WSF!$A:$A,B53,DATA_WSF!$C:$C,$B$6,DATA_WSF!$D:$D,$B$7))</f>
        <v/>
      </c>
      <c r="I53">
        <f>IF(F53=0,0,SUMIFS(DATA_WSF!$K:$K,DATA_WSF!$A:$A,B53,DATA_WSF!$C:$C,$B$6,DATA_WSF!$D:$D,$B$7))</f>
        <v/>
      </c>
      <c r="J53">
        <f>G53+H53</f>
        <v/>
      </c>
      <c r="K53">
        <f>J53+I53</f>
        <v/>
      </c>
      <c r="L53">
        <f>IF(F53=0,0,SUMIFS(DATA_WSF!$E:$E,DATA_WSF!$A:$A,B53,DATA_WSF!$C:$C,$B$6,DATA_WSF!$D:$D,$B$7))</f>
        <v/>
      </c>
      <c r="M53">
        <f>IF(F53=0,0,SUMIFS(DATA_WSF!$F:$F,DATA_WSF!$A:$A,B53,DATA_WSF!$C:$C,$B$6,DATA_WSF!$D:$D,$B$7))</f>
        <v/>
      </c>
      <c r="N53">
        <f>L53-M53</f>
        <v/>
      </c>
      <c r="O53">
        <f>IF(L53=0,0,M53/L53)</f>
        <v/>
      </c>
      <c r="P53">
        <f>IF(M53=0,0,K53/M53)</f>
        <v/>
      </c>
      <c r="Q53">
        <f>IF(F53&gt;0,1,0)</f>
        <v/>
      </c>
      <c r="R53">
        <f>IF(AND(A53&gt;=1,A53&lt;=$B$11),Q53,0)</f>
        <v/>
      </c>
      <c r="S53">
        <f>IF(AND(C53=$B$12,E53=$B$14),Q53,0)</f>
        <v/>
      </c>
      <c r="T53">
        <f>IF(AND(D53=$B$13,E53=$B$14),Q53,0)</f>
        <v/>
      </c>
      <c r="U53">
        <f>IF(E53=$B$14,Q53,0)</f>
        <v/>
      </c>
      <c r="W53">
        <f>IFERROR(INDEX(MASTER_AREAS!$B:$B,52)&amp;"","")</f>
        <v/>
      </c>
      <c r="X53">
        <f>IF(OR(W53="",$B$10=0),0,COUNTIFS(DATA_WSF!$A:$A,$B$10,DATA_WSF!$C:$C,W53))</f>
        <v/>
      </c>
      <c r="Y53">
        <f>IF(X53=0,0,SUMIFS(DATA_WSF!$L:$L,DATA_WSF!$A:$A,$B$10,DATA_WSF!$C:$C,W53))</f>
        <v/>
      </c>
      <c r="Z53">
        <f>IF(OR(W53="",$B$10=0),0,SUMIFS(DATA_WSF!$L:$L,DATA_WSF!$A:$A,$B$10-7,DATA_WSF!$C:$C,W53))</f>
        <v/>
      </c>
      <c r="AA53">
        <f>IF(X53=0,0,SUMIFS(DATA_WSF!$E:$E,DATA_WSF!$A:$A,$B$10,DATA_WSF!$C:$C,W53))</f>
        <v/>
      </c>
      <c r="AB53">
        <f>IF(X53=0,0,SUMIFS(DATA_WSF!$F:$F,DATA_WSF!$A:$A,$B$10,DATA_WSF!$C:$C,W53))</f>
        <v/>
      </c>
      <c r="AC53">
        <f>IF(AA53=0,"",AB53/AA53)</f>
        <v/>
      </c>
      <c r="AD53">
        <f>IF(OR(X53=0,Z53=0),"",Y53/Z53-1)</f>
        <v/>
      </c>
      <c r="AE53">
        <f>IF(X53=0,"",Y53+ROW()/1000000)</f>
        <v/>
      </c>
      <c r="AF53">
        <f>IF(AC53="","",AC53+ROW()/1000000000)</f>
        <v/>
      </c>
      <c r="AG53">
        <f>IF(AD53="","",AD53+ROW()/1000000000)</f>
        <v/>
      </c>
      <c r="AW53">
        <f>IFERROR(SMALL(WSF_CELLS_CURRENT!$N:$N,50),"")</f>
        <v/>
      </c>
      <c r="AX53">
        <f>IF($AW53="","",INDEX(WSF_CELLS_CURRENT!$C:$C,$AW53))</f>
        <v/>
      </c>
      <c r="AY53">
        <f>IF($AW53="","",INDEX(WSF_CELLS_CURRENT!$D:$D,$AW53))</f>
        <v/>
      </c>
      <c r="AZ53">
        <f>IF($AW53="","",INDEX(WSF_CELLS_CURRENT!$E:$E,$AW53))</f>
        <v/>
      </c>
    </row>
    <row r="54">
      <c r="A54" t="n">
        <v>33</v>
      </c>
      <c r="B54" s="170">
        <f>IF($B$10=0,"",$B$10-7*A54)</f>
        <v/>
      </c>
      <c r="C54">
        <f>IF(B54="","",MONTH(B54))</f>
        <v/>
      </c>
      <c r="D54">
        <f>IF(B54="","",ROUNDUP(MONTH(B54)/3,0))</f>
        <v/>
      </c>
      <c r="E54">
        <f>IF(B54="","",YEAR(B54))</f>
        <v/>
      </c>
      <c r="F54">
        <f>IF(B54="",0,COUNTIFS(DATA_WSF!$A:$A,B54,DATA_WSF!$C:$C,$B$6,DATA_WSF!$D:$D,$B$7))</f>
        <v/>
      </c>
      <c r="G54">
        <f>IF(F54=0,0,SUMIFS(DATA_WSF!$H:$H,DATA_WSF!$A:$A,B54,DATA_WSF!$C:$C,$B$6,DATA_WSF!$D:$D,$B$7))</f>
        <v/>
      </c>
      <c r="H54">
        <f>IF(F54=0,0,SUMIFS(DATA_WSF!$I:$I,DATA_WSF!$A:$A,B54,DATA_WSF!$C:$C,$B$6,DATA_WSF!$D:$D,$B$7))</f>
        <v/>
      </c>
      <c r="I54">
        <f>IF(F54=0,0,SUMIFS(DATA_WSF!$K:$K,DATA_WSF!$A:$A,B54,DATA_WSF!$C:$C,$B$6,DATA_WSF!$D:$D,$B$7))</f>
        <v/>
      </c>
      <c r="J54">
        <f>G54+H54</f>
        <v/>
      </c>
      <c r="K54">
        <f>J54+I54</f>
        <v/>
      </c>
      <c r="L54">
        <f>IF(F54=0,0,SUMIFS(DATA_WSF!$E:$E,DATA_WSF!$A:$A,B54,DATA_WSF!$C:$C,$B$6,DATA_WSF!$D:$D,$B$7))</f>
        <v/>
      </c>
      <c r="M54">
        <f>IF(F54=0,0,SUMIFS(DATA_WSF!$F:$F,DATA_WSF!$A:$A,B54,DATA_WSF!$C:$C,$B$6,DATA_WSF!$D:$D,$B$7))</f>
        <v/>
      </c>
      <c r="N54">
        <f>L54-M54</f>
        <v/>
      </c>
      <c r="O54">
        <f>IF(L54=0,0,M54/L54)</f>
        <v/>
      </c>
      <c r="P54">
        <f>IF(M54=0,0,K54/M54)</f>
        <v/>
      </c>
      <c r="Q54">
        <f>IF(F54&gt;0,1,0)</f>
        <v/>
      </c>
      <c r="R54">
        <f>IF(AND(A54&gt;=1,A54&lt;=$B$11),Q54,0)</f>
        <v/>
      </c>
      <c r="S54">
        <f>IF(AND(C54=$B$12,E54=$B$14),Q54,0)</f>
        <v/>
      </c>
      <c r="T54">
        <f>IF(AND(D54=$B$13,E54=$B$14),Q54,0)</f>
        <v/>
      </c>
      <c r="U54">
        <f>IF(E54=$B$14,Q54,0)</f>
        <v/>
      </c>
      <c r="W54">
        <f>IFERROR(INDEX(MASTER_AREAS!$B:$B,53)&amp;"","")</f>
        <v/>
      </c>
      <c r="X54">
        <f>IF(OR(W54="",$B$10=0),0,COUNTIFS(DATA_WSF!$A:$A,$B$10,DATA_WSF!$C:$C,W54))</f>
        <v/>
      </c>
      <c r="Y54">
        <f>IF(X54=0,0,SUMIFS(DATA_WSF!$L:$L,DATA_WSF!$A:$A,$B$10,DATA_WSF!$C:$C,W54))</f>
        <v/>
      </c>
      <c r="Z54">
        <f>IF(OR(W54="",$B$10=0),0,SUMIFS(DATA_WSF!$L:$L,DATA_WSF!$A:$A,$B$10-7,DATA_WSF!$C:$C,W54))</f>
        <v/>
      </c>
      <c r="AA54">
        <f>IF(X54=0,0,SUMIFS(DATA_WSF!$E:$E,DATA_WSF!$A:$A,$B$10,DATA_WSF!$C:$C,W54))</f>
        <v/>
      </c>
      <c r="AB54">
        <f>IF(X54=0,0,SUMIFS(DATA_WSF!$F:$F,DATA_WSF!$A:$A,$B$10,DATA_WSF!$C:$C,W54))</f>
        <v/>
      </c>
      <c r="AC54">
        <f>IF(AA54=0,"",AB54/AA54)</f>
        <v/>
      </c>
      <c r="AD54">
        <f>IF(OR(X54=0,Z54=0),"",Y54/Z54-1)</f>
        <v/>
      </c>
      <c r="AE54">
        <f>IF(X54=0,"",Y54+ROW()/1000000)</f>
        <v/>
      </c>
      <c r="AF54">
        <f>IF(AC54="","",AC54+ROW()/1000000000)</f>
        <v/>
      </c>
      <c r="AG54">
        <f>IF(AD54="","",AD54+ROW()/1000000000)</f>
        <v/>
      </c>
    </row>
    <row r="55">
      <c r="A55" t="n">
        <v>34</v>
      </c>
      <c r="B55" s="170">
        <f>IF($B$10=0,"",$B$10-7*A55)</f>
        <v/>
      </c>
      <c r="C55">
        <f>IF(B55="","",MONTH(B55))</f>
        <v/>
      </c>
      <c r="D55">
        <f>IF(B55="","",ROUNDUP(MONTH(B55)/3,0))</f>
        <v/>
      </c>
      <c r="E55">
        <f>IF(B55="","",YEAR(B55))</f>
        <v/>
      </c>
      <c r="F55">
        <f>IF(B55="",0,COUNTIFS(DATA_WSF!$A:$A,B55,DATA_WSF!$C:$C,$B$6,DATA_WSF!$D:$D,$B$7))</f>
        <v/>
      </c>
      <c r="G55">
        <f>IF(F55=0,0,SUMIFS(DATA_WSF!$H:$H,DATA_WSF!$A:$A,B55,DATA_WSF!$C:$C,$B$6,DATA_WSF!$D:$D,$B$7))</f>
        <v/>
      </c>
      <c r="H55">
        <f>IF(F55=0,0,SUMIFS(DATA_WSF!$I:$I,DATA_WSF!$A:$A,B55,DATA_WSF!$C:$C,$B$6,DATA_WSF!$D:$D,$B$7))</f>
        <v/>
      </c>
      <c r="I55">
        <f>IF(F55=0,0,SUMIFS(DATA_WSF!$K:$K,DATA_WSF!$A:$A,B55,DATA_WSF!$C:$C,$B$6,DATA_WSF!$D:$D,$B$7))</f>
        <v/>
      </c>
      <c r="J55">
        <f>G55+H55</f>
        <v/>
      </c>
      <c r="K55">
        <f>J55+I55</f>
        <v/>
      </c>
      <c r="L55">
        <f>IF(F55=0,0,SUMIFS(DATA_WSF!$E:$E,DATA_WSF!$A:$A,B55,DATA_WSF!$C:$C,$B$6,DATA_WSF!$D:$D,$B$7))</f>
        <v/>
      </c>
      <c r="M55">
        <f>IF(F55=0,0,SUMIFS(DATA_WSF!$F:$F,DATA_WSF!$A:$A,B55,DATA_WSF!$C:$C,$B$6,DATA_WSF!$D:$D,$B$7))</f>
        <v/>
      </c>
      <c r="N55">
        <f>L55-M55</f>
        <v/>
      </c>
      <c r="O55">
        <f>IF(L55=0,0,M55/L55)</f>
        <v/>
      </c>
      <c r="P55">
        <f>IF(M55=0,0,K55/M55)</f>
        <v/>
      </c>
      <c r="Q55">
        <f>IF(F55&gt;0,1,0)</f>
        <v/>
      </c>
      <c r="R55">
        <f>IF(AND(A55&gt;=1,A55&lt;=$B$11),Q55,0)</f>
        <v/>
      </c>
      <c r="S55">
        <f>IF(AND(C55=$B$12,E55=$B$14),Q55,0)</f>
        <v/>
      </c>
      <c r="T55">
        <f>IF(AND(D55=$B$13,E55=$B$14),Q55,0)</f>
        <v/>
      </c>
      <c r="U55">
        <f>IF(E55=$B$14,Q55,0)</f>
        <v/>
      </c>
      <c r="W55">
        <f>IFERROR(INDEX(MASTER_AREAS!$B:$B,54)&amp;"","")</f>
        <v/>
      </c>
      <c r="X55">
        <f>IF(OR(W55="",$B$10=0),0,COUNTIFS(DATA_WSF!$A:$A,$B$10,DATA_WSF!$C:$C,W55))</f>
        <v/>
      </c>
      <c r="Y55">
        <f>IF(X55=0,0,SUMIFS(DATA_WSF!$L:$L,DATA_WSF!$A:$A,$B$10,DATA_WSF!$C:$C,W55))</f>
        <v/>
      </c>
      <c r="Z55">
        <f>IF(OR(W55="",$B$10=0),0,SUMIFS(DATA_WSF!$L:$L,DATA_WSF!$A:$A,$B$10-7,DATA_WSF!$C:$C,W55))</f>
        <v/>
      </c>
      <c r="AA55">
        <f>IF(X55=0,0,SUMIFS(DATA_WSF!$E:$E,DATA_WSF!$A:$A,$B$10,DATA_WSF!$C:$C,W55))</f>
        <v/>
      </c>
      <c r="AB55">
        <f>IF(X55=0,0,SUMIFS(DATA_WSF!$F:$F,DATA_WSF!$A:$A,$B$10,DATA_WSF!$C:$C,W55))</f>
        <v/>
      </c>
      <c r="AC55">
        <f>IF(AA55=0,"",AB55/AA55)</f>
        <v/>
      </c>
      <c r="AD55">
        <f>IF(OR(X55=0,Z55=0),"",Y55/Z55-1)</f>
        <v/>
      </c>
      <c r="AE55">
        <f>IF(X55=0,"",Y55+ROW()/1000000)</f>
        <v/>
      </c>
      <c r="AF55">
        <f>IF(AC55="","",AC55+ROW()/1000000000)</f>
        <v/>
      </c>
      <c r="AG55">
        <f>IF(AD55="","",AD55+ROW()/1000000000)</f>
        <v/>
      </c>
    </row>
    <row r="56">
      <c r="A56" t="n">
        <v>35</v>
      </c>
      <c r="B56" s="170">
        <f>IF($B$10=0,"",$B$10-7*A56)</f>
        <v/>
      </c>
      <c r="C56">
        <f>IF(B56="","",MONTH(B56))</f>
        <v/>
      </c>
      <c r="D56">
        <f>IF(B56="","",ROUNDUP(MONTH(B56)/3,0))</f>
        <v/>
      </c>
      <c r="E56">
        <f>IF(B56="","",YEAR(B56))</f>
        <v/>
      </c>
      <c r="F56">
        <f>IF(B56="",0,COUNTIFS(DATA_WSF!$A:$A,B56,DATA_WSF!$C:$C,$B$6,DATA_WSF!$D:$D,$B$7))</f>
        <v/>
      </c>
      <c r="G56">
        <f>IF(F56=0,0,SUMIFS(DATA_WSF!$H:$H,DATA_WSF!$A:$A,B56,DATA_WSF!$C:$C,$B$6,DATA_WSF!$D:$D,$B$7))</f>
        <v/>
      </c>
      <c r="H56">
        <f>IF(F56=0,0,SUMIFS(DATA_WSF!$I:$I,DATA_WSF!$A:$A,B56,DATA_WSF!$C:$C,$B$6,DATA_WSF!$D:$D,$B$7))</f>
        <v/>
      </c>
      <c r="I56">
        <f>IF(F56=0,0,SUMIFS(DATA_WSF!$K:$K,DATA_WSF!$A:$A,B56,DATA_WSF!$C:$C,$B$6,DATA_WSF!$D:$D,$B$7))</f>
        <v/>
      </c>
      <c r="J56">
        <f>G56+H56</f>
        <v/>
      </c>
      <c r="K56">
        <f>J56+I56</f>
        <v/>
      </c>
      <c r="L56">
        <f>IF(F56=0,0,SUMIFS(DATA_WSF!$E:$E,DATA_WSF!$A:$A,B56,DATA_WSF!$C:$C,$B$6,DATA_WSF!$D:$D,$B$7))</f>
        <v/>
      </c>
      <c r="M56">
        <f>IF(F56=0,0,SUMIFS(DATA_WSF!$F:$F,DATA_WSF!$A:$A,B56,DATA_WSF!$C:$C,$B$6,DATA_WSF!$D:$D,$B$7))</f>
        <v/>
      </c>
      <c r="N56">
        <f>L56-M56</f>
        <v/>
      </c>
      <c r="O56">
        <f>IF(L56=0,0,M56/L56)</f>
        <v/>
      </c>
      <c r="P56">
        <f>IF(M56=0,0,K56/M56)</f>
        <v/>
      </c>
      <c r="Q56">
        <f>IF(F56&gt;0,1,0)</f>
        <v/>
      </c>
      <c r="R56">
        <f>IF(AND(A56&gt;=1,A56&lt;=$B$11),Q56,0)</f>
        <v/>
      </c>
      <c r="S56">
        <f>IF(AND(C56=$B$12,E56=$B$14),Q56,0)</f>
        <v/>
      </c>
      <c r="T56">
        <f>IF(AND(D56=$B$13,E56=$B$14),Q56,0)</f>
        <v/>
      </c>
      <c r="U56">
        <f>IF(E56=$B$14,Q56,0)</f>
        <v/>
      </c>
      <c r="W56">
        <f>IFERROR(INDEX(MASTER_AREAS!$B:$B,55)&amp;"","")</f>
        <v/>
      </c>
      <c r="X56">
        <f>IF(OR(W56="",$B$10=0),0,COUNTIFS(DATA_WSF!$A:$A,$B$10,DATA_WSF!$C:$C,W56))</f>
        <v/>
      </c>
      <c r="Y56">
        <f>IF(X56=0,0,SUMIFS(DATA_WSF!$L:$L,DATA_WSF!$A:$A,$B$10,DATA_WSF!$C:$C,W56))</f>
        <v/>
      </c>
      <c r="Z56">
        <f>IF(OR(W56="",$B$10=0),0,SUMIFS(DATA_WSF!$L:$L,DATA_WSF!$A:$A,$B$10-7,DATA_WSF!$C:$C,W56))</f>
        <v/>
      </c>
      <c r="AA56">
        <f>IF(X56=0,0,SUMIFS(DATA_WSF!$E:$E,DATA_WSF!$A:$A,$B$10,DATA_WSF!$C:$C,W56))</f>
        <v/>
      </c>
      <c r="AB56">
        <f>IF(X56=0,0,SUMIFS(DATA_WSF!$F:$F,DATA_WSF!$A:$A,$B$10,DATA_WSF!$C:$C,W56))</f>
        <v/>
      </c>
      <c r="AC56">
        <f>IF(AA56=0,"",AB56/AA56)</f>
        <v/>
      </c>
      <c r="AD56">
        <f>IF(OR(X56=0,Z56=0),"",Y56/Z56-1)</f>
        <v/>
      </c>
      <c r="AE56">
        <f>IF(X56=0,"",Y56+ROW()/1000000)</f>
        <v/>
      </c>
      <c r="AF56">
        <f>IF(AC56="","",AC56+ROW()/1000000000)</f>
        <v/>
      </c>
      <c r="AG56">
        <f>IF(AD56="","",AD56+ROW()/1000000000)</f>
        <v/>
      </c>
    </row>
    <row r="57">
      <c r="A57" t="n">
        <v>36</v>
      </c>
      <c r="B57" s="170">
        <f>IF($B$10=0,"",$B$10-7*A57)</f>
        <v/>
      </c>
      <c r="C57">
        <f>IF(B57="","",MONTH(B57))</f>
        <v/>
      </c>
      <c r="D57">
        <f>IF(B57="","",ROUNDUP(MONTH(B57)/3,0))</f>
        <v/>
      </c>
      <c r="E57">
        <f>IF(B57="","",YEAR(B57))</f>
        <v/>
      </c>
      <c r="F57">
        <f>IF(B57="",0,COUNTIFS(DATA_WSF!$A:$A,B57,DATA_WSF!$C:$C,$B$6,DATA_WSF!$D:$D,$B$7))</f>
        <v/>
      </c>
      <c r="G57">
        <f>IF(F57=0,0,SUMIFS(DATA_WSF!$H:$H,DATA_WSF!$A:$A,B57,DATA_WSF!$C:$C,$B$6,DATA_WSF!$D:$D,$B$7))</f>
        <v/>
      </c>
      <c r="H57">
        <f>IF(F57=0,0,SUMIFS(DATA_WSF!$I:$I,DATA_WSF!$A:$A,B57,DATA_WSF!$C:$C,$B$6,DATA_WSF!$D:$D,$B$7))</f>
        <v/>
      </c>
      <c r="I57">
        <f>IF(F57=0,0,SUMIFS(DATA_WSF!$K:$K,DATA_WSF!$A:$A,B57,DATA_WSF!$C:$C,$B$6,DATA_WSF!$D:$D,$B$7))</f>
        <v/>
      </c>
      <c r="J57">
        <f>G57+H57</f>
        <v/>
      </c>
      <c r="K57">
        <f>J57+I57</f>
        <v/>
      </c>
      <c r="L57">
        <f>IF(F57=0,0,SUMIFS(DATA_WSF!$E:$E,DATA_WSF!$A:$A,B57,DATA_WSF!$C:$C,$B$6,DATA_WSF!$D:$D,$B$7))</f>
        <v/>
      </c>
      <c r="M57">
        <f>IF(F57=0,0,SUMIFS(DATA_WSF!$F:$F,DATA_WSF!$A:$A,B57,DATA_WSF!$C:$C,$B$6,DATA_WSF!$D:$D,$B$7))</f>
        <v/>
      </c>
      <c r="N57">
        <f>L57-M57</f>
        <v/>
      </c>
      <c r="O57">
        <f>IF(L57=0,0,M57/L57)</f>
        <v/>
      </c>
      <c r="P57">
        <f>IF(M57=0,0,K57/M57)</f>
        <v/>
      </c>
      <c r="Q57">
        <f>IF(F57&gt;0,1,0)</f>
        <v/>
      </c>
      <c r="R57">
        <f>IF(AND(A57&gt;=1,A57&lt;=$B$11),Q57,0)</f>
        <v/>
      </c>
      <c r="S57">
        <f>IF(AND(C57=$B$12,E57=$B$14),Q57,0)</f>
        <v/>
      </c>
      <c r="T57">
        <f>IF(AND(D57=$B$13,E57=$B$14),Q57,0)</f>
        <v/>
      </c>
      <c r="U57">
        <f>IF(E57=$B$14,Q57,0)</f>
        <v/>
      </c>
      <c r="W57">
        <f>IFERROR(INDEX(MASTER_AREAS!$B:$B,56)&amp;"","")</f>
        <v/>
      </c>
      <c r="X57">
        <f>IF(OR(W57="",$B$10=0),0,COUNTIFS(DATA_WSF!$A:$A,$B$10,DATA_WSF!$C:$C,W57))</f>
        <v/>
      </c>
      <c r="Y57">
        <f>IF(X57=0,0,SUMIFS(DATA_WSF!$L:$L,DATA_WSF!$A:$A,$B$10,DATA_WSF!$C:$C,W57))</f>
        <v/>
      </c>
      <c r="Z57">
        <f>IF(OR(W57="",$B$10=0),0,SUMIFS(DATA_WSF!$L:$L,DATA_WSF!$A:$A,$B$10-7,DATA_WSF!$C:$C,W57))</f>
        <v/>
      </c>
      <c r="AA57">
        <f>IF(X57=0,0,SUMIFS(DATA_WSF!$E:$E,DATA_WSF!$A:$A,$B$10,DATA_WSF!$C:$C,W57))</f>
        <v/>
      </c>
      <c r="AB57">
        <f>IF(X57=0,0,SUMIFS(DATA_WSF!$F:$F,DATA_WSF!$A:$A,$B$10,DATA_WSF!$C:$C,W57))</f>
        <v/>
      </c>
      <c r="AC57">
        <f>IF(AA57=0,"",AB57/AA57)</f>
        <v/>
      </c>
      <c r="AD57">
        <f>IF(OR(X57=0,Z57=0),"",Y57/Z57-1)</f>
        <v/>
      </c>
      <c r="AE57">
        <f>IF(X57=0,"",Y57+ROW()/1000000)</f>
        <v/>
      </c>
      <c r="AF57">
        <f>IF(AC57="","",AC57+ROW()/1000000000)</f>
        <v/>
      </c>
      <c r="AG57">
        <f>IF(AD57="","",AD57+ROW()/1000000000)</f>
        <v/>
      </c>
    </row>
    <row r="58">
      <c r="A58" t="n">
        <v>37</v>
      </c>
      <c r="B58" s="170">
        <f>IF($B$10=0,"",$B$10-7*A58)</f>
        <v/>
      </c>
      <c r="C58">
        <f>IF(B58="","",MONTH(B58))</f>
        <v/>
      </c>
      <c r="D58">
        <f>IF(B58="","",ROUNDUP(MONTH(B58)/3,0))</f>
        <v/>
      </c>
      <c r="E58">
        <f>IF(B58="","",YEAR(B58))</f>
        <v/>
      </c>
      <c r="F58">
        <f>IF(B58="",0,COUNTIFS(DATA_WSF!$A:$A,B58,DATA_WSF!$C:$C,$B$6,DATA_WSF!$D:$D,$B$7))</f>
        <v/>
      </c>
      <c r="G58">
        <f>IF(F58=0,0,SUMIFS(DATA_WSF!$H:$H,DATA_WSF!$A:$A,B58,DATA_WSF!$C:$C,$B$6,DATA_WSF!$D:$D,$B$7))</f>
        <v/>
      </c>
      <c r="H58">
        <f>IF(F58=0,0,SUMIFS(DATA_WSF!$I:$I,DATA_WSF!$A:$A,B58,DATA_WSF!$C:$C,$B$6,DATA_WSF!$D:$D,$B$7))</f>
        <v/>
      </c>
      <c r="I58">
        <f>IF(F58=0,0,SUMIFS(DATA_WSF!$K:$K,DATA_WSF!$A:$A,B58,DATA_WSF!$C:$C,$B$6,DATA_WSF!$D:$D,$B$7))</f>
        <v/>
      </c>
      <c r="J58">
        <f>G58+H58</f>
        <v/>
      </c>
      <c r="K58">
        <f>J58+I58</f>
        <v/>
      </c>
      <c r="L58">
        <f>IF(F58=0,0,SUMIFS(DATA_WSF!$E:$E,DATA_WSF!$A:$A,B58,DATA_WSF!$C:$C,$B$6,DATA_WSF!$D:$D,$B$7))</f>
        <v/>
      </c>
      <c r="M58">
        <f>IF(F58=0,0,SUMIFS(DATA_WSF!$F:$F,DATA_WSF!$A:$A,B58,DATA_WSF!$C:$C,$B$6,DATA_WSF!$D:$D,$B$7))</f>
        <v/>
      </c>
      <c r="N58">
        <f>L58-M58</f>
        <v/>
      </c>
      <c r="O58">
        <f>IF(L58=0,0,M58/L58)</f>
        <v/>
      </c>
      <c r="P58">
        <f>IF(M58=0,0,K58/M58)</f>
        <v/>
      </c>
      <c r="Q58">
        <f>IF(F58&gt;0,1,0)</f>
        <v/>
      </c>
      <c r="R58">
        <f>IF(AND(A58&gt;=1,A58&lt;=$B$11),Q58,0)</f>
        <v/>
      </c>
      <c r="S58">
        <f>IF(AND(C58=$B$12,E58=$B$14),Q58,0)</f>
        <v/>
      </c>
      <c r="T58">
        <f>IF(AND(D58=$B$13,E58=$B$14),Q58,0)</f>
        <v/>
      </c>
      <c r="U58">
        <f>IF(E58=$B$14,Q58,0)</f>
        <v/>
      </c>
      <c r="W58">
        <f>IFERROR(INDEX(MASTER_AREAS!$B:$B,57)&amp;"","")</f>
        <v/>
      </c>
      <c r="X58">
        <f>IF(OR(W58="",$B$10=0),0,COUNTIFS(DATA_WSF!$A:$A,$B$10,DATA_WSF!$C:$C,W58))</f>
        <v/>
      </c>
      <c r="Y58">
        <f>IF(X58=0,0,SUMIFS(DATA_WSF!$L:$L,DATA_WSF!$A:$A,$B$10,DATA_WSF!$C:$C,W58))</f>
        <v/>
      </c>
      <c r="Z58">
        <f>IF(OR(W58="",$B$10=0),0,SUMIFS(DATA_WSF!$L:$L,DATA_WSF!$A:$A,$B$10-7,DATA_WSF!$C:$C,W58))</f>
        <v/>
      </c>
      <c r="AA58">
        <f>IF(X58=0,0,SUMIFS(DATA_WSF!$E:$E,DATA_WSF!$A:$A,$B$10,DATA_WSF!$C:$C,W58))</f>
        <v/>
      </c>
      <c r="AB58">
        <f>IF(X58=0,0,SUMIFS(DATA_WSF!$F:$F,DATA_WSF!$A:$A,$B$10,DATA_WSF!$C:$C,W58))</f>
        <v/>
      </c>
      <c r="AC58">
        <f>IF(AA58=0,"",AB58/AA58)</f>
        <v/>
      </c>
      <c r="AD58">
        <f>IF(OR(X58=0,Z58=0),"",Y58/Z58-1)</f>
        <v/>
      </c>
      <c r="AE58">
        <f>IF(X58=0,"",Y58+ROW()/1000000)</f>
        <v/>
      </c>
      <c r="AF58">
        <f>IF(AC58="","",AC58+ROW()/1000000000)</f>
        <v/>
      </c>
      <c r="AG58">
        <f>IF(AD58="","",AD58+ROW()/1000000000)</f>
        <v/>
      </c>
    </row>
    <row r="59">
      <c r="A59" t="n">
        <v>38</v>
      </c>
      <c r="B59" s="170">
        <f>IF($B$10=0,"",$B$10-7*A59)</f>
        <v/>
      </c>
      <c r="C59">
        <f>IF(B59="","",MONTH(B59))</f>
        <v/>
      </c>
      <c r="D59">
        <f>IF(B59="","",ROUNDUP(MONTH(B59)/3,0))</f>
        <v/>
      </c>
      <c r="E59">
        <f>IF(B59="","",YEAR(B59))</f>
        <v/>
      </c>
      <c r="F59">
        <f>IF(B59="",0,COUNTIFS(DATA_WSF!$A:$A,B59,DATA_WSF!$C:$C,$B$6,DATA_WSF!$D:$D,$B$7))</f>
        <v/>
      </c>
      <c r="G59">
        <f>IF(F59=0,0,SUMIFS(DATA_WSF!$H:$H,DATA_WSF!$A:$A,B59,DATA_WSF!$C:$C,$B$6,DATA_WSF!$D:$D,$B$7))</f>
        <v/>
      </c>
      <c r="H59">
        <f>IF(F59=0,0,SUMIFS(DATA_WSF!$I:$I,DATA_WSF!$A:$A,B59,DATA_WSF!$C:$C,$B$6,DATA_WSF!$D:$D,$B$7))</f>
        <v/>
      </c>
      <c r="I59">
        <f>IF(F59=0,0,SUMIFS(DATA_WSF!$K:$K,DATA_WSF!$A:$A,B59,DATA_WSF!$C:$C,$B$6,DATA_WSF!$D:$D,$B$7))</f>
        <v/>
      </c>
      <c r="J59">
        <f>G59+H59</f>
        <v/>
      </c>
      <c r="K59">
        <f>J59+I59</f>
        <v/>
      </c>
      <c r="L59">
        <f>IF(F59=0,0,SUMIFS(DATA_WSF!$E:$E,DATA_WSF!$A:$A,B59,DATA_WSF!$C:$C,$B$6,DATA_WSF!$D:$D,$B$7))</f>
        <v/>
      </c>
      <c r="M59">
        <f>IF(F59=0,0,SUMIFS(DATA_WSF!$F:$F,DATA_WSF!$A:$A,B59,DATA_WSF!$C:$C,$B$6,DATA_WSF!$D:$D,$B$7))</f>
        <v/>
      </c>
      <c r="N59">
        <f>L59-M59</f>
        <v/>
      </c>
      <c r="O59">
        <f>IF(L59=0,0,M59/L59)</f>
        <v/>
      </c>
      <c r="P59">
        <f>IF(M59=0,0,K59/M59)</f>
        <v/>
      </c>
      <c r="Q59">
        <f>IF(F59&gt;0,1,0)</f>
        <v/>
      </c>
      <c r="R59">
        <f>IF(AND(A59&gt;=1,A59&lt;=$B$11),Q59,0)</f>
        <v/>
      </c>
      <c r="S59">
        <f>IF(AND(C59=$B$12,E59=$B$14),Q59,0)</f>
        <v/>
      </c>
      <c r="T59">
        <f>IF(AND(D59=$B$13,E59=$B$14),Q59,0)</f>
        <v/>
      </c>
      <c r="U59">
        <f>IF(E59=$B$14,Q59,0)</f>
        <v/>
      </c>
      <c r="W59">
        <f>IFERROR(INDEX(MASTER_AREAS!$B:$B,58)&amp;"","")</f>
        <v/>
      </c>
      <c r="X59">
        <f>IF(OR(W59="",$B$10=0),0,COUNTIFS(DATA_WSF!$A:$A,$B$10,DATA_WSF!$C:$C,W59))</f>
        <v/>
      </c>
      <c r="Y59">
        <f>IF(X59=0,0,SUMIFS(DATA_WSF!$L:$L,DATA_WSF!$A:$A,$B$10,DATA_WSF!$C:$C,W59))</f>
        <v/>
      </c>
      <c r="Z59">
        <f>IF(OR(W59="",$B$10=0),0,SUMIFS(DATA_WSF!$L:$L,DATA_WSF!$A:$A,$B$10-7,DATA_WSF!$C:$C,W59))</f>
        <v/>
      </c>
      <c r="AA59">
        <f>IF(X59=0,0,SUMIFS(DATA_WSF!$E:$E,DATA_WSF!$A:$A,$B$10,DATA_WSF!$C:$C,W59))</f>
        <v/>
      </c>
      <c r="AB59">
        <f>IF(X59=0,0,SUMIFS(DATA_WSF!$F:$F,DATA_WSF!$A:$A,$B$10,DATA_WSF!$C:$C,W59))</f>
        <v/>
      </c>
      <c r="AC59">
        <f>IF(AA59=0,"",AB59/AA59)</f>
        <v/>
      </c>
      <c r="AD59">
        <f>IF(OR(X59=0,Z59=0),"",Y59/Z59-1)</f>
        <v/>
      </c>
      <c r="AE59">
        <f>IF(X59=0,"",Y59+ROW()/1000000)</f>
        <v/>
      </c>
      <c r="AF59">
        <f>IF(AC59="","",AC59+ROW()/1000000000)</f>
        <v/>
      </c>
      <c r="AG59">
        <f>IF(AD59="","",AD59+ROW()/1000000000)</f>
        <v/>
      </c>
    </row>
    <row r="60">
      <c r="A60" t="n">
        <v>39</v>
      </c>
      <c r="B60" s="170">
        <f>IF($B$10=0,"",$B$10-7*A60)</f>
        <v/>
      </c>
      <c r="C60">
        <f>IF(B60="","",MONTH(B60))</f>
        <v/>
      </c>
      <c r="D60">
        <f>IF(B60="","",ROUNDUP(MONTH(B60)/3,0))</f>
        <v/>
      </c>
      <c r="E60">
        <f>IF(B60="","",YEAR(B60))</f>
        <v/>
      </c>
      <c r="F60">
        <f>IF(B60="",0,COUNTIFS(DATA_WSF!$A:$A,B60,DATA_WSF!$C:$C,$B$6,DATA_WSF!$D:$D,$B$7))</f>
        <v/>
      </c>
      <c r="G60">
        <f>IF(F60=0,0,SUMIFS(DATA_WSF!$H:$H,DATA_WSF!$A:$A,B60,DATA_WSF!$C:$C,$B$6,DATA_WSF!$D:$D,$B$7))</f>
        <v/>
      </c>
      <c r="H60">
        <f>IF(F60=0,0,SUMIFS(DATA_WSF!$I:$I,DATA_WSF!$A:$A,B60,DATA_WSF!$C:$C,$B$6,DATA_WSF!$D:$D,$B$7))</f>
        <v/>
      </c>
      <c r="I60">
        <f>IF(F60=0,0,SUMIFS(DATA_WSF!$K:$K,DATA_WSF!$A:$A,B60,DATA_WSF!$C:$C,$B$6,DATA_WSF!$D:$D,$B$7))</f>
        <v/>
      </c>
      <c r="J60">
        <f>G60+H60</f>
        <v/>
      </c>
      <c r="K60">
        <f>J60+I60</f>
        <v/>
      </c>
      <c r="L60">
        <f>IF(F60=0,0,SUMIFS(DATA_WSF!$E:$E,DATA_WSF!$A:$A,B60,DATA_WSF!$C:$C,$B$6,DATA_WSF!$D:$D,$B$7))</f>
        <v/>
      </c>
      <c r="M60">
        <f>IF(F60=0,0,SUMIFS(DATA_WSF!$F:$F,DATA_WSF!$A:$A,B60,DATA_WSF!$C:$C,$B$6,DATA_WSF!$D:$D,$B$7))</f>
        <v/>
      </c>
      <c r="N60">
        <f>L60-M60</f>
        <v/>
      </c>
      <c r="O60">
        <f>IF(L60=0,0,M60/L60)</f>
        <v/>
      </c>
      <c r="P60">
        <f>IF(M60=0,0,K60/M60)</f>
        <v/>
      </c>
      <c r="Q60">
        <f>IF(F60&gt;0,1,0)</f>
        <v/>
      </c>
      <c r="R60">
        <f>IF(AND(A60&gt;=1,A60&lt;=$B$11),Q60,0)</f>
        <v/>
      </c>
      <c r="S60">
        <f>IF(AND(C60=$B$12,E60=$B$14),Q60,0)</f>
        <v/>
      </c>
      <c r="T60">
        <f>IF(AND(D60=$B$13,E60=$B$14),Q60,0)</f>
        <v/>
      </c>
      <c r="U60">
        <f>IF(E60=$B$14,Q60,0)</f>
        <v/>
      </c>
      <c r="W60">
        <f>IFERROR(INDEX(MASTER_AREAS!$B:$B,59)&amp;"","")</f>
        <v/>
      </c>
      <c r="X60">
        <f>IF(OR(W60="",$B$10=0),0,COUNTIFS(DATA_WSF!$A:$A,$B$10,DATA_WSF!$C:$C,W60))</f>
        <v/>
      </c>
      <c r="Y60">
        <f>IF(X60=0,0,SUMIFS(DATA_WSF!$L:$L,DATA_WSF!$A:$A,$B$10,DATA_WSF!$C:$C,W60))</f>
        <v/>
      </c>
      <c r="Z60">
        <f>IF(OR(W60="",$B$10=0),0,SUMIFS(DATA_WSF!$L:$L,DATA_WSF!$A:$A,$B$10-7,DATA_WSF!$C:$C,W60))</f>
        <v/>
      </c>
      <c r="AA60">
        <f>IF(X60=0,0,SUMIFS(DATA_WSF!$E:$E,DATA_WSF!$A:$A,$B$10,DATA_WSF!$C:$C,W60))</f>
        <v/>
      </c>
      <c r="AB60">
        <f>IF(X60=0,0,SUMIFS(DATA_WSF!$F:$F,DATA_WSF!$A:$A,$B$10,DATA_WSF!$C:$C,W60))</f>
        <v/>
      </c>
      <c r="AC60">
        <f>IF(AA60=0,"",AB60/AA60)</f>
        <v/>
      </c>
      <c r="AD60">
        <f>IF(OR(X60=0,Z60=0),"",Y60/Z60-1)</f>
        <v/>
      </c>
      <c r="AE60">
        <f>IF(X60=0,"",Y60+ROW()/1000000)</f>
        <v/>
      </c>
      <c r="AF60">
        <f>IF(AC60="","",AC60+ROW()/1000000000)</f>
        <v/>
      </c>
      <c r="AG60">
        <f>IF(AD60="","",AD60+ROW()/1000000000)</f>
        <v/>
      </c>
    </row>
    <row r="61">
      <c r="A61" t="n">
        <v>40</v>
      </c>
      <c r="B61" s="170">
        <f>IF($B$10=0,"",$B$10-7*A61)</f>
        <v/>
      </c>
      <c r="C61">
        <f>IF(B61="","",MONTH(B61))</f>
        <v/>
      </c>
      <c r="D61">
        <f>IF(B61="","",ROUNDUP(MONTH(B61)/3,0))</f>
        <v/>
      </c>
      <c r="E61">
        <f>IF(B61="","",YEAR(B61))</f>
        <v/>
      </c>
      <c r="F61">
        <f>IF(B61="",0,COUNTIFS(DATA_WSF!$A:$A,B61,DATA_WSF!$C:$C,$B$6,DATA_WSF!$D:$D,$B$7))</f>
        <v/>
      </c>
      <c r="G61">
        <f>IF(F61=0,0,SUMIFS(DATA_WSF!$H:$H,DATA_WSF!$A:$A,B61,DATA_WSF!$C:$C,$B$6,DATA_WSF!$D:$D,$B$7))</f>
        <v/>
      </c>
      <c r="H61">
        <f>IF(F61=0,0,SUMIFS(DATA_WSF!$I:$I,DATA_WSF!$A:$A,B61,DATA_WSF!$C:$C,$B$6,DATA_WSF!$D:$D,$B$7))</f>
        <v/>
      </c>
      <c r="I61">
        <f>IF(F61=0,0,SUMIFS(DATA_WSF!$K:$K,DATA_WSF!$A:$A,B61,DATA_WSF!$C:$C,$B$6,DATA_WSF!$D:$D,$B$7))</f>
        <v/>
      </c>
      <c r="J61">
        <f>G61+H61</f>
        <v/>
      </c>
      <c r="K61">
        <f>J61+I61</f>
        <v/>
      </c>
      <c r="L61">
        <f>IF(F61=0,0,SUMIFS(DATA_WSF!$E:$E,DATA_WSF!$A:$A,B61,DATA_WSF!$C:$C,$B$6,DATA_WSF!$D:$D,$B$7))</f>
        <v/>
      </c>
      <c r="M61">
        <f>IF(F61=0,0,SUMIFS(DATA_WSF!$F:$F,DATA_WSF!$A:$A,B61,DATA_WSF!$C:$C,$B$6,DATA_WSF!$D:$D,$B$7))</f>
        <v/>
      </c>
      <c r="N61">
        <f>L61-M61</f>
        <v/>
      </c>
      <c r="O61">
        <f>IF(L61=0,0,M61/L61)</f>
        <v/>
      </c>
      <c r="P61">
        <f>IF(M61=0,0,K61/M61)</f>
        <v/>
      </c>
      <c r="Q61">
        <f>IF(F61&gt;0,1,0)</f>
        <v/>
      </c>
      <c r="R61">
        <f>IF(AND(A61&gt;=1,A61&lt;=$B$11),Q61,0)</f>
        <v/>
      </c>
      <c r="S61">
        <f>IF(AND(C61=$B$12,E61=$B$14),Q61,0)</f>
        <v/>
      </c>
      <c r="T61">
        <f>IF(AND(D61=$B$13,E61=$B$14),Q61,0)</f>
        <v/>
      </c>
      <c r="U61">
        <f>IF(E61=$B$14,Q61,0)</f>
        <v/>
      </c>
      <c r="W61">
        <f>IFERROR(INDEX(MASTER_AREAS!$B:$B,60)&amp;"","")</f>
        <v/>
      </c>
      <c r="X61">
        <f>IF(OR(W61="",$B$10=0),0,COUNTIFS(DATA_WSF!$A:$A,$B$10,DATA_WSF!$C:$C,W61))</f>
        <v/>
      </c>
      <c r="Y61">
        <f>IF(X61=0,0,SUMIFS(DATA_WSF!$L:$L,DATA_WSF!$A:$A,$B$10,DATA_WSF!$C:$C,W61))</f>
        <v/>
      </c>
      <c r="Z61">
        <f>IF(OR(W61="",$B$10=0),0,SUMIFS(DATA_WSF!$L:$L,DATA_WSF!$A:$A,$B$10-7,DATA_WSF!$C:$C,W61))</f>
        <v/>
      </c>
      <c r="AA61">
        <f>IF(X61=0,0,SUMIFS(DATA_WSF!$E:$E,DATA_WSF!$A:$A,$B$10,DATA_WSF!$C:$C,W61))</f>
        <v/>
      </c>
      <c r="AB61">
        <f>IF(X61=0,0,SUMIFS(DATA_WSF!$F:$F,DATA_WSF!$A:$A,$B$10,DATA_WSF!$C:$C,W61))</f>
        <v/>
      </c>
      <c r="AC61">
        <f>IF(AA61=0,"",AB61/AA61)</f>
        <v/>
      </c>
      <c r="AD61">
        <f>IF(OR(X61=0,Z61=0),"",Y61/Z61-1)</f>
        <v/>
      </c>
      <c r="AE61">
        <f>IF(X61=0,"",Y61+ROW()/1000000)</f>
        <v/>
      </c>
      <c r="AF61">
        <f>IF(AC61="","",AC61+ROW()/1000000000)</f>
        <v/>
      </c>
      <c r="AG61">
        <f>IF(AD61="","",AD61+ROW()/1000000000)</f>
        <v/>
      </c>
    </row>
    <row r="62">
      <c r="A62" t="n">
        <v>41</v>
      </c>
      <c r="B62" s="170">
        <f>IF($B$10=0,"",$B$10-7*A62)</f>
        <v/>
      </c>
      <c r="C62">
        <f>IF(B62="","",MONTH(B62))</f>
        <v/>
      </c>
      <c r="D62">
        <f>IF(B62="","",ROUNDUP(MONTH(B62)/3,0))</f>
        <v/>
      </c>
      <c r="E62">
        <f>IF(B62="","",YEAR(B62))</f>
        <v/>
      </c>
      <c r="F62">
        <f>IF(B62="",0,COUNTIFS(DATA_WSF!$A:$A,B62,DATA_WSF!$C:$C,$B$6,DATA_WSF!$D:$D,$B$7))</f>
        <v/>
      </c>
      <c r="G62">
        <f>IF(F62=0,0,SUMIFS(DATA_WSF!$H:$H,DATA_WSF!$A:$A,B62,DATA_WSF!$C:$C,$B$6,DATA_WSF!$D:$D,$B$7))</f>
        <v/>
      </c>
      <c r="H62">
        <f>IF(F62=0,0,SUMIFS(DATA_WSF!$I:$I,DATA_WSF!$A:$A,B62,DATA_WSF!$C:$C,$B$6,DATA_WSF!$D:$D,$B$7))</f>
        <v/>
      </c>
      <c r="I62">
        <f>IF(F62=0,0,SUMIFS(DATA_WSF!$K:$K,DATA_WSF!$A:$A,B62,DATA_WSF!$C:$C,$B$6,DATA_WSF!$D:$D,$B$7))</f>
        <v/>
      </c>
      <c r="J62">
        <f>G62+H62</f>
        <v/>
      </c>
      <c r="K62">
        <f>J62+I62</f>
        <v/>
      </c>
      <c r="L62">
        <f>IF(F62=0,0,SUMIFS(DATA_WSF!$E:$E,DATA_WSF!$A:$A,B62,DATA_WSF!$C:$C,$B$6,DATA_WSF!$D:$D,$B$7))</f>
        <v/>
      </c>
      <c r="M62">
        <f>IF(F62=0,0,SUMIFS(DATA_WSF!$F:$F,DATA_WSF!$A:$A,B62,DATA_WSF!$C:$C,$B$6,DATA_WSF!$D:$D,$B$7))</f>
        <v/>
      </c>
      <c r="N62">
        <f>L62-M62</f>
        <v/>
      </c>
      <c r="O62">
        <f>IF(L62=0,0,M62/L62)</f>
        <v/>
      </c>
      <c r="P62">
        <f>IF(M62=0,0,K62/M62)</f>
        <v/>
      </c>
      <c r="Q62">
        <f>IF(F62&gt;0,1,0)</f>
        <v/>
      </c>
      <c r="R62">
        <f>IF(AND(A62&gt;=1,A62&lt;=$B$11),Q62,0)</f>
        <v/>
      </c>
      <c r="S62">
        <f>IF(AND(C62=$B$12,E62=$B$14),Q62,0)</f>
        <v/>
      </c>
      <c r="T62">
        <f>IF(AND(D62=$B$13,E62=$B$14),Q62,0)</f>
        <v/>
      </c>
      <c r="U62">
        <f>IF(E62=$B$14,Q62,0)</f>
        <v/>
      </c>
      <c r="W62">
        <f>IFERROR(INDEX(MASTER_AREAS!$B:$B,61)&amp;"","")</f>
        <v/>
      </c>
      <c r="X62">
        <f>IF(OR(W62="",$B$10=0),0,COUNTIFS(DATA_WSF!$A:$A,$B$10,DATA_WSF!$C:$C,W62))</f>
        <v/>
      </c>
      <c r="Y62">
        <f>IF(X62=0,0,SUMIFS(DATA_WSF!$L:$L,DATA_WSF!$A:$A,$B$10,DATA_WSF!$C:$C,W62))</f>
        <v/>
      </c>
      <c r="Z62">
        <f>IF(OR(W62="",$B$10=0),0,SUMIFS(DATA_WSF!$L:$L,DATA_WSF!$A:$A,$B$10-7,DATA_WSF!$C:$C,W62))</f>
        <v/>
      </c>
      <c r="AA62">
        <f>IF(X62=0,0,SUMIFS(DATA_WSF!$E:$E,DATA_WSF!$A:$A,$B$10,DATA_WSF!$C:$C,W62))</f>
        <v/>
      </c>
      <c r="AB62">
        <f>IF(X62=0,0,SUMIFS(DATA_WSF!$F:$F,DATA_WSF!$A:$A,$B$10,DATA_WSF!$C:$C,W62))</f>
        <v/>
      </c>
      <c r="AC62">
        <f>IF(AA62=0,"",AB62/AA62)</f>
        <v/>
      </c>
      <c r="AD62">
        <f>IF(OR(X62=0,Z62=0),"",Y62/Z62-1)</f>
        <v/>
      </c>
      <c r="AE62">
        <f>IF(X62=0,"",Y62+ROW()/1000000)</f>
        <v/>
      </c>
      <c r="AF62">
        <f>IF(AC62="","",AC62+ROW()/1000000000)</f>
        <v/>
      </c>
      <c r="AG62">
        <f>IF(AD62="","",AD62+ROW()/1000000000)</f>
        <v/>
      </c>
    </row>
    <row r="63">
      <c r="A63" t="n">
        <v>42</v>
      </c>
      <c r="B63" s="170">
        <f>IF($B$10=0,"",$B$10-7*A63)</f>
        <v/>
      </c>
      <c r="C63">
        <f>IF(B63="","",MONTH(B63))</f>
        <v/>
      </c>
      <c r="D63">
        <f>IF(B63="","",ROUNDUP(MONTH(B63)/3,0))</f>
        <v/>
      </c>
      <c r="E63">
        <f>IF(B63="","",YEAR(B63))</f>
        <v/>
      </c>
      <c r="F63">
        <f>IF(B63="",0,COUNTIFS(DATA_WSF!$A:$A,B63,DATA_WSF!$C:$C,$B$6,DATA_WSF!$D:$D,$B$7))</f>
        <v/>
      </c>
      <c r="G63">
        <f>IF(F63=0,0,SUMIFS(DATA_WSF!$H:$H,DATA_WSF!$A:$A,B63,DATA_WSF!$C:$C,$B$6,DATA_WSF!$D:$D,$B$7))</f>
        <v/>
      </c>
      <c r="H63">
        <f>IF(F63=0,0,SUMIFS(DATA_WSF!$I:$I,DATA_WSF!$A:$A,B63,DATA_WSF!$C:$C,$B$6,DATA_WSF!$D:$D,$B$7))</f>
        <v/>
      </c>
      <c r="I63">
        <f>IF(F63=0,0,SUMIFS(DATA_WSF!$K:$K,DATA_WSF!$A:$A,B63,DATA_WSF!$C:$C,$B$6,DATA_WSF!$D:$D,$B$7))</f>
        <v/>
      </c>
      <c r="J63">
        <f>G63+H63</f>
        <v/>
      </c>
      <c r="K63">
        <f>J63+I63</f>
        <v/>
      </c>
      <c r="L63">
        <f>IF(F63=0,0,SUMIFS(DATA_WSF!$E:$E,DATA_WSF!$A:$A,B63,DATA_WSF!$C:$C,$B$6,DATA_WSF!$D:$D,$B$7))</f>
        <v/>
      </c>
      <c r="M63">
        <f>IF(F63=0,0,SUMIFS(DATA_WSF!$F:$F,DATA_WSF!$A:$A,B63,DATA_WSF!$C:$C,$B$6,DATA_WSF!$D:$D,$B$7))</f>
        <v/>
      </c>
      <c r="N63">
        <f>L63-M63</f>
        <v/>
      </c>
      <c r="O63">
        <f>IF(L63=0,0,M63/L63)</f>
        <v/>
      </c>
      <c r="P63">
        <f>IF(M63=0,0,K63/M63)</f>
        <v/>
      </c>
      <c r="Q63">
        <f>IF(F63&gt;0,1,0)</f>
        <v/>
      </c>
      <c r="R63">
        <f>IF(AND(A63&gt;=1,A63&lt;=$B$11),Q63,0)</f>
        <v/>
      </c>
      <c r="S63">
        <f>IF(AND(C63=$B$12,E63=$B$14),Q63,0)</f>
        <v/>
      </c>
      <c r="T63">
        <f>IF(AND(D63=$B$13,E63=$B$14),Q63,0)</f>
        <v/>
      </c>
      <c r="U63">
        <f>IF(E63=$B$14,Q63,0)</f>
        <v/>
      </c>
      <c r="W63">
        <f>IFERROR(INDEX(MASTER_AREAS!$B:$B,62)&amp;"","")</f>
        <v/>
      </c>
      <c r="X63">
        <f>IF(OR(W63="",$B$10=0),0,COUNTIFS(DATA_WSF!$A:$A,$B$10,DATA_WSF!$C:$C,W63))</f>
        <v/>
      </c>
      <c r="Y63">
        <f>IF(X63=0,0,SUMIFS(DATA_WSF!$L:$L,DATA_WSF!$A:$A,$B$10,DATA_WSF!$C:$C,W63))</f>
        <v/>
      </c>
      <c r="Z63">
        <f>IF(OR(W63="",$B$10=0),0,SUMIFS(DATA_WSF!$L:$L,DATA_WSF!$A:$A,$B$10-7,DATA_WSF!$C:$C,W63))</f>
        <v/>
      </c>
      <c r="AA63">
        <f>IF(X63=0,0,SUMIFS(DATA_WSF!$E:$E,DATA_WSF!$A:$A,$B$10,DATA_WSF!$C:$C,W63))</f>
        <v/>
      </c>
      <c r="AB63">
        <f>IF(X63=0,0,SUMIFS(DATA_WSF!$F:$F,DATA_WSF!$A:$A,$B$10,DATA_WSF!$C:$C,W63))</f>
        <v/>
      </c>
      <c r="AC63">
        <f>IF(AA63=0,"",AB63/AA63)</f>
        <v/>
      </c>
      <c r="AD63">
        <f>IF(OR(X63=0,Z63=0),"",Y63/Z63-1)</f>
        <v/>
      </c>
      <c r="AE63">
        <f>IF(X63=0,"",Y63+ROW()/1000000)</f>
        <v/>
      </c>
      <c r="AF63">
        <f>IF(AC63="","",AC63+ROW()/1000000000)</f>
        <v/>
      </c>
      <c r="AG63">
        <f>IF(AD63="","",AD63+ROW()/1000000000)</f>
        <v/>
      </c>
    </row>
    <row r="64">
      <c r="A64" t="n">
        <v>43</v>
      </c>
      <c r="B64" s="170">
        <f>IF($B$10=0,"",$B$10-7*A64)</f>
        <v/>
      </c>
      <c r="C64">
        <f>IF(B64="","",MONTH(B64))</f>
        <v/>
      </c>
      <c r="D64">
        <f>IF(B64="","",ROUNDUP(MONTH(B64)/3,0))</f>
        <v/>
      </c>
      <c r="E64">
        <f>IF(B64="","",YEAR(B64))</f>
        <v/>
      </c>
      <c r="F64">
        <f>IF(B64="",0,COUNTIFS(DATA_WSF!$A:$A,B64,DATA_WSF!$C:$C,$B$6,DATA_WSF!$D:$D,$B$7))</f>
        <v/>
      </c>
      <c r="G64">
        <f>IF(F64=0,0,SUMIFS(DATA_WSF!$H:$H,DATA_WSF!$A:$A,B64,DATA_WSF!$C:$C,$B$6,DATA_WSF!$D:$D,$B$7))</f>
        <v/>
      </c>
      <c r="H64">
        <f>IF(F64=0,0,SUMIFS(DATA_WSF!$I:$I,DATA_WSF!$A:$A,B64,DATA_WSF!$C:$C,$B$6,DATA_WSF!$D:$D,$B$7))</f>
        <v/>
      </c>
      <c r="I64">
        <f>IF(F64=0,0,SUMIFS(DATA_WSF!$K:$K,DATA_WSF!$A:$A,B64,DATA_WSF!$C:$C,$B$6,DATA_WSF!$D:$D,$B$7))</f>
        <v/>
      </c>
      <c r="J64">
        <f>G64+H64</f>
        <v/>
      </c>
      <c r="K64">
        <f>J64+I64</f>
        <v/>
      </c>
      <c r="L64">
        <f>IF(F64=0,0,SUMIFS(DATA_WSF!$E:$E,DATA_WSF!$A:$A,B64,DATA_WSF!$C:$C,$B$6,DATA_WSF!$D:$D,$B$7))</f>
        <v/>
      </c>
      <c r="M64">
        <f>IF(F64=0,0,SUMIFS(DATA_WSF!$F:$F,DATA_WSF!$A:$A,B64,DATA_WSF!$C:$C,$B$6,DATA_WSF!$D:$D,$B$7))</f>
        <v/>
      </c>
      <c r="N64">
        <f>L64-M64</f>
        <v/>
      </c>
      <c r="O64">
        <f>IF(L64=0,0,M64/L64)</f>
        <v/>
      </c>
      <c r="P64">
        <f>IF(M64=0,0,K64/M64)</f>
        <v/>
      </c>
      <c r="Q64">
        <f>IF(F64&gt;0,1,0)</f>
        <v/>
      </c>
      <c r="R64">
        <f>IF(AND(A64&gt;=1,A64&lt;=$B$11),Q64,0)</f>
        <v/>
      </c>
      <c r="S64">
        <f>IF(AND(C64=$B$12,E64=$B$14),Q64,0)</f>
        <v/>
      </c>
      <c r="T64">
        <f>IF(AND(D64=$B$13,E64=$B$14),Q64,0)</f>
        <v/>
      </c>
      <c r="U64">
        <f>IF(E64=$B$14,Q64,0)</f>
        <v/>
      </c>
      <c r="W64">
        <f>IFERROR(INDEX(MASTER_AREAS!$B:$B,63)&amp;"","")</f>
        <v/>
      </c>
      <c r="X64">
        <f>IF(OR(W64="",$B$10=0),0,COUNTIFS(DATA_WSF!$A:$A,$B$10,DATA_WSF!$C:$C,W64))</f>
        <v/>
      </c>
      <c r="Y64">
        <f>IF(X64=0,0,SUMIFS(DATA_WSF!$L:$L,DATA_WSF!$A:$A,$B$10,DATA_WSF!$C:$C,W64))</f>
        <v/>
      </c>
      <c r="Z64">
        <f>IF(OR(W64="",$B$10=0),0,SUMIFS(DATA_WSF!$L:$L,DATA_WSF!$A:$A,$B$10-7,DATA_WSF!$C:$C,W64))</f>
        <v/>
      </c>
      <c r="AA64">
        <f>IF(X64=0,0,SUMIFS(DATA_WSF!$E:$E,DATA_WSF!$A:$A,$B$10,DATA_WSF!$C:$C,W64))</f>
        <v/>
      </c>
      <c r="AB64">
        <f>IF(X64=0,0,SUMIFS(DATA_WSF!$F:$F,DATA_WSF!$A:$A,$B$10,DATA_WSF!$C:$C,W64))</f>
        <v/>
      </c>
      <c r="AC64">
        <f>IF(AA64=0,"",AB64/AA64)</f>
        <v/>
      </c>
      <c r="AD64">
        <f>IF(OR(X64=0,Z64=0),"",Y64/Z64-1)</f>
        <v/>
      </c>
      <c r="AE64">
        <f>IF(X64=0,"",Y64+ROW()/1000000)</f>
        <v/>
      </c>
      <c r="AF64">
        <f>IF(AC64="","",AC64+ROW()/1000000000)</f>
        <v/>
      </c>
      <c r="AG64">
        <f>IF(AD64="","",AD64+ROW()/1000000000)</f>
        <v/>
      </c>
    </row>
    <row r="65">
      <c r="A65" t="n">
        <v>44</v>
      </c>
      <c r="B65" s="170">
        <f>IF($B$10=0,"",$B$10-7*A65)</f>
        <v/>
      </c>
      <c r="C65">
        <f>IF(B65="","",MONTH(B65))</f>
        <v/>
      </c>
      <c r="D65">
        <f>IF(B65="","",ROUNDUP(MONTH(B65)/3,0))</f>
        <v/>
      </c>
      <c r="E65">
        <f>IF(B65="","",YEAR(B65))</f>
        <v/>
      </c>
      <c r="F65">
        <f>IF(B65="",0,COUNTIFS(DATA_WSF!$A:$A,B65,DATA_WSF!$C:$C,$B$6,DATA_WSF!$D:$D,$B$7))</f>
        <v/>
      </c>
      <c r="G65">
        <f>IF(F65=0,0,SUMIFS(DATA_WSF!$H:$H,DATA_WSF!$A:$A,B65,DATA_WSF!$C:$C,$B$6,DATA_WSF!$D:$D,$B$7))</f>
        <v/>
      </c>
      <c r="H65">
        <f>IF(F65=0,0,SUMIFS(DATA_WSF!$I:$I,DATA_WSF!$A:$A,B65,DATA_WSF!$C:$C,$B$6,DATA_WSF!$D:$D,$B$7))</f>
        <v/>
      </c>
      <c r="I65">
        <f>IF(F65=0,0,SUMIFS(DATA_WSF!$K:$K,DATA_WSF!$A:$A,B65,DATA_WSF!$C:$C,$B$6,DATA_WSF!$D:$D,$B$7))</f>
        <v/>
      </c>
      <c r="J65">
        <f>G65+H65</f>
        <v/>
      </c>
      <c r="K65">
        <f>J65+I65</f>
        <v/>
      </c>
      <c r="L65">
        <f>IF(F65=0,0,SUMIFS(DATA_WSF!$E:$E,DATA_WSF!$A:$A,B65,DATA_WSF!$C:$C,$B$6,DATA_WSF!$D:$D,$B$7))</f>
        <v/>
      </c>
      <c r="M65">
        <f>IF(F65=0,0,SUMIFS(DATA_WSF!$F:$F,DATA_WSF!$A:$A,B65,DATA_WSF!$C:$C,$B$6,DATA_WSF!$D:$D,$B$7))</f>
        <v/>
      </c>
      <c r="N65">
        <f>L65-M65</f>
        <v/>
      </c>
      <c r="O65">
        <f>IF(L65=0,0,M65/L65)</f>
        <v/>
      </c>
      <c r="P65">
        <f>IF(M65=0,0,K65/M65)</f>
        <v/>
      </c>
      <c r="Q65">
        <f>IF(F65&gt;0,1,0)</f>
        <v/>
      </c>
      <c r="R65">
        <f>IF(AND(A65&gt;=1,A65&lt;=$B$11),Q65,0)</f>
        <v/>
      </c>
      <c r="S65">
        <f>IF(AND(C65=$B$12,E65=$B$14),Q65,0)</f>
        <v/>
      </c>
      <c r="T65">
        <f>IF(AND(D65=$B$13,E65=$B$14),Q65,0)</f>
        <v/>
      </c>
      <c r="U65">
        <f>IF(E65=$B$14,Q65,0)</f>
        <v/>
      </c>
      <c r="W65">
        <f>IFERROR(INDEX(MASTER_AREAS!$B:$B,64)&amp;"","")</f>
        <v/>
      </c>
      <c r="X65">
        <f>IF(OR(W65="",$B$10=0),0,COUNTIFS(DATA_WSF!$A:$A,$B$10,DATA_WSF!$C:$C,W65))</f>
        <v/>
      </c>
      <c r="Y65">
        <f>IF(X65=0,0,SUMIFS(DATA_WSF!$L:$L,DATA_WSF!$A:$A,$B$10,DATA_WSF!$C:$C,W65))</f>
        <v/>
      </c>
      <c r="Z65">
        <f>IF(OR(W65="",$B$10=0),0,SUMIFS(DATA_WSF!$L:$L,DATA_WSF!$A:$A,$B$10-7,DATA_WSF!$C:$C,W65))</f>
        <v/>
      </c>
      <c r="AA65">
        <f>IF(X65=0,0,SUMIFS(DATA_WSF!$E:$E,DATA_WSF!$A:$A,$B$10,DATA_WSF!$C:$C,W65))</f>
        <v/>
      </c>
      <c r="AB65">
        <f>IF(X65=0,0,SUMIFS(DATA_WSF!$F:$F,DATA_WSF!$A:$A,$B$10,DATA_WSF!$C:$C,W65))</f>
        <v/>
      </c>
      <c r="AC65">
        <f>IF(AA65=0,"",AB65/AA65)</f>
        <v/>
      </c>
      <c r="AD65">
        <f>IF(OR(X65=0,Z65=0),"",Y65/Z65-1)</f>
        <v/>
      </c>
      <c r="AE65">
        <f>IF(X65=0,"",Y65+ROW()/1000000)</f>
        <v/>
      </c>
      <c r="AF65">
        <f>IF(AC65="","",AC65+ROW()/1000000000)</f>
        <v/>
      </c>
      <c r="AG65">
        <f>IF(AD65="","",AD65+ROW()/1000000000)</f>
        <v/>
      </c>
    </row>
    <row r="66">
      <c r="A66" t="n">
        <v>45</v>
      </c>
      <c r="B66" s="170">
        <f>IF($B$10=0,"",$B$10-7*A66)</f>
        <v/>
      </c>
      <c r="C66">
        <f>IF(B66="","",MONTH(B66))</f>
        <v/>
      </c>
      <c r="D66">
        <f>IF(B66="","",ROUNDUP(MONTH(B66)/3,0))</f>
        <v/>
      </c>
      <c r="E66">
        <f>IF(B66="","",YEAR(B66))</f>
        <v/>
      </c>
      <c r="F66">
        <f>IF(B66="",0,COUNTIFS(DATA_WSF!$A:$A,B66,DATA_WSF!$C:$C,$B$6,DATA_WSF!$D:$D,$B$7))</f>
        <v/>
      </c>
      <c r="G66">
        <f>IF(F66=0,0,SUMIFS(DATA_WSF!$H:$H,DATA_WSF!$A:$A,B66,DATA_WSF!$C:$C,$B$6,DATA_WSF!$D:$D,$B$7))</f>
        <v/>
      </c>
      <c r="H66">
        <f>IF(F66=0,0,SUMIFS(DATA_WSF!$I:$I,DATA_WSF!$A:$A,B66,DATA_WSF!$C:$C,$B$6,DATA_WSF!$D:$D,$B$7))</f>
        <v/>
      </c>
      <c r="I66">
        <f>IF(F66=0,0,SUMIFS(DATA_WSF!$K:$K,DATA_WSF!$A:$A,B66,DATA_WSF!$C:$C,$B$6,DATA_WSF!$D:$D,$B$7))</f>
        <v/>
      </c>
      <c r="J66">
        <f>G66+H66</f>
        <v/>
      </c>
      <c r="K66">
        <f>J66+I66</f>
        <v/>
      </c>
      <c r="L66">
        <f>IF(F66=0,0,SUMIFS(DATA_WSF!$E:$E,DATA_WSF!$A:$A,B66,DATA_WSF!$C:$C,$B$6,DATA_WSF!$D:$D,$B$7))</f>
        <v/>
      </c>
      <c r="M66">
        <f>IF(F66=0,0,SUMIFS(DATA_WSF!$F:$F,DATA_WSF!$A:$A,B66,DATA_WSF!$C:$C,$B$6,DATA_WSF!$D:$D,$B$7))</f>
        <v/>
      </c>
      <c r="N66">
        <f>L66-M66</f>
        <v/>
      </c>
      <c r="O66">
        <f>IF(L66=0,0,M66/L66)</f>
        <v/>
      </c>
      <c r="P66">
        <f>IF(M66=0,0,K66/M66)</f>
        <v/>
      </c>
      <c r="Q66">
        <f>IF(F66&gt;0,1,0)</f>
        <v/>
      </c>
      <c r="R66">
        <f>IF(AND(A66&gt;=1,A66&lt;=$B$11),Q66,0)</f>
        <v/>
      </c>
      <c r="S66">
        <f>IF(AND(C66=$B$12,E66=$B$14),Q66,0)</f>
        <v/>
      </c>
      <c r="T66">
        <f>IF(AND(D66=$B$13,E66=$B$14),Q66,0)</f>
        <v/>
      </c>
      <c r="U66">
        <f>IF(E66=$B$14,Q66,0)</f>
        <v/>
      </c>
      <c r="W66">
        <f>IFERROR(INDEX(MASTER_AREAS!$B:$B,65)&amp;"","")</f>
        <v/>
      </c>
      <c r="X66">
        <f>IF(OR(W66="",$B$10=0),0,COUNTIFS(DATA_WSF!$A:$A,$B$10,DATA_WSF!$C:$C,W66))</f>
        <v/>
      </c>
      <c r="Y66">
        <f>IF(X66=0,0,SUMIFS(DATA_WSF!$L:$L,DATA_WSF!$A:$A,$B$10,DATA_WSF!$C:$C,W66))</f>
        <v/>
      </c>
      <c r="Z66">
        <f>IF(OR(W66="",$B$10=0),0,SUMIFS(DATA_WSF!$L:$L,DATA_WSF!$A:$A,$B$10-7,DATA_WSF!$C:$C,W66))</f>
        <v/>
      </c>
      <c r="AA66">
        <f>IF(X66=0,0,SUMIFS(DATA_WSF!$E:$E,DATA_WSF!$A:$A,$B$10,DATA_WSF!$C:$C,W66))</f>
        <v/>
      </c>
      <c r="AB66">
        <f>IF(X66=0,0,SUMIFS(DATA_WSF!$F:$F,DATA_WSF!$A:$A,$B$10,DATA_WSF!$C:$C,W66))</f>
        <v/>
      </c>
      <c r="AC66">
        <f>IF(AA66=0,"",AB66/AA66)</f>
        <v/>
      </c>
      <c r="AD66">
        <f>IF(OR(X66=0,Z66=0),"",Y66/Z66-1)</f>
        <v/>
      </c>
      <c r="AE66">
        <f>IF(X66=0,"",Y66+ROW()/1000000)</f>
        <v/>
      </c>
      <c r="AF66">
        <f>IF(AC66="","",AC66+ROW()/1000000000)</f>
        <v/>
      </c>
      <c r="AG66">
        <f>IF(AD66="","",AD66+ROW()/1000000000)</f>
        <v/>
      </c>
    </row>
    <row r="67">
      <c r="A67" t="n">
        <v>46</v>
      </c>
      <c r="B67" s="170">
        <f>IF($B$10=0,"",$B$10-7*A67)</f>
        <v/>
      </c>
      <c r="C67">
        <f>IF(B67="","",MONTH(B67))</f>
        <v/>
      </c>
      <c r="D67">
        <f>IF(B67="","",ROUNDUP(MONTH(B67)/3,0))</f>
        <v/>
      </c>
      <c r="E67">
        <f>IF(B67="","",YEAR(B67))</f>
        <v/>
      </c>
      <c r="F67">
        <f>IF(B67="",0,COUNTIFS(DATA_WSF!$A:$A,B67,DATA_WSF!$C:$C,$B$6,DATA_WSF!$D:$D,$B$7))</f>
        <v/>
      </c>
      <c r="G67">
        <f>IF(F67=0,0,SUMIFS(DATA_WSF!$H:$H,DATA_WSF!$A:$A,B67,DATA_WSF!$C:$C,$B$6,DATA_WSF!$D:$D,$B$7))</f>
        <v/>
      </c>
      <c r="H67">
        <f>IF(F67=0,0,SUMIFS(DATA_WSF!$I:$I,DATA_WSF!$A:$A,B67,DATA_WSF!$C:$C,$B$6,DATA_WSF!$D:$D,$B$7))</f>
        <v/>
      </c>
      <c r="I67">
        <f>IF(F67=0,0,SUMIFS(DATA_WSF!$K:$K,DATA_WSF!$A:$A,B67,DATA_WSF!$C:$C,$B$6,DATA_WSF!$D:$D,$B$7))</f>
        <v/>
      </c>
      <c r="J67">
        <f>G67+H67</f>
        <v/>
      </c>
      <c r="K67">
        <f>J67+I67</f>
        <v/>
      </c>
      <c r="L67">
        <f>IF(F67=0,0,SUMIFS(DATA_WSF!$E:$E,DATA_WSF!$A:$A,B67,DATA_WSF!$C:$C,$B$6,DATA_WSF!$D:$D,$B$7))</f>
        <v/>
      </c>
      <c r="M67">
        <f>IF(F67=0,0,SUMIFS(DATA_WSF!$F:$F,DATA_WSF!$A:$A,B67,DATA_WSF!$C:$C,$B$6,DATA_WSF!$D:$D,$B$7))</f>
        <v/>
      </c>
      <c r="N67">
        <f>L67-M67</f>
        <v/>
      </c>
      <c r="O67">
        <f>IF(L67=0,0,M67/L67)</f>
        <v/>
      </c>
      <c r="P67">
        <f>IF(M67=0,0,K67/M67)</f>
        <v/>
      </c>
      <c r="Q67">
        <f>IF(F67&gt;0,1,0)</f>
        <v/>
      </c>
      <c r="R67">
        <f>IF(AND(A67&gt;=1,A67&lt;=$B$11),Q67,0)</f>
        <v/>
      </c>
      <c r="S67">
        <f>IF(AND(C67=$B$12,E67=$B$14),Q67,0)</f>
        <v/>
      </c>
      <c r="T67">
        <f>IF(AND(D67=$B$13,E67=$B$14),Q67,0)</f>
        <v/>
      </c>
      <c r="U67">
        <f>IF(E67=$B$14,Q67,0)</f>
        <v/>
      </c>
      <c r="W67">
        <f>IFERROR(INDEX(MASTER_AREAS!$B:$B,66)&amp;"","")</f>
        <v/>
      </c>
      <c r="X67">
        <f>IF(OR(W67="",$B$10=0),0,COUNTIFS(DATA_WSF!$A:$A,$B$10,DATA_WSF!$C:$C,W67))</f>
        <v/>
      </c>
      <c r="Y67">
        <f>IF(X67=0,0,SUMIFS(DATA_WSF!$L:$L,DATA_WSF!$A:$A,$B$10,DATA_WSF!$C:$C,W67))</f>
        <v/>
      </c>
      <c r="Z67">
        <f>IF(OR(W67="",$B$10=0),0,SUMIFS(DATA_WSF!$L:$L,DATA_WSF!$A:$A,$B$10-7,DATA_WSF!$C:$C,W67))</f>
        <v/>
      </c>
      <c r="AA67">
        <f>IF(X67=0,0,SUMIFS(DATA_WSF!$E:$E,DATA_WSF!$A:$A,$B$10,DATA_WSF!$C:$C,W67))</f>
        <v/>
      </c>
      <c r="AB67">
        <f>IF(X67=0,0,SUMIFS(DATA_WSF!$F:$F,DATA_WSF!$A:$A,$B$10,DATA_WSF!$C:$C,W67))</f>
        <v/>
      </c>
      <c r="AC67">
        <f>IF(AA67=0,"",AB67/AA67)</f>
        <v/>
      </c>
      <c r="AD67">
        <f>IF(OR(X67=0,Z67=0),"",Y67/Z67-1)</f>
        <v/>
      </c>
      <c r="AE67">
        <f>IF(X67=0,"",Y67+ROW()/1000000)</f>
        <v/>
      </c>
      <c r="AF67">
        <f>IF(AC67="","",AC67+ROW()/1000000000)</f>
        <v/>
      </c>
      <c r="AG67">
        <f>IF(AD67="","",AD67+ROW()/1000000000)</f>
        <v/>
      </c>
    </row>
    <row r="68">
      <c r="A68" t="n">
        <v>47</v>
      </c>
      <c r="B68" s="170">
        <f>IF($B$10=0,"",$B$10-7*A68)</f>
        <v/>
      </c>
      <c r="C68">
        <f>IF(B68="","",MONTH(B68))</f>
        <v/>
      </c>
      <c r="D68">
        <f>IF(B68="","",ROUNDUP(MONTH(B68)/3,0))</f>
        <v/>
      </c>
      <c r="E68">
        <f>IF(B68="","",YEAR(B68))</f>
        <v/>
      </c>
      <c r="F68">
        <f>IF(B68="",0,COUNTIFS(DATA_WSF!$A:$A,B68,DATA_WSF!$C:$C,$B$6,DATA_WSF!$D:$D,$B$7))</f>
        <v/>
      </c>
      <c r="G68">
        <f>IF(F68=0,0,SUMIFS(DATA_WSF!$H:$H,DATA_WSF!$A:$A,B68,DATA_WSF!$C:$C,$B$6,DATA_WSF!$D:$D,$B$7))</f>
        <v/>
      </c>
      <c r="H68">
        <f>IF(F68=0,0,SUMIFS(DATA_WSF!$I:$I,DATA_WSF!$A:$A,B68,DATA_WSF!$C:$C,$B$6,DATA_WSF!$D:$D,$B$7))</f>
        <v/>
      </c>
      <c r="I68">
        <f>IF(F68=0,0,SUMIFS(DATA_WSF!$K:$K,DATA_WSF!$A:$A,B68,DATA_WSF!$C:$C,$B$6,DATA_WSF!$D:$D,$B$7))</f>
        <v/>
      </c>
      <c r="J68">
        <f>G68+H68</f>
        <v/>
      </c>
      <c r="K68">
        <f>J68+I68</f>
        <v/>
      </c>
      <c r="L68">
        <f>IF(F68=0,0,SUMIFS(DATA_WSF!$E:$E,DATA_WSF!$A:$A,B68,DATA_WSF!$C:$C,$B$6,DATA_WSF!$D:$D,$B$7))</f>
        <v/>
      </c>
      <c r="M68">
        <f>IF(F68=0,0,SUMIFS(DATA_WSF!$F:$F,DATA_WSF!$A:$A,B68,DATA_WSF!$C:$C,$B$6,DATA_WSF!$D:$D,$B$7))</f>
        <v/>
      </c>
      <c r="N68">
        <f>L68-M68</f>
        <v/>
      </c>
      <c r="O68">
        <f>IF(L68=0,0,M68/L68)</f>
        <v/>
      </c>
      <c r="P68">
        <f>IF(M68=0,0,K68/M68)</f>
        <v/>
      </c>
      <c r="Q68">
        <f>IF(F68&gt;0,1,0)</f>
        <v/>
      </c>
      <c r="R68">
        <f>IF(AND(A68&gt;=1,A68&lt;=$B$11),Q68,0)</f>
        <v/>
      </c>
      <c r="S68">
        <f>IF(AND(C68=$B$12,E68=$B$14),Q68,0)</f>
        <v/>
      </c>
      <c r="T68">
        <f>IF(AND(D68=$B$13,E68=$B$14),Q68,0)</f>
        <v/>
      </c>
      <c r="U68">
        <f>IF(E68=$B$14,Q68,0)</f>
        <v/>
      </c>
      <c r="W68">
        <f>IFERROR(INDEX(MASTER_AREAS!$B:$B,67)&amp;"","")</f>
        <v/>
      </c>
      <c r="X68">
        <f>IF(OR(W68="",$B$10=0),0,COUNTIFS(DATA_WSF!$A:$A,$B$10,DATA_WSF!$C:$C,W68))</f>
        <v/>
      </c>
      <c r="Y68">
        <f>IF(X68=0,0,SUMIFS(DATA_WSF!$L:$L,DATA_WSF!$A:$A,$B$10,DATA_WSF!$C:$C,W68))</f>
        <v/>
      </c>
      <c r="Z68">
        <f>IF(OR(W68="",$B$10=0),0,SUMIFS(DATA_WSF!$L:$L,DATA_WSF!$A:$A,$B$10-7,DATA_WSF!$C:$C,W68))</f>
        <v/>
      </c>
      <c r="AA68">
        <f>IF(X68=0,0,SUMIFS(DATA_WSF!$E:$E,DATA_WSF!$A:$A,$B$10,DATA_WSF!$C:$C,W68))</f>
        <v/>
      </c>
      <c r="AB68">
        <f>IF(X68=0,0,SUMIFS(DATA_WSF!$F:$F,DATA_WSF!$A:$A,$B$10,DATA_WSF!$C:$C,W68))</f>
        <v/>
      </c>
      <c r="AC68">
        <f>IF(AA68=0,"",AB68/AA68)</f>
        <v/>
      </c>
      <c r="AD68">
        <f>IF(OR(X68=0,Z68=0),"",Y68/Z68-1)</f>
        <v/>
      </c>
      <c r="AE68">
        <f>IF(X68=0,"",Y68+ROW()/1000000)</f>
        <v/>
      </c>
      <c r="AF68">
        <f>IF(AC68="","",AC68+ROW()/1000000000)</f>
        <v/>
      </c>
      <c r="AG68">
        <f>IF(AD68="","",AD68+ROW()/1000000000)</f>
        <v/>
      </c>
    </row>
    <row r="69">
      <c r="A69" t="n">
        <v>48</v>
      </c>
      <c r="B69" s="170">
        <f>IF($B$10=0,"",$B$10-7*A69)</f>
        <v/>
      </c>
      <c r="C69">
        <f>IF(B69="","",MONTH(B69))</f>
        <v/>
      </c>
      <c r="D69">
        <f>IF(B69="","",ROUNDUP(MONTH(B69)/3,0))</f>
        <v/>
      </c>
      <c r="E69">
        <f>IF(B69="","",YEAR(B69))</f>
        <v/>
      </c>
      <c r="F69">
        <f>IF(B69="",0,COUNTIFS(DATA_WSF!$A:$A,B69,DATA_WSF!$C:$C,$B$6,DATA_WSF!$D:$D,$B$7))</f>
        <v/>
      </c>
      <c r="G69">
        <f>IF(F69=0,0,SUMIFS(DATA_WSF!$H:$H,DATA_WSF!$A:$A,B69,DATA_WSF!$C:$C,$B$6,DATA_WSF!$D:$D,$B$7))</f>
        <v/>
      </c>
      <c r="H69">
        <f>IF(F69=0,0,SUMIFS(DATA_WSF!$I:$I,DATA_WSF!$A:$A,B69,DATA_WSF!$C:$C,$B$6,DATA_WSF!$D:$D,$B$7))</f>
        <v/>
      </c>
      <c r="I69">
        <f>IF(F69=0,0,SUMIFS(DATA_WSF!$K:$K,DATA_WSF!$A:$A,B69,DATA_WSF!$C:$C,$B$6,DATA_WSF!$D:$D,$B$7))</f>
        <v/>
      </c>
      <c r="J69">
        <f>G69+H69</f>
        <v/>
      </c>
      <c r="K69">
        <f>J69+I69</f>
        <v/>
      </c>
      <c r="L69">
        <f>IF(F69=0,0,SUMIFS(DATA_WSF!$E:$E,DATA_WSF!$A:$A,B69,DATA_WSF!$C:$C,$B$6,DATA_WSF!$D:$D,$B$7))</f>
        <v/>
      </c>
      <c r="M69">
        <f>IF(F69=0,0,SUMIFS(DATA_WSF!$F:$F,DATA_WSF!$A:$A,B69,DATA_WSF!$C:$C,$B$6,DATA_WSF!$D:$D,$B$7))</f>
        <v/>
      </c>
      <c r="N69">
        <f>L69-M69</f>
        <v/>
      </c>
      <c r="O69">
        <f>IF(L69=0,0,M69/L69)</f>
        <v/>
      </c>
      <c r="P69">
        <f>IF(M69=0,0,K69/M69)</f>
        <v/>
      </c>
      <c r="Q69">
        <f>IF(F69&gt;0,1,0)</f>
        <v/>
      </c>
      <c r="R69">
        <f>IF(AND(A69&gt;=1,A69&lt;=$B$11),Q69,0)</f>
        <v/>
      </c>
      <c r="S69">
        <f>IF(AND(C69=$B$12,E69=$B$14),Q69,0)</f>
        <v/>
      </c>
      <c r="T69">
        <f>IF(AND(D69=$B$13,E69=$B$14),Q69,0)</f>
        <v/>
      </c>
      <c r="U69">
        <f>IF(E69=$B$14,Q69,0)</f>
        <v/>
      </c>
      <c r="W69">
        <f>IFERROR(INDEX(MASTER_AREAS!$B:$B,68)&amp;"","")</f>
        <v/>
      </c>
      <c r="X69">
        <f>IF(OR(W69="",$B$10=0),0,COUNTIFS(DATA_WSF!$A:$A,$B$10,DATA_WSF!$C:$C,W69))</f>
        <v/>
      </c>
      <c r="Y69">
        <f>IF(X69=0,0,SUMIFS(DATA_WSF!$L:$L,DATA_WSF!$A:$A,$B$10,DATA_WSF!$C:$C,W69))</f>
        <v/>
      </c>
      <c r="Z69">
        <f>IF(OR(W69="",$B$10=0),0,SUMIFS(DATA_WSF!$L:$L,DATA_WSF!$A:$A,$B$10-7,DATA_WSF!$C:$C,W69))</f>
        <v/>
      </c>
      <c r="AA69">
        <f>IF(X69=0,0,SUMIFS(DATA_WSF!$E:$E,DATA_WSF!$A:$A,$B$10,DATA_WSF!$C:$C,W69))</f>
        <v/>
      </c>
      <c r="AB69">
        <f>IF(X69=0,0,SUMIFS(DATA_WSF!$F:$F,DATA_WSF!$A:$A,$B$10,DATA_WSF!$C:$C,W69))</f>
        <v/>
      </c>
      <c r="AC69">
        <f>IF(AA69=0,"",AB69/AA69)</f>
        <v/>
      </c>
      <c r="AD69">
        <f>IF(OR(X69=0,Z69=0),"",Y69/Z69-1)</f>
        <v/>
      </c>
      <c r="AE69">
        <f>IF(X69=0,"",Y69+ROW()/1000000)</f>
        <v/>
      </c>
      <c r="AF69">
        <f>IF(AC69="","",AC69+ROW()/1000000000)</f>
        <v/>
      </c>
      <c r="AG69">
        <f>IF(AD69="","",AD69+ROW()/1000000000)</f>
        <v/>
      </c>
    </row>
    <row r="70">
      <c r="A70" t="n">
        <v>49</v>
      </c>
      <c r="B70" s="170">
        <f>IF($B$10=0,"",$B$10-7*A70)</f>
        <v/>
      </c>
      <c r="C70">
        <f>IF(B70="","",MONTH(B70))</f>
        <v/>
      </c>
      <c r="D70">
        <f>IF(B70="","",ROUNDUP(MONTH(B70)/3,0))</f>
        <v/>
      </c>
      <c r="E70">
        <f>IF(B70="","",YEAR(B70))</f>
        <v/>
      </c>
      <c r="F70">
        <f>IF(B70="",0,COUNTIFS(DATA_WSF!$A:$A,B70,DATA_WSF!$C:$C,$B$6,DATA_WSF!$D:$D,$B$7))</f>
        <v/>
      </c>
      <c r="G70">
        <f>IF(F70=0,0,SUMIFS(DATA_WSF!$H:$H,DATA_WSF!$A:$A,B70,DATA_WSF!$C:$C,$B$6,DATA_WSF!$D:$D,$B$7))</f>
        <v/>
      </c>
      <c r="H70">
        <f>IF(F70=0,0,SUMIFS(DATA_WSF!$I:$I,DATA_WSF!$A:$A,B70,DATA_WSF!$C:$C,$B$6,DATA_WSF!$D:$D,$B$7))</f>
        <v/>
      </c>
      <c r="I70">
        <f>IF(F70=0,0,SUMIFS(DATA_WSF!$K:$K,DATA_WSF!$A:$A,B70,DATA_WSF!$C:$C,$B$6,DATA_WSF!$D:$D,$B$7))</f>
        <v/>
      </c>
      <c r="J70">
        <f>G70+H70</f>
        <v/>
      </c>
      <c r="K70">
        <f>J70+I70</f>
        <v/>
      </c>
      <c r="L70">
        <f>IF(F70=0,0,SUMIFS(DATA_WSF!$E:$E,DATA_WSF!$A:$A,B70,DATA_WSF!$C:$C,$B$6,DATA_WSF!$D:$D,$B$7))</f>
        <v/>
      </c>
      <c r="M70">
        <f>IF(F70=0,0,SUMIFS(DATA_WSF!$F:$F,DATA_WSF!$A:$A,B70,DATA_WSF!$C:$C,$B$6,DATA_WSF!$D:$D,$B$7))</f>
        <v/>
      </c>
      <c r="N70">
        <f>L70-M70</f>
        <v/>
      </c>
      <c r="O70">
        <f>IF(L70=0,0,M70/L70)</f>
        <v/>
      </c>
      <c r="P70">
        <f>IF(M70=0,0,K70/M70)</f>
        <v/>
      </c>
      <c r="Q70">
        <f>IF(F70&gt;0,1,0)</f>
        <v/>
      </c>
      <c r="R70">
        <f>IF(AND(A70&gt;=1,A70&lt;=$B$11),Q70,0)</f>
        <v/>
      </c>
      <c r="S70">
        <f>IF(AND(C70=$B$12,E70=$B$14),Q70,0)</f>
        <v/>
      </c>
      <c r="T70">
        <f>IF(AND(D70=$B$13,E70=$B$14),Q70,0)</f>
        <v/>
      </c>
      <c r="U70">
        <f>IF(E70=$B$14,Q70,0)</f>
        <v/>
      </c>
      <c r="W70">
        <f>IFERROR(INDEX(MASTER_AREAS!$B:$B,69)&amp;"","")</f>
        <v/>
      </c>
      <c r="X70">
        <f>IF(OR(W70="",$B$10=0),0,COUNTIFS(DATA_WSF!$A:$A,$B$10,DATA_WSF!$C:$C,W70))</f>
        <v/>
      </c>
      <c r="Y70">
        <f>IF(X70=0,0,SUMIFS(DATA_WSF!$L:$L,DATA_WSF!$A:$A,$B$10,DATA_WSF!$C:$C,W70))</f>
        <v/>
      </c>
      <c r="Z70">
        <f>IF(OR(W70="",$B$10=0),0,SUMIFS(DATA_WSF!$L:$L,DATA_WSF!$A:$A,$B$10-7,DATA_WSF!$C:$C,W70))</f>
        <v/>
      </c>
      <c r="AA70">
        <f>IF(X70=0,0,SUMIFS(DATA_WSF!$E:$E,DATA_WSF!$A:$A,$B$10,DATA_WSF!$C:$C,W70))</f>
        <v/>
      </c>
      <c r="AB70">
        <f>IF(X70=0,0,SUMIFS(DATA_WSF!$F:$F,DATA_WSF!$A:$A,$B$10,DATA_WSF!$C:$C,W70))</f>
        <v/>
      </c>
      <c r="AC70">
        <f>IF(AA70=0,"",AB70/AA70)</f>
        <v/>
      </c>
      <c r="AD70">
        <f>IF(OR(X70=0,Z70=0),"",Y70/Z70-1)</f>
        <v/>
      </c>
      <c r="AE70">
        <f>IF(X70=0,"",Y70+ROW()/1000000)</f>
        <v/>
      </c>
      <c r="AF70">
        <f>IF(AC70="","",AC70+ROW()/1000000000)</f>
        <v/>
      </c>
      <c r="AG70">
        <f>IF(AD70="","",AD70+ROW()/1000000000)</f>
        <v/>
      </c>
    </row>
    <row r="71">
      <c r="A71" t="n">
        <v>50</v>
      </c>
      <c r="B71" s="170">
        <f>IF($B$10=0,"",$B$10-7*A71)</f>
        <v/>
      </c>
      <c r="C71">
        <f>IF(B71="","",MONTH(B71))</f>
        <v/>
      </c>
      <c r="D71">
        <f>IF(B71="","",ROUNDUP(MONTH(B71)/3,0))</f>
        <v/>
      </c>
      <c r="E71">
        <f>IF(B71="","",YEAR(B71))</f>
        <v/>
      </c>
      <c r="F71">
        <f>IF(B71="",0,COUNTIFS(DATA_WSF!$A:$A,B71,DATA_WSF!$C:$C,$B$6,DATA_WSF!$D:$D,$B$7))</f>
        <v/>
      </c>
      <c r="G71">
        <f>IF(F71=0,0,SUMIFS(DATA_WSF!$H:$H,DATA_WSF!$A:$A,B71,DATA_WSF!$C:$C,$B$6,DATA_WSF!$D:$D,$B$7))</f>
        <v/>
      </c>
      <c r="H71">
        <f>IF(F71=0,0,SUMIFS(DATA_WSF!$I:$I,DATA_WSF!$A:$A,B71,DATA_WSF!$C:$C,$B$6,DATA_WSF!$D:$D,$B$7))</f>
        <v/>
      </c>
      <c r="I71">
        <f>IF(F71=0,0,SUMIFS(DATA_WSF!$K:$K,DATA_WSF!$A:$A,B71,DATA_WSF!$C:$C,$B$6,DATA_WSF!$D:$D,$B$7))</f>
        <v/>
      </c>
      <c r="J71">
        <f>G71+H71</f>
        <v/>
      </c>
      <c r="K71">
        <f>J71+I71</f>
        <v/>
      </c>
      <c r="L71">
        <f>IF(F71=0,0,SUMIFS(DATA_WSF!$E:$E,DATA_WSF!$A:$A,B71,DATA_WSF!$C:$C,$B$6,DATA_WSF!$D:$D,$B$7))</f>
        <v/>
      </c>
      <c r="M71">
        <f>IF(F71=0,0,SUMIFS(DATA_WSF!$F:$F,DATA_WSF!$A:$A,B71,DATA_WSF!$C:$C,$B$6,DATA_WSF!$D:$D,$B$7))</f>
        <v/>
      </c>
      <c r="N71">
        <f>L71-M71</f>
        <v/>
      </c>
      <c r="O71">
        <f>IF(L71=0,0,M71/L71)</f>
        <v/>
      </c>
      <c r="P71">
        <f>IF(M71=0,0,K71/M71)</f>
        <v/>
      </c>
      <c r="Q71">
        <f>IF(F71&gt;0,1,0)</f>
        <v/>
      </c>
      <c r="R71">
        <f>IF(AND(A71&gt;=1,A71&lt;=$B$11),Q71,0)</f>
        <v/>
      </c>
      <c r="S71">
        <f>IF(AND(C71=$B$12,E71=$B$14),Q71,0)</f>
        <v/>
      </c>
      <c r="T71">
        <f>IF(AND(D71=$B$13,E71=$B$14),Q71,0)</f>
        <v/>
      </c>
      <c r="U71">
        <f>IF(E71=$B$14,Q71,0)</f>
        <v/>
      </c>
      <c r="W71">
        <f>IFERROR(INDEX(MASTER_AREAS!$B:$B,70)&amp;"","")</f>
        <v/>
      </c>
      <c r="X71">
        <f>IF(OR(W71="",$B$10=0),0,COUNTIFS(DATA_WSF!$A:$A,$B$10,DATA_WSF!$C:$C,W71))</f>
        <v/>
      </c>
      <c r="Y71">
        <f>IF(X71=0,0,SUMIFS(DATA_WSF!$L:$L,DATA_WSF!$A:$A,$B$10,DATA_WSF!$C:$C,W71))</f>
        <v/>
      </c>
      <c r="Z71">
        <f>IF(OR(W71="",$B$10=0),0,SUMIFS(DATA_WSF!$L:$L,DATA_WSF!$A:$A,$B$10-7,DATA_WSF!$C:$C,W71))</f>
        <v/>
      </c>
      <c r="AA71">
        <f>IF(X71=0,0,SUMIFS(DATA_WSF!$E:$E,DATA_WSF!$A:$A,$B$10,DATA_WSF!$C:$C,W71))</f>
        <v/>
      </c>
      <c r="AB71">
        <f>IF(X71=0,0,SUMIFS(DATA_WSF!$F:$F,DATA_WSF!$A:$A,$B$10,DATA_WSF!$C:$C,W71))</f>
        <v/>
      </c>
      <c r="AC71">
        <f>IF(AA71=0,"",AB71/AA71)</f>
        <v/>
      </c>
      <c r="AD71">
        <f>IF(OR(X71=0,Z71=0),"",Y71/Z71-1)</f>
        <v/>
      </c>
      <c r="AE71">
        <f>IF(X71=0,"",Y71+ROW()/1000000)</f>
        <v/>
      </c>
      <c r="AF71">
        <f>IF(AC71="","",AC71+ROW()/1000000000)</f>
        <v/>
      </c>
      <c r="AG71">
        <f>IF(AD71="","",AD71+ROW()/1000000000)</f>
        <v/>
      </c>
    </row>
    <row r="72">
      <c r="A72" t="n">
        <v>51</v>
      </c>
      <c r="B72" s="170">
        <f>IF($B$10=0,"",$B$10-7*A72)</f>
        <v/>
      </c>
      <c r="C72">
        <f>IF(B72="","",MONTH(B72))</f>
        <v/>
      </c>
      <c r="D72">
        <f>IF(B72="","",ROUNDUP(MONTH(B72)/3,0))</f>
        <v/>
      </c>
      <c r="E72">
        <f>IF(B72="","",YEAR(B72))</f>
        <v/>
      </c>
      <c r="F72">
        <f>IF(B72="",0,COUNTIFS(DATA_WSF!$A:$A,B72,DATA_WSF!$C:$C,$B$6,DATA_WSF!$D:$D,$B$7))</f>
        <v/>
      </c>
      <c r="G72">
        <f>IF(F72=0,0,SUMIFS(DATA_WSF!$H:$H,DATA_WSF!$A:$A,B72,DATA_WSF!$C:$C,$B$6,DATA_WSF!$D:$D,$B$7))</f>
        <v/>
      </c>
      <c r="H72">
        <f>IF(F72=0,0,SUMIFS(DATA_WSF!$I:$I,DATA_WSF!$A:$A,B72,DATA_WSF!$C:$C,$B$6,DATA_WSF!$D:$D,$B$7))</f>
        <v/>
      </c>
      <c r="I72">
        <f>IF(F72=0,0,SUMIFS(DATA_WSF!$K:$K,DATA_WSF!$A:$A,B72,DATA_WSF!$C:$C,$B$6,DATA_WSF!$D:$D,$B$7))</f>
        <v/>
      </c>
      <c r="J72">
        <f>G72+H72</f>
        <v/>
      </c>
      <c r="K72">
        <f>J72+I72</f>
        <v/>
      </c>
      <c r="L72">
        <f>IF(F72=0,0,SUMIFS(DATA_WSF!$E:$E,DATA_WSF!$A:$A,B72,DATA_WSF!$C:$C,$B$6,DATA_WSF!$D:$D,$B$7))</f>
        <v/>
      </c>
      <c r="M72">
        <f>IF(F72=0,0,SUMIFS(DATA_WSF!$F:$F,DATA_WSF!$A:$A,B72,DATA_WSF!$C:$C,$B$6,DATA_WSF!$D:$D,$B$7))</f>
        <v/>
      </c>
      <c r="N72">
        <f>L72-M72</f>
        <v/>
      </c>
      <c r="O72">
        <f>IF(L72=0,0,M72/L72)</f>
        <v/>
      </c>
      <c r="P72">
        <f>IF(M72=0,0,K72/M72)</f>
        <v/>
      </c>
      <c r="Q72">
        <f>IF(F72&gt;0,1,0)</f>
        <v/>
      </c>
      <c r="R72">
        <f>IF(AND(A72&gt;=1,A72&lt;=$B$11),Q72,0)</f>
        <v/>
      </c>
      <c r="S72">
        <f>IF(AND(C72=$B$12,E72=$B$14),Q72,0)</f>
        <v/>
      </c>
      <c r="T72">
        <f>IF(AND(D72=$B$13,E72=$B$14),Q72,0)</f>
        <v/>
      </c>
      <c r="U72">
        <f>IF(E72=$B$14,Q72,0)</f>
        <v/>
      </c>
      <c r="W72">
        <f>IFERROR(INDEX(MASTER_AREAS!$B:$B,71)&amp;"","")</f>
        <v/>
      </c>
      <c r="X72">
        <f>IF(OR(W72="",$B$10=0),0,COUNTIFS(DATA_WSF!$A:$A,$B$10,DATA_WSF!$C:$C,W72))</f>
        <v/>
      </c>
      <c r="Y72">
        <f>IF(X72=0,0,SUMIFS(DATA_WSF!$L:$L,DATA_WSF!$A:$A,$B$10,DATA_WSF!$C:$C,W72))</f>
        <v/>
      </c>
      <c r="Z72">
        <f>IF(OR(W72="",$B$10=0),0,SUMIFS(DATA_WSF!$L:$L,DATA_WSF!$A:$A,$B$10-7,DATA_WSF!$C:$C,W72))</f>
        <v/>
      </c>
      <c r="AA72">
        <f>IF(X72=0,0,SUMIFS(DATA_WSF!$E:$E,DATA_WSF!$A:$A,$B$10,DATA_WSF!$C:$C,W72))</f>
        <v/>
      </c>
      <c r="AB72">
        <f>IF(X72=0,0,SUMIFS(DATA_WSF!$F:$F,DATA_WSF!$A:$A,$B$10,DATA_WSF!$C:$C,W72))</f>
        <v/>
      </c>
      <c r="AC72">
        <f>IF(AA72=0,"",AB72/AA72)</f>
        <v/>
      </c>
      <c r="AD72">
        <f>IF(OR(X72=0,Z72=0),"",Y72/Z72-1)</f>
        <v/>
      </c>
      <c r="AE72">
        <f>IF(X72=0,"",Y72+ROW()/1000000)</f>
        <v/>
      </c>
      <c r="AF72">
        <f>IF(AC72="","",AC72+ROW()/1000000000)</f>
        <v/>
      </c>
      <c r="AG72">
        <f>IF(AD72="","",AD72+ROW()/1000000000)</f>
        <v/>
      </c>
    </row>
    <row r="73">
      <c r="A73" t="n">
        <v>52</v>
      </c>
      <c r="B73" s="170">
        <f>IF($B$10=0,"",$B$10-7*A73)</f>
        <v/>
      </c>
      <c r="C73">
        <f>IF(B73="","",MONTH(B73))</f>
        <v/>
      </c>
      <c r="D73">
        <f>IF(B73="","",ROUNDUP(MONTH(B73)/3,0))</f>
        <v/>
      </c>
      <c r="E73">
        <f>IF(B73="","",YEAR(B73))</f>
        <v/>
      </c>
      <c r="F73">
        <f>IF(B73="",0,COUNTIFS(DATA_WSF!$A:$A,B73,DATA_WSF!$C:$C,$B$6,DATA_WSF!$D:$D,$B$7))</f>
        <v/>
      </c>
      <c r="G73">
        <f>IF(F73=0,0,SUMIFS(DATA_WSF!$H:$H,DATA_WSF!$A:$A,B73,DATA_WSF!$C:$C,$B$6,DATA_WSF!$D:$D,$B$7))</f>
        <v/>
      </c>
      <c r="H73">
        <f>IF(F73=0,0,SUMIFS(DATA_WSF!$I:$I,DATA_WSF!$A:$A,B73,DATA_WSF!$C:$C,$B$6,DATA_WSF!$D:$D,$B$7))</f>
        <v/>
      </c>
      <c r="I73">
        <f>IF(F73=0,0,SUMIFS(DATA_WSF!$K:$K,DATA_WSF!$A:$A,B73,DATA_WSF!$C:$C,$B$6,DATA_WSF!$D:$D,$B$7))</f>
        <v/>
      </c>
      <c r="J73">
        <f>G73+H73</f>
        <v/>
      </c>
      <c r="K73">
        <f>J73+I73</f>
        <v/>
      </c>
      <c r="L73">
        <f>IF(F73=0,0,SUMIFS(DATA_WSF!$E:$E,DATA_WSF!$A:$A,B73,DATA_WSF!$C:$C,$B$6,DATA_WSF!$D:$D,$B$7))</f>
        <v/>
      </c>
      <c r="M73">
        <f>IF(F73=0,0,SUMIFS(DATA_WSF!$F:$F,DATA_WSF!$A:$A,B73,DATA_WSF!$C:$C,$B$6,DATA_WSF!$D:$D,$B$7))</f>
        <v/>
      </c>
      <c r="N73">
        <f>L73-M73</f>
        <v/>
      </c>
      <c r="O73">
        <f>IF(L73=0,0,M73/L73)</f>
        <v/>
      </c>
      <c r="P73">
        <f>IF(M73=0,0,K73/M73)</f>
        <v/>
      </c>
      <c r="Q73">
        <f>IF(F73&gt;0,1,0)</f>
        <v/>
      </c>
      <c r="R73">
        <f>IF(AND(A73&gt;=1,A73&lt;=$B$11),Q73,0)</f>
        <v/>
      </c>
      <c r="S73">
        <f>IF(AND(C73=$B$12,E73=$B$14),Q73,0)</f>
        <v/>
      </c>
      <c r="T73">
        <f>IF(AND(D73=$B$13,E73=$B$14),Q73,0)</f>
        <v/>
      </c>
      <c r="U73">
        <f>IF(E73=$B$14,Q73,0)</f>
        <v/>
      </c>
      <c r="W73">
        <f>IFERROR(INDEX(MASTER_AREAS!$B:$B,72)&amp;"","")</f>
        <v/>
      </c>
      <c r="X73">
        <f>IF(OR(W73="",$B$10=0),0,COUNTIFS(DATA_WSF!$A:$A,$B$10,DATA_WSF!$C:$C,W73))</f>
        <v/>
      </c>
      <c r="Y73">
        <f>IF(X73=0,0,SUMIFS(DATA_WSF!$L:$L,DATA_WSF!$A:$A,$B$10,DATA_WSF!$C:$C,W73))</f>
        <v/>
      </c>
      <c r="Z73">
        <f>IF(OR(W73="",$B$10=0),0,SUMIFS(DATA_WSF!$L:$L,DATA_WSF!$A:$A,$B$10-7,DATA_WSF!$C:$C,W73))</f>
        <v/>
      </c>
      <c r="AA73">
        <f>IF(X73=0,0,SUMIFS(DATA_WSF!$E:$E,DATA_WSF!$A:$A,$B$10,DATA_WSF!$C:$C,W73))</f>
        <v/>
      </c>
      <c r="AB73">
        <f>IF(X73=0,0,SUMIFS(DATA_WSF!$F:$F,DATA_WSF!$A:$A,$B$10,DATA_WSF!$C:$C,W73))</f>
        <v/>
      </c>
      <c r="AC73">
        <f>IF(AA73=0,"",AB73/AA73)</f>
        <v/>
      </c>
      <c r="AD73">
        <f>IF(OR(X73=0,Z73=0),"",Y73/Z73-1)</f>
        <v/>
      </c>
      <c r="AE73">
        <f>IF(X73=0,"",Y73+ROW()/1000000)</f>
        <v/>
      </c>
      <c r="AF73">
        <f>IF(AC73="","",AC73+ROW()/1000000000)</f>
        <v/>
      </c>
      <c r="AG73">
        <f>IF(AD73="","",AD73+ROW()/1000000000)</f>
        <v/>
      </c>
    </row>
    <row r="74">
      <c r="A74" t="n">
        <v>53</v>
      </c>
      <c r="B74" s="170">
        <f>IF($B$10=0,"",$B$10-7*A74)</f>
        <v/>
      </c>
      <c r="C74">
        <f>IF(B74="","",MONTH(B74))</f>
        <v/>
      </c>
      <c r="D74">
        <f>IF(B74="","",ROUNDUP(MONTH(B74)/3,0))</f>
        <v/>
      </c>
      <c r="E74">
        <f>IF(B74="","",YEAR(B74))</f>
        <v/>
      </c>
      <c r="F74">
        <f>IF(B74="",0,COUNTIFS(DATA_WSF!$A:$A,B74,DATA_WSF!$C:$C,$B$6,DATA_WSF!$D:$D,$B$7))</f>
        <v/>
      </c>
      <c r="G74">
        <f>IF(F74=0,0,SUMIFS(DATA_WSF!$H:$H,DATA_WSF!$A:$A,B74,DATA_WSF!$C:$C,$B$6,DATA_WSF!$D:$D,$B$7))</f>
        <v/>
      </c>
      <c r="H74">
        <f>IF(F74=0,0,SUMIFS(DATA_WSF!$I:$I,DATA_WSF!$A:$A,B74,DATA_WSF!$C:$C,$B$6,DATA_WSF!$D:$D,$B$7))</f>
        <v/>
      </c>
      <c r="I74">
        <f>IF(F74=0,0,SUMIFS(DATA_WSF!$K:$K,DATA_WSF!$A:$A,B74,DATA_WSF!$C:$C,$B$6,DATA_WSF!$D:$D,$B$7))</f>
        <v/>
      </c>
      <c r="J74">
        <f>G74+H74</f>
        <v/>
      </c>
      <c r="K74">
        <f>J74+I74</f>
        <v/>
      </c>
      <c r="L74">
        <f>IF(F74=0,0,SUMIFS(DATA_WSF!$E:$E,DATA_WSF!$A:$A,B74,DATA_WSF!$C:$C,$B$6,DATA_WSF!$D:$D,$B$7))</f>
        <v/>
      </c>
      <c r="M74">
        <f>IF(F74=0,0,SUMIFS(DATA_WSF!$F:$F,DATA_WSF!$A:$A,B74,DATA_WSF!$C:$C,$B$6,DATA_WSF!$D:$D,$B$7))</f>
        <v/>
      </c>
      <c r="N74">
        <f>L74-M74</f>
        <v/>
      </c>
      <c r="O74">
        <f>IF(L74=0,0,M74/L74)</f>
        <v/>
      </c>
      <c r="P74">
        <f>IF(M74=0,0,K74/M74)</f>
        <v/>
      </c>
      <c r="Q74">
        <f>IF(F74&gt;0,1,0)</f>
        <v/>
      </c>
      <c r="R74">
        <f>IF(AND(A74&gt;=1,A74&lt;=$B$11),Q74,0)</f>
        <v/>
      </c>
      <c r="S74">
        <f>IF(AND(C74=$B$12,E74=$B$14),Q74,0)</f>
        <v/>
      </c>
      <c r="T74">
        <f>IF(AND(D74=$B$13,E74=$B$14),Q74,0)</f>
        <v/>
      </c>
      <c r="U74">
        <f>IF(E74=$B$14,Q74,0)</f>
        <v/>
      </c>
      <c r="W74">
        <f>IFERROR(INDEX(MASTER_AREAS!$B:$B,73)&amp;"","")</f>
        <v/>
      </c>
      <c r="X74">
        <f>IF(OR(W74="",$B$10=0),0,COUNTIFS(DATA_WSF!$A:$A,$B$10,DATA_WSF!$C:$C,W74))</f>
        <v/>
      </c>
      <c r="Y74">
        <f>IF(X74=0,0,SUMIFS(DATA_WSF!$L:$L,DATA_WSF!$A:$A,$B$10,DATA_WSF!$C:$C,W74))</f>
        <v/>
      </c>
      <c r="Z74">
        <f>IF(OR(W74="",$B$10=0),0,SUMIFS(DATA_WSF!$L:$L,DATA_WSF!$A:$A,$B$10-7,DATA_WSF!$C:$C,W74))</f>
        <v/>
      </c>
      <c r="AA74">
        <f>IF(X74=0,0,SUMIFS(DATA_WSF!$E:$E,DATA_WSF!$A:$A,$B$10,DATA_WSF!$C:$C,W74))</f>
        <v/>
      </c>
      <c r="AB74">
        <f>IF(X74=0,0,SUMIFS(DATA_WSF!$F:$F,DATA_WSF!$A:$A,$B$10,DATA_WSF!$C:$C,W74))</f>
        <v/>
      </c>
      <c r="AC74">
        <f>IF(AA74=0,"",AB74/AA74)</f>
        <v/>
      </c>
      <c r="AD74">
        <f>IF(OR(X74=0,Z74=0),"",Y74/Z74-1)</f>
        <v/>
      </c>
      <c r="AE74">
        <f>IF(X74=0,"",Y74+ROW()/1000000)</f>
        <v/>
      </c>
      <c r="AF74">
        <f>IF(AC74="","",AC74+ROW()/1000000000)</f>
        <v/>
      </c>
      <c r="AG74">
        <f>IF(AD74="","",AD74+ROW()/1000000000)</f>
        <v/>
      </c>
    </row>
    <row r="75">
      <c r="A75" t="n">
        <v>54</v>
      </c>
      <c r="B75" s="170">
        <f>IF($B$10=0,"",$B$10-7*A75)</f>
        <v/>
      </c>
      <c r="C75">
        <f>IF(B75="","",MONTH(B75))</f>
        <v/>
      </c>
      <c r="D75">
        <f>IF(B75="","",ROUNDUP(MONTH(B75)/3,0))</f>
        <v/>
      </c>
      <c r="E75">
        <f>IF(B75="","",YEAR(B75))</f>
        <v/>
      </c>
      <c r="F75">
        <f>IF(B75="",0,COUNTIFS(DATA_WSF!$A:$A,B75,DATA_WSF!$C:$C,$B$6,DATA_WSF!$D:$D,$B$7))</f>
        <v/>
      </c>
      <c r="G75">
        <f>IF(F75=0,0,SUMIFS(DATA_WSF!$H:$H,DATA_WSF!$A:$A,B75,DATA_WSF!$C:$C,$B$6,DATA_WSF!$D:$D,$B$7))</f>
        <v/>
      </c>
      <c r="H75">
        <f>IF(F75=0,0,SUMIFS(DATA_WSF!$I:$I,DATA_WSF!$A:$A,B75,DATA_WSF!$C:$C,$B$6,DATA_WSF!$D:$D,$B$7))</f>
        <v/>
      </c>
      <c r="I75">
        <f>IF(F75=0,0,SUMIFS(DATA_WSF!$K:$K,DATA_WSF!$A:$A,B75,DATA_WSF!$C:$C,$B$6,DATA_WSF!$D:$D,$B$7))</f>
        <v/>
      </c>
      <c r="J75">
        <f>G75+H75</f>
        <v/>
      </c>
      <c r="K75">
        <f>J75+I75</f>
        <v/>
      </c>
      <c r="L75">
        <f>IF(F75=0,0,SUMIFS(DATA_WSF!$E:$E,DATA_WSF!$A:$A,B75,DATA_WSF!$C:$C,$B$6,DATA_WSF!$D:$D,$B$7))</f>
        <v/>
      </c>
      <c r="M75">
        <f>IF(F75=0,0,SUMIFS(DATA_WSF!$F:$F,DATA_WSF!$A:$A,B75,DATA_WSF!$C:$C,$B$6,DATA_WSF!$D:$D,$B$7))</f>
        <v/>
      </c>
      <c r="N75">
        <f>L75-M75</f>
        <v/>
      </c>
      <c r="O75">
        <f>IF(L75=0,0,M75/L75)</f>
        <v/>
      </c>
      <c r="P75">
        <f>IF(M75=0,0,K75/M75)</f>
        <v/>
      </c>
      <c r="Q75">
        <f>IF(F75&gt;0,1,0)</f>
        <v/>
      </c>
      <c r="R75">
        <f>IF(AND(A75&gt;=1,A75&lt;=$B$11),Q75,0)</f>
        <v/>
      </c>
      <c r="S75">
        <f>IF(AND(C75=$B$12,E75=$B$14),Q75,0)</f>
        <v/>
      </c>
      <c r="T75">
        <f>IF(AND(D75=$B$13,E75=$B$14),Q75,0)</f>
        <v/>
      </c>
      <c r="U75">
        <f>IF(E75=$B$14,Q75,0)</f>
        <v/>
      </c>
      <c r="W75">
        <f>IFERROR(INDEX(MASTER_AREAS!$B:$B,74)&amp;"","")</f>
        <v/>
      </c>
      <c r="X75">
        <f>IF(OR(W75="",$B$10=0),0,COUNTIFS(DATA_WSF!$A:$A,$B$10,DATA_WSF!$C:$C,W75))</f>
        <v/>
      </c>
      <c r="Y75">
        <f>IF(X75=0,0,SUMIFS(DATA_WSF!$L:$L,DATA_WSF!$A:$A,$B$10,DATA_WSF!$C:$C,W75))</f>
        <v/>
      </c>
      <c r="Z75">
        <f>IF(OR(W75="",$B$10=0),0,SUMIFS(DATA_WSF!$L:$L,DATA_WSF!$A:$A,$B$10-7,DATA_WSF!$C:$C,W75))</f>
        <v/>
      </c>
      <c r="AA75">
        <f>IF(X75=0,0,SUMIFS(DATA_WSF!$E:$E,DATA_WSF!$A:$A,$B$10,DATA_WSF!$C:$C,W75))</f>
        <v/>
      </c>
      <c r="AB75">
        <f>IF(X75=0,0,SUMIFS(DATA_WSF!$F:$F,DATA_WSF!$A:$A,$B$10,DATA_WSF!$C:$C,W75))</f>
        <v/>
      </c>
      <c r="AC75">
        <f>IF(AA75=0,"",AB75/AA75)</f>
        <v/>
      </c>
      <c r="AD75">
        <f>IF(OR(X75=0,Z75=0),"",Y75/Z75-1)</f>
        <v/>
      </c>
      <c r="AE75">
        <f>IF(X75=0,"",Y75+ROW()/1000000)</f>
        <v/>
      </c>
      <c r="AF75">
        <f>IF(AC75="","",AC75+ROW()/1000000000)</f>
        <v/>
      </c>
      <c r="AG75">
        <f>IF(AD75="","",AD75+ROW()/1000000000)</f>
        <v/>
      </c>
    </row>
    <row r="76">
      <c r="A76" t="n">
        <v>55</v>
      </c>
      <c r="B76" s="170">
        <f>IF($B$10=0,"",$B$10-7*A76)</f>
        <v/>
      </c>
      <c r="C76">
        <f>IF(B76="","",MONTH(B76))</f>
        <v/>
      </c>
      <c r="D76">
        <f>IF(B76="","",ROUNDUP(MONTH(B76)/3,0))</f>
        <v/>
      </c>
      <c r="E76">
        <f>IF(B76="","",YEAR(B76))</f>
        <v/>
      </c>
      <c r="F76">
        <f>IF(B76="",0,COUNTIFS(DATA_WSF!$A:$A,B76,DATA_WSF!$C:$C,$B$6,DATA_WSF!$D:$D,$B$7))</f>
        <v/>
      </c>
      <c r="G76">
        <f>IF(F76=0,0,SUMIFS(DATA_WSF!$H:$H,DATA_WSF!$A:$A,B76,DATA_WSF!$C:$C,$B$6,DATA_WSF!$D:$D,$B$7))</f>
        <v/>
      </c>
      <c r="H76">
        <f>IF(F76=0,0,SUMIFS(DATA_WSF!$I:$I,DATA_WSF!$A:$A,B76,DATA_WSF!$C:$C,$B$6,DATA_WSF!$D:$D,$B$7))</f>
        <v/>
      </c>
      <c r="I76">
        <f>IF(F76=0,0,SUMIFS(DATA_WSF!$K:$K,DATA_WSF!$A:$A,B76,DATA_WSF!$C:$C,$B$6,DATA_WSF!$D:$D,$B$7))</f>
        <v/>
      </c>
      <c r="J76">
        <f>G76+H76</f>
        <v/>
      </c>
      <c r="K76">
        <f>J76+I76</f>
        <v/>
      </c>
      <c r="L76">
        <f>IF(F76=0,0,SUMIFS(DATA_WSF!$E:$E,DATA_WSF!$A:$A,B76,DATA_WSF!$C:$C,$B$6,DATA_WSF!$D:$D,$B$7))</f>
        <v/>
      </c>
      <c r="M76">
        <f>IF(F76=0,0,SUMIFS(DATA_WSF!$F:$F,DATA_WSF!$A:$A,B76,DATA_WSF!$C:$C,$B$6,DATA_WSF!$D:$D,$B$7))</f>
        <v/>
      </c>
      <c r="N76">
        <f>L76-M76</f>
        <v/>
      </c>
      <c r="O76">
        <f>IF(L76=0,0,M76/L76)</f>
        <v/>
      </c>
      <c r="P76">
        <f>IF(M76=0,0,K76/M76)</f>
        <v/>
      </c>
      <c r="Q76">
        <f>IF(F76&gt;0,1,0)</f>
        <v/>
      </c>
      <c r="R76">
        <f>IF(AND(A76&gt;=1,A76&lt;=$B$11),Q76,0)</f>
        <v/>
      </c>
      <c r="S76">
        <f>IF(AND(C76=$B$12,E76=$B$14),Q76,0)</f>
        <v/>
      </c>
      <c r="T76">
        <f>IF(AND(D76=$B$13,E76=$B$14),Q76,0)</f>
        <v/>
      </c>
      <c r="U76">
        <f>IF(E76=$B$14,Q76,0)</f>
        <v/>
      </c>
      <c r="W76">
        <f>IFERROR(INDEX(MASTER_AREAS!$B:$B,75)&amp;"","")</f>
        <v/>
      </c>
      <c r="X76">
        <f>IF(OR(W76="",$B$10=0),0,COUNTIFS(DATA_WSF!$A:$A,$B$10,DATA_WSF!$C:$C,W76))</f>
        <v/>
      </c>
      <c r="Y76">
        <f>IF(X76=0,0,SUMIFS(DATA_WSF!$L:$L,DATA_WSF!$A:$A,$B$10,DATA_WSF!$C:$C,W76))</f>
        <v/>
      </c>
      <c r="Z76">
        <f>IF(OR(W76="",$B$10=0),0,SUMIFS(DATA_WSF!$L:$L,DATA_WSF!$A:$A,$B$10-7,DATA_WSF!$C:$C,W76))</f>
        <v/>
      </c>
      <c r="AA76">
        <f>IF(X76=0,0,SUMIFS(DATA_WSF!$E:$E,DATA_WSF!$A:$A,$B$10,DATA_WSF!$C:$C,W76))</f>
        <v/>
      </c>
      <c r="AB76">
        <f>IF(X76=0,0,SUMIFS(DATA_WSF!$F:$F,DATA_WSF!$A:$A,$B$10,DATA_WSF!$C:$C,W76))</f>
        <v/>
      </c>
      <c r="AC76">
        <f>IF(AA76=0,"",AB76/AA76)</f>
        <v/>
      </c>
      <c r="AD76">
        <f>IF(OR(X76=0,Z76=0),"",Y76/Z76-1)</f>
        <v/>
      </c>
      <c r="AE76">
        <f>IF(X76=0,"",Y76+ROW()/1000000)</f>
        <v/>
      </c>
      <c r="AF76">
        <f>IF(AC76="","",AC76+ROW()/1000000000)</f>
        <v/>
      </c>
      <c r="AG76">
        <f>IF(AD76="","",AD76+ROW()/1000000000)</f>
        <v/>
      </c>
    </row>
    <row r="77">
      <c r="A77" t="n">
        <v>56</v>
      </c>
      <c r="B77" s="170">
        <f>IF($B$10=0,"",$B$10-7*A77)</f>
        <v/>
      </c>
      <c r="C77">
        <f>IF(B77="","",MONTH(B77))</f>
        <v/>
      </c>
      <c r="D77">
        <f>IF(B77="","",ROUNDUP(MONTH(B77)/3,0))</f>
        <v/>
      </c>
      <c r="E77">
        <f>IF(B77="","",YEAR(B77))</f>
        <v/>
      </c>
      <c r="F77">
        <f>IF(B77="",0,COUNTIFS(DATA_WSF!$A:$A,B77,DATA_WSF!$C:$C,$B$6,DATA_WSF!$D:$D,$B$7))</f>
        <v/>
      </c>
      <c r="G77">
        <f>IF(F77=0,0,SUMIFS(DATA_WSF!$H:$H,DATA_WSF!$A:$A,B77,DATA_WSF!$C:$C,$B$6,DATA_WSF!$D:$D,$B$7))</f>
        <v/>
      </c>
      <c r="H77">
        <f>IF(F77=0,0,SUMIFS(DATA_WSF!$I:$I,DATA_WSF!$A:$A,B77,DATA_WSF!$C:$C,$B$6,DATA_WSF!$D:$D,$B$7))</f>
        <v/>
      </c>
      <c r="I77">
        <f>IF(F77=0,0,SUMIFS(DATA_WSF!$K:$K,DATA_WSF!$A:$A,B77,DATA_WSF!$C:$C,$B$6,DATA_WSF!$D:$D,$B$7))</f>
        <v/>
      </c>
      <c r="J77">
        <f>G77+H77</f>
        <v/>
      </c>
      <c r="K77">
        <f>J77+I77</f>
        <v/>
      </c>
      <c r="L77">
        <f>IF(F77=0,0,SUMIFS(DATA_WSF!$E:$E,DATA_WSF!$A:$A,B77,DATA_WSF!$C:$C,$B$6,DATA_WSF!$D:$D,$B$7))</f>
        <v/>
      </c>
      <c r="M77">
        <f>IF(F77=0,0,SUMIFS(DATA_WSF!$F:$F,DATA_WSF!$A:$A,B77,DATA_WSF!$C:$C,$B$6,DATA_WSF!$D:$D,$B$7))</f>
        <v/>
      </c>
      <c r="N77">
        <f>L77-M77</f>
        <v/>
      </c>
      <c r="O77">
        <f>IF(L77=0,0,M77/L77)</f>
        <v/>
      </c>
      <c r="P77">
        <f>IF(M77=0,0,K77/M77)</f>
        <v/>
      </c>
      <c r="Q77">
        <f>IF(F77&gt;0,1,0)</f>
        <v/>
      </c>
      <c r="R77">
        <f>IF(AND(A77&gt;=1,A77&lt;=$B$11),Q77,0)</f>
        <v/>
      </c>
      <c r="S77">
        <f>IF(AND(C77=$B$12,E77=$B$14),Q77,0)</f>
        <v/>
      </c>
      <c r="T77">
        <f>IF(AND(D77=$B$13,E77=$B$14),Q77,0)</f>
        <v/>
      </c>
      <c r="U77">
        <f>IF(E77=$B$14,Q77,0)</f>
        <v/>
      </c>
      <c r="W77">
        <f>IFERROR(INDEX(MASTER_AREAS!$B:$B,76)&amp;"","")</f>
        <v/>
      </c>
      <c r="X77">
        <f>IF(OR(W77="",$B$10=0),0,COUNTIFS(DATA_WSF!$A:$A,$B$10,DATA_WSF!$C:$C,W77))</f>
        <v/>
      </c>
      <c r="Y77">
        <f>IF(X77=0,0,SUMIFS(DATA_WSF!$L:$L,DATA_WSF!$A:$A,$B$10,DATA_WSF!$C:$C,W77))</f>
        <v/>
      </c>
      <c r="Z77">
        <f>IF(OR(W77="",$B$10=0),0,SUMIFS(DATA_WSF!$L:$L,DATA_WSF!$A:$A,$B$10-7,DATA_WSF!$C:$C,W77))</f>
        <v/>
      </c>
      <c r="AA77">
        <f>IF(X77=0,0,SUMIFS(DATA_WSF!$E:$E,DATA_WSF!$A:$A,$B$10,DATA_WSF!$C:$C,W77))</f>
        <v/>
      </c>
      <c r="AB77">
        <f>IF(X77=0,0,SUMIFS(DATA_WSF!$F:$F,DATA_WSF!$A:$A,$B$10,DATA_WSF!$C:$C,W77))</f>
        <v/>
      </c>
      <c r="AC77">
        <f>IF(AA77=0,"",AB77/AA77)</f>
        <v/>
      </c>
      <c r="AD77">
        <f>IF(OR(X77=0,Z77=0),"",Y77/Z77-1)</f>
        <v/>
      </c>
      <c r="AE77">
        <f>IF(X77=0,"",Y77+ROW()/1000000)</f>
        <v/>
      </c>
      <c r="AF77">
        <f>IF(AC77="","",AC77+ROW()/1000000000)</f>
        <v/>
      </c>
      <c r="AG77">
        <f>IF(AD77="","",AD77+ROW()/1000000000)</f>
        <v/>
      </c>
    </row>
    <row r="78">
      <c r="A78" t="n">
        <v>57</v>
      </c>
      <c r="B78" s="170">
        <f>IF($B$10=0,"",$B$10-7*A78)</f>
        <v/>
      </c>
      <c r="C78">
        <f>IF(B78="","",MONTH(B78))</f>
        <v/>
      </c>
      <c r="D78">
        <f>IF(B78="","",ROUNDUP(MONTH(B78)/3,0))</f>
        <v/>
      </c>
      <c r="E78">
        <f>IF(B78="","",YEAR(B78))</f>
        <v/>
      </c>
      <c r="F78">
        <f>IF(B78="",0,COUNTIFS(DATA_WSF!$A:$A,B78,DATA_WSF!$C:$C,$B$6,DATA_WSF!$D:$D,$B$7))</f>
        <v/>
      </c>
      <c r="G78">
        <f>IF(F78=0,0,SUMIFS(DATA_WSF!$H:$H,DATA_WSF!$A:$A,B78,DATA_WSF!$C:$C,$B$6,DATA_WSF!$D:$D,$B$7))</f>
        <v/>
      </c>
      <c r="H78">
        <f>IF(F78=0,0,SUMIFS(DATA_WSF!$I:$I,DATA_WSF!$A:$A,B78,DATA_WSF!$C:$C,$B$6,DATA_WSF!$D:$D,$B$7))</f>
        <v/>
      </c>
      <c r="I78">
        <f>IF(F78=0,0,SUMIFS(DATA_WSF!$K:$K,DATA_WSF!$A:$A,B78,DATA_WSF!$C:$C,$B$6,DATA_WSF!$D:$D,$B$7))</f>
        <v/>
      </c>
      <c r="J78">
        <f>G78+H78</f>
        <v/>
      </c>
      <c r="K78">
        <f>J78+I78</f>
        <v/>
      </c>
      <c r="L78">
        <f>IF(F78=0,0,SUMIFS(DATA_WSF!$E:$E,DATA_WSF!$A:$A,B78,DATA_WSF!$C:$C,$B$6,DATA_WSF!$D:$D,$B$7))</f>
        <v/>
      </c>
      <c r="M78">
        <f>IF(F78=0,0,SUMIFS(DATA_WSF!$F:$F,DATA_WSF!$A:$A,B78,DATA_WSF!$C:$C,$B$6,DATA_WSF!$D:$D,$B$7))</f>
        <v/>
      </c>
      <c r="N78">
        <f>L78-M78</f>
        <v/>
      </c>
      <c r="O78">
        <f>IF(L78=0,0,M78/L78)</f>
        <v/>
      </c>
      <c r="P78">
        <f>IF(M78=0,0,K78/M78)</f>
        <v/>
      </c>
      <c r="Q78">
        <f>IF(F78&gt;0,1,0)</f>
        <v/>
      </c>
      <c r="R78">
        <f>IF(AND(A78&gt;=1,A78&lt;=$B$11),Q78,0)</f>
        <v/>
      </c>
      <c r="S78">
        <f>IF(AND(C78=$B$12,E78=$B$14),Q78,0)</f>
        <v/>
      </c>
      <c r="T78">
        <f>IF(AND(D78=$B$13,E78=$B$14),Q78,0)</f>
        <v/>
      </c>
      <c r="U78">
        <f>IF(E78=$B$14,Q78,0)</f>
        <v/>
      </c>
      <c r="W78">
        <f>IFERROR(INDEX(MASTER_AREAS!$B:$B,77)&amp;"","")</f>
        <v/>
      </c>
      <c r="X78">
        <f>IF(OR(W78="",$B$10=0),0,COUNTIFS(DATA_WSF!$A:$A,$B$10,DATA_WSF!$C:$C,W78))</f>
        <v/>
      </c>
      <c r="Y78">
        <f>IF(X78=0,0,SUMIFS(DATA_WSF!$L:$L,DATA_WSF!$A:$A,$B$10,DATA_WSF!$C:$C,W78))</f>
        <v/>
      </c>
      <c r="Z78">
        <f>IF(OR(W78="",$B$10=0),0,SUMIFS(DATA_WSF!$L:$L,DATA_WSF!$A:$A,$B$10-7,DATA_WSF!$C:$C,W78))</f>
        <v/>
      </c>
      <c r="AA78">
        <f>IF(X78=0,0,SUMIFS(DATA_WSF!$E:$E,DATA_WSF!$A:$A,$B$10,DATA_WSF!$C:$C,W78))</f>
        <v/>
      </c>
      <c r="AB78">
        <f>IF(X78=0,0,SUMIFS(DATA_WSF!$F:$F,DATA_WSF!$A:$A,$B$10,DATA_WSF!$C:$C,W78))</f>
        <v/>
      </c>
      <c r="AC78">
        <f>IF(AA78=0,"",AB78/AA78)</f>
        <v/>
      </c>
      <c r="AD78">
        <f>IF(OR(X78=0,Z78=0),"",Y78/Z78-1)</f>
        <v/>
      </c>
      <c r="AE78">
        <f>IF(X78=0,"",Y78+ROW()/1000000)</f>
        <v/>
      </c>
      <c r="AF78">
        <f>IF(AC78="","",AC78+ROW()/1000000000)</f>
        <v/>
      </c>
      <c r="AG78">
        <f>IF(AD78="","",AD78+ROW()/1000000000)</f>
        <v/>
      </c>
    </row>
    <row r="79">
      <c r="A79" t="n">
        <v>58</v>
      </c>
      <c r="B79" s="170">
        <f>IF($B$10=0,"",$B$10-7*A79)</f>
        <v/>
      </c>
      <c r="C79">
        <f>IF(B79="","",MONTH(B79))</f>
        <v/>
      </c>
      <c r="D79">
        <f>IF(B79="","",ROUNDUP(MONTH(B79)/3,0))</f>
        <v/>
      </c>
      <c r="E79">
        <f>IF(B79="","",YEAR(B79))</f>
        <v/>
      </c>
      <c r="F79">
        <f>IF(B79="",0,COUNTIFS(DATA_WSF!$A:$A,B79,DATA_WSF!$C:$C,$B$6,DATA_WSF!$D:$D,$B$7))</f>
        <v/>
      </c>
      <c r="G79">
        <f>IF(F79=0,0,SUMIFS(DATA_WSF!$H:$H,DATA_WSF!$A:$A,B79,DATA_WSF!$C:$C,$B$6,DATA_WSF!$D:$D,$B$7))</f>
        <v/>
      </c>
      <c r="H79">
        <f>IF(F79=0,0,SUMIFS(DATA_WSF!$I:$I,DATA_WSF!$A:$A,B79,DATA_WSF!$C:$C,$B$6,DATA_WSF!$D:$D,$B$7))</f>
        <v/>
      </c>
      <c r="I79">
        <f>IF(F79=0,0,SUMIFS(DATA_WSF!$K:$K,DATA_WSF!$A:$A,B79,DATA_WSF!$C:$C,$B$6,DATA_WSF!$D:$D,$B$7))</f>
        <v/>
      </c>
      <c r="J79">
        <f>G79+H79</f>
        <v/>
      </c>
      <c r="K79">
        <f>J79+I79</f>
        <v/>
      </c>
      <c r="L79">
        <f>IF(F79=0,0,SUMIFS(DATA_WSF!$E:$E,DATA_WSF!$A:$A,B79,DATA_WSF!$C:$C,$B$6,DATA_WSF!$D:$D,$B$7))</f>
        <v/>
      </c>
      <c r="M79">
        <f>IF(F79=0,0,SUMIFS(DATA_WSF!$F:$F,DATA_WSF!$A:$A,B79,DATA_WSF!$C:$C,$B$6,DATA_WSF!$D:$D,$B$7))</f>
        <v/>
      </c>
      <c r="N79">
        <f>L79-M79</f>
        <v/>
      </c>
      <c r="O79">
        <f>IF(L79=0,0,M79/L79)</f>
        <v/>
      </c>
      <c r="P79">
        <f>IF(M79=0,0,K79/M79)</f>
        <v/>
      </c>
      <c r="Q79">
        <f>IF(F79&gt;0,1,0)</f>
        <v/>
      </c>
      <c r="R79">
        <f>IF(AND(A79&gt;=1,A79&lt;=$B$11),Q79,0)</f>
        <v/>
      </c>
      <c r="S79">
        <f>IF(AND(C79=$B$12,E79=$B$14),Q79,0)</f>
        <v/>
      </c>
      <c r="T79">
        <f>IF(AND(D79=$B$13,E79=$B$14),Q79,0)</f>
        <v/>
      </c>
      <c r="U79">
        <f>IF(E79=$B$14,Q79,0)</f>
        <v/>
      </c>
      <c r="W79">
        <f>IFERROR(INDEX(MASTER_AREAS!$B:$B,78)&amp;"","")</f>
        <v/>
      </c>
      <c r="X79">
        <f>IF(OR(W79="",$B$10=0),0,COUNTIFS(DATA_WSF!$A:$A,$B$10,DATA_WSF!$C:$C,W79))</f>
        <v/>
      </c>
      <c r="Y79">
        <f>IF(X79=0,0,SUMIFS(DATA_WSF!$L:$L,DATA_WSF!$A:$A,$B$10,DATA_WSF!$C:$C,W79))</f>
        <v/>
      </c>
      <c r="Z79">
        <f>IF(OR(W79="",$B$10=0),0,SUMIFS(DATA_WSF!$L:$L,DATA_WSF!$A:$A,$B$10-7,DATA_WSF!$C:$C,W79))</f>
        <v/>
      </c>
      <c r="AA79">
        <f>IF(X79=0,0,SUMIFS(DATA_WSF!$E:$E,DATA_WSF!$A:$A,$B$10,DATA_WSF!$C:$C,W79))</f>
        <v/>
      </c>
      <c r="AB79">
        <f>IF(X79=0,0,SUMIFS(DATA_WSF!$F:$F,DATA_WSF!$A:$A,$B$10,DATA_WSF!$C:$C,W79))</f>
        <v/>
      </c>
      <c r="AC79">
        <f>IF(AA79=0,"",AB79/AA79)</f>
        <v/>
      </c>
      <c r="AD79">
        <f>IF(OR(X79=0,Z79=0),"",Y79/Z79-1)</f>
        <v/>
      </c>
      <c r="AE79">
        <f>IF(X79=0,"",Y79+ROW()/1000000)</f>
        <v/>
      </c>
      <c r="AF79">
        <f>IF(AC79="","",AC79+ROW()/1000000000)</f>
        <v/>
      </c>
      <c r="AG79">
        <f>IF(AD79="","",AD79+ROW()/1000000000)</f>
        <v/>
      </c>
    </row>
    <row r="80">
      <c r="A80" t="n">
        <v>59</v>
      </c>
      <c r="B80" s="170">
        <f>IF($B$10=0,"",$B$10-7*A80)</f>
        <v/>
      </c>
      <c r="C80">
        <f>IF(B80="","",MONTH(B80))</f>
        <v/>
      </c>
      <c r="D80">
        <f>IF(B80="","",ROUNDUP(MONTH(B80)/3,0))</f>
        <v/>
      </c>
      <c r="E80">
        <f>IF(B80="","",YEAR(B80))</f>
        <v/>
      </c>
      <c r="F80">
        <f>IF(B80="",0,COUNTIFS(DATA_WSF!$A:$A,B80,DATA_WSF!$C:$C,$B$6,DATA_WSF!$D:$D,$B$7))</f>
        <v/>
      </c>
      <c r="G80">
        <f>IF(F80=0,0,SUMIFS(DATA_WSF!$H:$H,DATA_WSF!$A:$A,B80,DATA_WSF!$C:$C,$B$6,DATA_WSF!$D:$D,$B$7))</f>
        <v/>
      </c>
      <c r="H80">
        <f>IF(F80=0,0,SUMIFS(DATA_WSF!$I:$I,DATA_WSF!$A:$A,B80,DATA_WSF!$C:$C,$B$6,DATA_WSF!$D:$D,$B$7))</f>
        <v/>
      </c>
      <c r="I80">
        <f>IF(F80=0,0,SUMIFS(DATA_WSF!$K:$K,DATA_WSF!$A:$A,B80,DATA_WSF!$C:$C,$B$6,DATA_WSF!$D:$D,$B$7))</f>
        <v/>
      </c>
      <c r="J80">
        <f>G80+H80</f>
        <v/>
      </c>
      <c r="K80">
        <f>J80+I80</f>
        <v/>
      </c>
      <c r="L80">
        <f>IF(F80=0,0,SUMIFS(DATA_WSF!$E:$E,DATA_WSF!$A:$A,B80,DATA_WSF!$C:$C,$B$6,DATA_WSF!$D:$D,$B$7))</f>
        <v/>
      </c>
      <c r="M80">
        <f>IF(F80=0,0,SUMIFS(DATA_WSF!$F:$F,DATA_WSF!$A:$A,B80,DATA_WSF!$C:$C,$B$6,DATA_WSF!$D:$D,$B$7))</f>
        <v/>
      </c>
      <c r="N80">
        <f>L80-M80</f>
        <v/>
      </c>
      <c r="O80">
        <f>IF(L80=0,0,M80/L80)</f>
        <v/>
      </c>
      <c r="P80">
        <f>IF(M80=0,0,K80/M80)</f>
        <v/>
      </c>
      <c r="Q80">
        <f>IF(F80&gt;0,1,0)</f>
        <v/>
      </c>
      <c r="R80">
        <f>IF(AND(A80&gt;=1,A80&lt;=$B$11),Q80,0)</f>
        <v/>
      </c>
      <c r="S80">
        <f>IF(AND(C80=$B$12,E80=$B$14),Q80,0)</f>
        <v/>
      </c>
      <c r="T80">
        <f>IF(AND(D80=$B$13,E80=$B$14),Q80,0)</f>
        <v/>
      </c>
      <c r="U80">
        <f>IF(E80=$B$14,Q80,0)</f>
        <v/>
      </c>
      <c r="W80">
        <f>IFERROR(INDEX(MASTER_AREAS!$B:$B,79)&amp;"","")</f>
        <v/>
      </c>
      <c r="X80">
        <f>IF(OR(W80="",$B$10=0),0,COUNTIFS(DATA_WSF!$A:$A,$B$10,DATA_WSF!$C:$C,W80))</f>
        <v/>
      </c>
      <c r="Y80">
        <f>IF(X80=0,0,SUMIFS(DATA_WSF!$L:$L,DATA_WSF!$A:$A,$B$10,DATA_WSF!$C:$C,W80))</f>
        <v/>
      </c>
      <c r="Z80">
        <f>IF(OR(W80="",$B$10=0),0,SUMIFS(DATA_WSF!$L:$L,DATA_WSF!$A:$A,$B$10-7,DATA_WSF!$C:$C,W80))</f>
        <v/>
      </c>
      <c r="AA80">
        <f>IF(X80=0,0,SUMIFS(DATA_WSF!$E:$E,DATA_WSF!$A:$A,$B$10,DATA_WSF!$C:$C,W80))</f>
        <v/>
      </c>
      <c r="AB80">
        <f>IF(X80=0,0,SUMIFS(DATA_WSF!$F:$F,DATA_WSF!$A:$A,$B$10,DATA_WSF!$C:$C,W80))</f>
        <v/>
      </c>
      <c r="AC80">
        <f>IF(AA80=0,"",AB80/AA80)</f>
        <v/>
      </c>
      <c r="AD80">
        <f>IF(OR(X80=0,Z80=0),"",Y80/Z80-1)</f>
        <v/>
      </c>
      <c r="AE80">
        <f>IF(X80=0,"",Y80+ROW()/1000000)</f>
        <v/>
      </c>
      <c r="AF80">
        <f>IF(AC80="","",AC80+ROW()/1000000000)</f>
        <v/>
      </c>
      <c r="AG80">
        <f>IF(AD80="","",AD80+ROW()/1000000000)</f>
        <v/>
      </c>
    </row>
    <row r="81">
      <c r="W81">
        <f>IFERROR(INDEX(MASTER_AREAS!$B:$B,80)&amp;"","")</f>
        <v/>
      </c>
      <c r="X81">
        <f>IF(OR(W81="",$B$10=0),0,COUNTIFS(DATA_WSF!$A:$A,$B$10,DATA_WSF!$C:$C,W81))</f>
        <v/>
      </c>
      <c r="Y81">
        <f>IF(X81=0,0,SUMIFS(DATA_WSF!$L:$L,DATA_WSF!$A:$A,$B$10,DATA_WSF!$C:$C,W81))</f>
        <v/>
      </c>
      <c r="Z81">
        <f>IF(OR(W81="",$B$10=0),0,SUMIFS(DATA_WSF!$L:$L,DATA_WSF!$A:$A,$B$10-7,DATA_WSF!$C:$C,W81))</f>
        <v/>
      </c>
      <c r="AA81">
        <f>IF(X81=0,0,SUMIFS(DATA_WSF!$E:$E,DATA_WSF!$A:$A,$B$10,DATA_WSF!$C:$C,W81))</f>
        <v/>
      </c>
      <c r="AB81">
        <f>IF(X81=0,0,SUMIFS(DATA_WSF!$F:$F,DATA_WSF!$A:$A,$B$10,DATA_WSF!$C:$C,W81))</f>
        <v/>
      </c>
      <c r="AC81">
        <f>IF(AA81=0,"",AB81/AA81)</f>
        <v/>
      </c>
      <c r="AD81">
        <f>IF(OR(X81=0,Z81=0),"",Y81/Z81-1)</f>
        <v/>
      </c>
      <c r="AE81">
        <f>IF(X81=0,"",Y81+ROW()/1000000)</f>
        <v/>
      </c>
      <c r="AF81">
        <f>IF(AC81="","",AC81+ROW()/1000000000)</f>
        <v/>
      </c>
      <c r="AG81">
        <f>IF(AD81="","",AD81+ROW()/1000000000)</f>
        <v/>
      </c>
    </row>
    <row r="82">
      <c r="W82">
        <f>IFERROR(INDEX(MASTER_AREAS!$B:$B,81)&amp;"","")</f>
        <v/>
      </c>
      <c r="X82">
        <f>IF(OR(W82="",$B$10=0),0,COUNTIFS(DATA_WSF!$A:$A,$B$10,DATA_WSF!$C:$C,W82))</f>
        <v/>
      </c>
      <c r="Y82">
        <f>IF(X82=0,0,SUMIFS(DATA_WSF!$L:$L,DATA_WSF!$A:$A,$B$10,DATA_WSF!$C:$C,W82))</f>
        <v/>
      </c>
      <c r="Z82">
        <f>IF(OR(W82="",$B$10=0),0,SUMIFS(DATA_WSF!$L:$L,DATA_WSF!$A:$A,$B$10-7,DATA_WSF!$C:$C,W82))</f>
        <v/>
      </c>
      <c r="AA82">
        <f>IF(X82=0,0,SUMIFS(DATA_WSF!$E:$E,DATA_WSF!$A:$A,$B$10,DATA_WSF!$C:$C,W82))</f>
        <v/>
      </c>
      <c r="AB82">
        <f>IF(X82=0,0,SUMIFS(DATA_WSF!$F:$F,DATA_WSF!$A:$A,$B$10,DATA_WSF!$C:$C,W82))</f>
        <v/>
      </c>
      <c r="AC82">
        <f>IF(AA82=0,"",AB82/AA82)</f>
        <v/>
      </c>
      <c r="AD82">
        <f>IF(OR(X82=0,Z82=0),"",Y82/Z82-1)</f>
        <v/>
      </c>
      <c r="AE82">
        <f>IF(X82=0,"",Y82+ROW()/1000000)</f>
        <v/>
      </c>
      <c r="AF82">
        <f>IF(AC82="","",AC82+ROW()/1000000000)</f>
        <v/>
      </c>
      <c r="AG82">
        <f>IF(AD82="","",AD82+ROW()/1000000000)</f>
        <v/>
      </c>
    </row>
    <row r="83">
      <c r="W83">
        <f>IFERROR(INDEX(MASTER_AREAS!$B:$B,82)&amp;"","")</f>
        <v/>
      </c>
      <c r="X83">
        <f>IF(OR(W83="",$B$10=0),0,COUNTIFS(DATA_WSF!$A:$A,$B$10,DATA_WSF!$C:$C,W83))</f>
        <v/>
      </c>
      <c r="Y83">
        <f>IF(X83=0,0,SUMIFS(DATA_WSF!$L:$L,DATA_WSF!$A:$A,$B$10,DATA_WSF!$C:$C,W83))</f>
        <v/>
      </c>
      <c r="Z83">
        <f>IF(OR(W83="",$B$10=0),0,SUMIFS(DATA_WSF!$L:$L,DATA_WSF!$A:$A,$B$10-7,DATA_WSF!$C:$C,W83))</f>
        <v/>
      </c>
      <c r="AA83">
        <f>IF(X83=0,0,SUMIFS(DATA_WSF!$E:$E,DATA_WSF!$A:$A,$B$10,DATA_WSF!$C:$C,W83))</f>
        <v/>
      </c>
      <c r="AB83">
        <f>IF(X83=0,0,SUMIFS(DATA_WSF!$F:$F,DATA_WSF!$A:$A,$B$10,DATA_WSF!$C:$C,W83))</f>
        <v/>
      </c>
      <c r="AC83">
        <f>IF(AA83=0,"",AB83/AA83)</f>
        <v/>
      </c>
      <c r="AD83">
        <f>IF(OR(X83=0,Z83=0),"",Y83/Z83-1)</f>
        <v/>
      </c>
      <c r="AE83">
        <f>IF(X83=0,"",Y83+ROW()/1000000)</f>
        <v/>
      </c>
      <c r="AF83">
        <f>IF(AC83="","",AC83+ROW()/1000000000)</f>
        <v/>
      </c>
      <c r="AG83">
        <f>IF(AD83="","",AD83+ROW()/1000000000)</f>
        <v/>
      </c>
    </row>
    <row r="84">
      <c r="W84">
        <f>IFERROR(INDEX(MASTER_AREAS!$B:$B,83)&amp;"","")</f>
        <v/>
      </c>
      <c r="X84">
        <f>IF(OR(W84="",$B$10=0),0,COUNTIFS(DATA_WSF!$A:$A,$B$10,DATA_WSF!$C:$C,W84))</f>
        <v/>
      </c>
      <c r="Y84">
        <f>IF(X84=0,0,SUMIFS(DATA_WSF!$L:$L,DATA_WSF!$A:$A,$B$10,DATA_WSF!$C:$C,W84))</f>
        <v/>
      </c>
      <c r="Z84">
        <f>IF(OR(W84="",$B$10=0),0,SUMIFS(DATA_WSF!$L:$L,DATA_WSF!$A:$A,$B$10-7,DATA_WSF!$C:$C,W84))</f>
        <v/>
      </c>
      <c r="AA84">
        <f>IF(X84=0,0,SUMIFS(DATA_WSF!$E:$E,DATA_WSF!$A:$A,$B$10,DATA_WSF!$C:$C,W84))</f>
        <v/>
      </c>
      <c r="AB84">
        <f>IF(X84=0,0,SUMIFS(DATA_WSF!$F:$F,DATA_WSF!$A:$A,$B$10,DATA_WSF!$C:$C,W84))</f>
        <v/>
      </c>
      <c r="AC84">
        <f>IF(AA84=0,"",AB84/AA84)</f>
        <v/>
      </c>
      <c r="AD84">
        <f>IF(OR(X84=0,Z84=0),"",Y84/Z84-1)</f>
        <v/>
      </c>
      <c r="AE84">
        <f>IF(X84=0,"",Y84+ROW()/1000000)</f>
        <v/>
      </c>
      <c r="AF84">
        <f>IF(AC84="","",AC84+ROW()/1000000000)</f>
        <v/>
      </c>
      <c r="AG84">
        <f>IF(AD84="","",AD84+ROW()/1000000000)</f>
        <v/>
      </c>
    </row>
    <row r="85">
      <c r="W85">
        <f>IFERROR(INDEX(MASTER_AREAS!$B:$B,84)&amp;"","")</f>
        <v/>
      </c>
      <c r="X85">
        <f>IF(OR(W85="",$B$10=0),0,COUNTIFS(DATA_WSF!$A:$A,$B$10,DATA_WSF!$C:$C,W85))</f>
        <v/>
      </c>
      <c r="Y85">
        <f>IF(X85=0,0,SUMIFS(DATA_WSF!$L:$L,DATA_WSF!$A:$A,$B$10,DATA_WSF!$C:$C,W85))</f>
        <v/>
      </c>
      <c r="Z85">
        <f>IF(OR(W85="",$B$10=0),0,SUMIFS(DATA_WSF!$L:$L,DATA_WSF!$A:$A,$B$10-7,DATA_WSF!$C:$C,W85))</f>
        <v/>
      </c>
      <c r="AA85">
        <f>IF(X85=0,0,SUMIFS(DATA_WSF!$E:$E,DATA_WSF!$A:$A,$B$10,DATA_WSF!$C:$C,W85))</f>
        <v/>
      </c>
      <c r="AB85">
        <f>IF(X85=0,0,SUMIFS(DATA_WSF!$F:$F,DATA_WSF!$A:$A,$B$10,DATA_WSF!$C:$C,W85))</f>
        <v/>
      </c>
      <c r="AC85">
        <f>IF(AA85=0,"",AB85/AA85)</f>
        <v/>
      </c>
      <c r="AD85">
        <f>IF(OR(X85=0,Z85=0),"",Y85/Z85-1)</f>
        <v/>
      </c>
      <c r="AE85">
        <f>IF(X85=0,"",Y85+ROW()/1000000)</f>
        <v/>
      </c>
      <c r="AF85">
        <f>IF(AC85="","",AC85+ROW()/1000000000)</f>
        <v/>
      </c>
      <c r="AG85">
        <f>IF(AD85="","",AD85+ROW()/1000000000)</f>
        <v/>
      </c>
    </row>
    <row r="86">
      <c r="W86">
        <f>IFERROR(INDEX(MASTER_AREAS!$B:$B,85)&amp;"","")</f>
        <v/>
      </c>
      <c r="X86">
        <f>IF(OR(W86="",$B$10=0),0,COUNTIFS(DATA_WSF!$A:$A,$B$10,DATA_WSF!$C:$C,W86))</f>
        <v/>
      </c>
      <c r="Y86">
        <f>IF(X86=0,0,SUMIFS(DATA_WSF!$L:$L,DATA_WSF!$A:$A,$B$10,DATA_WSF!$C:$C,W86))</f>
        <v/>
      </c>
      <c r="Z86">
        <f>IF(OR(W86="",$B$10=0),0,SUMIFS(DATA_WSF!$L:$L,DATA_WSF!$A:$A,$B$10-7,DATA_WSF!$C:$C,W86))</f>
        <v/>
      </c>
      <c r="AA86">
        <f>IF(X86=0,0,SUMIFS(DATA_WSF!$E:$E,DATA_WSF!$A:$A,$B$10,DATA_WSF!$C:$C,W86))</f>
        <v/>
      </c>
      <c r="AB86">
        <f>IF(X86=0,0,SUMIFS(DATA_WSF!$F:$F,DATA_WSF!$A:$A,$B$10,DATA_WSF!$C:$C,W86))</f>
        <v/>
      </c>
      <c r="AC86">
        <f>IF(AA86=0,"",AB86/AA86)</f>
        <v/>
      </c>
      <c r="AD86">
        <f>IF(OR(X86=0,Z86=0),"",Y86/Z86-1)</f>
        <v/>
      </c>
      <c r="AE86">
        <f>IF(X86=0,"",Y86+ROW()/1000000)</f>
        <v/>
      </c>
      <c r="AF86">
        <f>IF(AC86="","",AC86+ROW()/1000000000)</f>
        <v/>
      </c>
      <c r="AG86">
        <f>IF(AD86="","",AD86+ROW()/1000000000)</f>
        <v/>
      </c>
    </row>
    <row r="87">
      <c r="W87">
        <f>IFERROR(INDEX(MASTER_AREAS!$B:$B,86)&amp;"","")</f>
        <v/>
      </c>
      <c r="X87">
        <f>IF(OR(W87="",$B$10=0),0,COUNTIFS(DATA_WSF!$A:$A,$B$10,DATA_WSF!$C:$C,W87))</f>
        <v/>
      </c>
      <c r="Y87">
        <f>IF(X87=0,0,SUMIFS(DATA_WSF!$L:$L,DATA_WSF!$A:$A,$B$10,DATA_WSF!$C:$C,W87))</f>
        <v/>
      </c>
      <c r="Z87">
        <f>IF(OR(W87="",$B$10=0),0,SUMIFS(DATA_WSF!$L:$L,DATA_WSF!$A:$A,$B$10-7,DATA_WSF!$C:$C,W87))</f>
        <v/>
      </c>
      <c r="AA87">
        <f>IF(X87=0,0,SUMIFS(DATA_WSF!$E:$E,DATA_WSF!$A:$A,$B$10,DATA_WSF!$C:$C,W87))</f>
        <v/>
      </c>
      <c r="AB87">
        <f>IF(X87=0,0,SUMIFS(DATA_WSF!$F:$F,DATA_WSF!$A:$A,$B$10,DATA_WSF!$C:$C,W87))</f>
        <v/>
      </c>
      <c r="AC87">
        <f>IF(AA87=0,"",AB87/AA87)</f>
        <v/>
      </c>
      <c r="AD87">
        <f>IF(OR(X87=0,Z87=0),"",Y87/Z87-1)</f>
        <v/>
      </c>
      <c r="AE87">
        <f>IF(X87=0,"",Y87+ROW()/1000000)</f>
        <v/>
      </c>
      <c r="AF87">
        <f>IF(AC87="","",AC87+ROW()/1000000000)</f>
        <v/>
      </c>
      <c r="AG87">
        <f>IF(AD87="","",AD87+ROW()/1000000000)</f>
        <v/>
      </c>
    </row>
    <row r="88">
      <c r="W88">
        <f>IFERROR(INDEX(MASTER_AREAS!$B:$B,87)&amp;"","")</f>
        <v/>
      </c>
      <c r="X88">
        <f>IF(OR(W88="",$B$10=0),0,COUNTIFS(DATA_WSF!$A:$A,$B$10,DATA_WSF!$C:$C,W88))</f>
        <v/>
      </c>
      <c r="Y88">
        <f>IF(X88=0,0,SUMIFS(DATA_WSF!$L:$L,DATA_WSF!$A:$A,$B$10,DATA_WSF!$C:$C,W88))</f>
        <v/>
      </c>
      <c r="Z88">
        <f>IF(OR(W88="",$B$10=0),0,SUMIFS(DATA_WSF!$L:$L,DATA_WSF!$A:$A,$B$10-7,DATA_WSF!$C:$C,W88))</f>
        <v/>
      </c>
      <c r="AA88">
        <f>IF(X88=0,0,SUMIFS(DATA_WSF!$E:$E,DATA_WSF!$A:$A,$B$10,DATA_WSF!$C:$C,W88))</f>
        <v/>
      </c>
      <c r="AB88">
        <f>IF(X88=0,0,SUMIFS(DATA_WSF!$F:$F,DATA_WSF!$A:$A,$B$10,DATA_WSF!$C:$C,W88))</f>
        <v/>
      </c>
      <c r="AC88">
        <f>IF(AA88=0,"",AB88/AA88)</f>
        <v/>
      </c>
      <c r="AD88">
        <f>IF(OR(X88=0,Z88=0),"",Y88/Z88-1)</f>
        <v/>
      </c>
      <c r="AE88">
        <f>IF(X88=0,"",Y88+ROW()/1000000)</f>
        <v/>
      </c>
      <c r="AF88">
        <f>IF(AC88="","",AC88+ROW()/1000000000)</f>
        <v/>
      </c>
      <c r="AG88">
        <f>IF(AD88="","",AD88+ROW()/1000000000)</f>
        <v/>
      </c>
    </row>
    <row r="89">
      <c r="A89" s="187" t="inlineStr">
        <is>
          <t>KPI</t>
        </is>
      </c>
      <c r="B89" s="187" t="inlineStr">
        <is>
          <t>Selected week</t>
        </is>
      </c>
      <c r="C89" s="187" t="inlineStr">
        <is>
          <t>Previous week</t>
        </is>
      </c>
      <c r="D89" s="187" t="inlineStr">
        <is>
          <t>Change</t>
        </is>
      </c>
      <c r="E89" s="187" t="inlineStr">
        <is>
          <t>% change</t>
        </is>
      </c>
      <c r="F89" s="187" t="inlineStr">
        <is>
          <t>Avg last N wks</t>
        </is>
      </c>
      <c r="G89" s="187" t="inlineStr">
        <is>
          <t>vs N-wk avg</t>
        </is>
      </c>
      <c r="H89" s="187" t="inlineStr">
        <is>
          <t>MTD total</t>
        </is>
      </c>
      <c r="I89" s="187" t="inlineStr">
        <is>
          <t>QTD total</t>
        </is>
      </c>
      <c r="J89" s="187" t="inlineStr">
        <is>
          <t>YTD total</t>
        </is>
      </c>
      <c r="K89" s="187" t="inlineStr">
        <is>
          <t>Wkly avg (month)</t>
        </is>
      </c>
      <c r="L89" s="187" t="inlineStr">
        <is>
          <t>Wkly avg (qtr)</t>
        </is>
      </c>
      <c r="M89" s="187" t="inlineStr">
        <is>
          <t>Wkly avg (year)</t>
        </is>
      </c>
      <c r="W89">
        <f>IFERROR(INDEX(MASTER_AREAS!$B:$B,88)&amp;"","")</f>
        <v/>
      </c>
      <c r="X89">
        <f>IF(OR(W89="",$B$10=0),0,COUNTIFS(DATA_WSF!$A:$A,$B$10,DATA_WSF!$C:$C,W89))</f>
        <v/>
      </c>
      <c r="Y89">
        <f>IF(X89=0,0,SUMIFS(DATA_WSF!$L:$L,DATA_WSF!$A:$A,$B$10,DATA_WSF!$C:$C,W89))</f>
        <v/>
      </c>
      <c r="Z89">
        <f>IF(OR(W89="",$B$10=0),0,SUMIFS(DATA_WSF!$L:$L,DATA_WSF!$A:$A,$B$10-7,DATA_WSF!$C:$C,W89))</f>
        <v/>
      </c>
      <c r="AA89">
        <f>IF(X89=0,0,SUMIFS(DATA_WSF!$E:$E,DATA_WSF!$A:$A,$B$10,DATA_WSF!$C:$C,W89))</f>
        <v/>
      </c>
      <c r="AB89">
        <f>IF(X89=0,0,SUMIFS(DATA_WSF!$F:$F,DATA_WSF!$A:$A,$B$10,DATA_WSF!$C:$C,W89))</f>
        <v/>
      </c>
      <c r="AC89">
        <f>IF(AA89=0,"",AB89/AA89)</f>
        <v/>
      </c>
      <c r="AD89">
        <f>IF(OR(X89=0,Z89=0),"",Y89/Z89-1)</f>
        <v/>
      </c>
      <c r="AE89">
        <f>IF(X89=0,"",Y89+ROW()/1000000)</f>
        <v/>
      </c>
      <c r="AF89">
        <f>IF(AC89="","",AC89+ROW()/1000000000)</f>
        <v/>
      </c>
      <c r="AG89">
        <f>IF(AD89="","",AD89+ROW()/1000000000)</f>
        <v/>
      </c>
    </row>
    <row r="90">
      <c r="A90" t="inlineStr">
        <is>
          <t>Grand total attendance</t>
        </is>
      </c>
      <c r="B90">
        <f>IF($Q$21=0,"",K21)</f>
        <v/>
      </c>
      <c r="C90">
        <f>IF($Q$22=0,"",K22)</f>
        <v/>
      </c>
      <c r="D90">
        <f>IF(OR(B90="",C90=""),"",B90-C90)</f>
        <v/>
      </c>
      <c r="E90">
        <f>IF(OR(B90="",C90=""),"",IF(C90=0,"",B90/C90-1))</f>
        <v/>
      </c>
      <c r="F90">
        <f>IF(SUM($R$21:$R$80)=0,"",SUMPRODUCT($K$21:$K$80,$R$21:$R$80)/SUM($R$21:$R$80))</f>
        <v/>
      </c>
      <c r="G90">
        <f>IF(OR(B90="",F90=""),"",IF(F90=0,"",B90/F90-1))</f>
        <v/>
      </c>
      <c r="H90">
        <f>IF(SUM($S$21:$S$80)=0,"",SUMPRODUCT($K$21:$K$80,$S$21:$S$80))</f>
        <v/>
      </c>
      <c r="I90">
        <f>IF(SUM($T$21:$T$80)=0,"",SUMPRODUCT($K$21:$K$80,$T$21:$T$80))</f>
        <v/>
      </c>
      <c r="J90">
        <f>IF(SUM($U$21:$U$80)=0,"",SUMPRODUCT($K$21:$K$80,$U$21:$U$80))</f>
        <v/>
      </c>
      <c r="K90">
        <f>IF(H90="","",H90/SUM($S$21:$S$80))</f>
        <v/>
      </c>
      <c r="L90">
        <f>IF(I90="","",I90/SUM($T$21:$T$80))</f>
        <v/>
      </c>
      <c r="M90">
        <f>IF(J90="","",J90/SUM($U$21:$U$80))</f>
        <v/>
      </c>
      <c r="W90">
        <f>IFERROR(INDEX(MASTER_AREAS!$B:$B,89)&amp;"","")</f>
        <v/>
      </c>
      <c r="X90">
        <f>IF(OR(W90="",$B$10=0),0,COUNTIFS(DATA_WSF!$A:$A,$B$10,DATA_WSF!$C:$C,W90))</f>
        <v/>
      </c>
      <c r="Y90">
        <f>IF(X90=0,0,SUMIFS(DATA_WSF!$L:$L,DATA_WSF!$A:$A,$B$10,DATA_WSF!$C:$C,W90))</f>
        <v/>
      </c>
      <c r="Z90">
        <f>IF(OR(W90="",$B$10=0),0,SUMIFS(DATA_WSF!$L:$L,DATA_WSF!$A:$A,$B$10-7,DATA_WSF!$C:$C,W90))</f>
        <v/>
      </c>
      <c r="AA90">
        <f>IF(X90=0,0,SUMIFS(DATA_WSF!$E:$E,DATA_WSF!$A:$A,$B$10,DATA_WSF!$C:$C,W90))</f>
        <v/>
      </c>
      <c r="AB90">
        <f>IF(X90=0,0,SUMIFS(DATA_WSF!$F:$F,DATA_WSF!$A:$A,$B$10,DATA_WSF!$C:$C,W90))</f>
        <v/>
      </c>
      <c r="AC90">
        <f>IF(AA90=0,"",AB90/AA90)</f>
        <v/>
      </c>
      <c r="AD90">
        <f>IF(OR(X90=0,Z90=0),"",Y90/Z90-1)</f>
        <v/>
      </c>
      <c r="AE90">
        <f>IF(X90=0,"",Y90+ROW()/1000000)</f>
        <v/>
      </c>
      <c r="AF90">
        <f>IF(AC90="","",AC90+ROW()/1000000000)</f>
        <v/>
      </c>
      <c r="AG90">
        <f>IF(AD90="","",AD90+ROW()/1000000000)</f>
        <v/>
      </c>
    </row>
    <row r="91">
      <c r="A91" t="inlineStr">
        <is>
          <t>Adult total (Male + Female)</t>
        </is>
      </c>
      <c r="B91">
        <f>IF($Q$21=0,"",J21)</f>
        <v/>
      </c>
      <c r="C91">
        <f>IF($Q$22=0,"",J22)</f>
        <v/>
      </c>
      <c r="D91">
        <f>IF(OR(B91="",C91=""),"",B91-C91)</f>
        <v/>
      </c>
      <c r="E91">
        <f>IF(OR(B91="",C91=""),"",IF(C91=0,"",B91/C91-1))</f>
        <v/>
      </c>
      <c r="F91">
        <f>IF(SUM($R$21:$R$80)=0,"",SUMPRODUCT($J$21:$J$80,$R$21:$R$80)/SUM($R$21:$R$80))</f>
        <v/>
      </c>
      <c r="G91">
        <f>IF(OR(B91="",F91=""),"",IF(F91=0,"",B91/F91-1))</f>
        <v/>
      </c>
      <c r="H91">
        <f>IF(SUM($S$21:$S$80)=0,"",SUMPRODUCT($J$21:$J$80,$S$21:$S$80))</f>
        <v/>
      </c>
      <c r="I91">
        <f>IF(SUM($T$21:$T$80)=0,"",SUMPRODUCT($J$21:$J$80,$T$21:$T$80))</f>
        <v/>
      </c>
      <c r="J91">
        <f>IF(SUM($U$21:$U$80)=0,"",SUMPRODUCT($J$21:$J$80,$U$21:$U$80))</f>
        <v/>
      </c>
      <c r="K91">
        <f>IF(H91="","",H91/SUM($S$21:$S$80))</f>
        <v/>
      </c>
      <c r="L91">
        <f>IF(I91="","",I91/SUM($T$21:$T$80))</f>
        <v/>
      </c>
      <c r="M91">
        <f>IF(J91="","",J91/SUM($U$21:$U$80))</f>
        <v/>
      </c>
      <c r="W91">
        <f>IFERROR(INDEX(MASTER_AREAS!$B:$B,90)&amp;"","")</f>
        <v/>
      </c>
      <c r="X91">
        <f>IF(OR(W91="",$B$10=0),0,COUNTIFS(DATA_WSF!$A:$A,$B$10,DATA_WSF!$C:$C,W91))</f>
        <v/>
      </c>
      <c r="Y91">
        <f>IF(X91=0,0,SUMIFS(DATA_WSF!$L:$L,DATA_WSF!$A:$A,$B$10,DATA_WSF!$C:$C,W91))</f>
        <v/>
      </c>
      <c r="Z91">
        <f>IF(OR(W91="",$B$10=0),0,SUMIFS(DATA_WSF!$L:$L,DATA_WSF!$A:$A,$B$10-7,DATA_WSF!$C:$C,W91))</f>
        <v/>
      </c>
      <c r="AA91">
        <f>IF(X91=0,0,SUMIFS(DATA_WSF!$E:$E,DATA_WSF!$A:$A,$B$10,DATA_WSF!$C:$C,W91))</f>
        <v/>
      </c>
      <c r="AB91">
        <f>IF(X91=0,0,SUMIFS(DATA_WSF!$F:$F,DATA_WSF!$A:$A,$B$10,DATA_WSF!$C:$C,W91))</f>
        <v/>
      </c>
      <c r="AC91">
        <f>IF(AA91=0,"",AB91/AA91)</f>
        <v/>
      </c>
      <c r="AD91">
        <f>IF(OR(X91=0,Z91=0),"",Y91/Z91-1)</f>
        <v/>
      </c>
      <c r="AE91">
        <f>IF(X91=0,"",Y91+ROW()/1000000)</f>
        <v/>
      </c>
      <c r="AF91">
        <f>IF(AC91="","",AC91+ROW()/1000000000)</f>
        <v/>
      </c>
      <c r="AG91">
        <f>IF(AD91="","",AD91+ROW()/1000000000)</f>
        <v/>
      </c>
    </row>
    <row r="92">
      <c r="A92" t="inlineStr">
        <is>
          <t>Male</t>
        </is>
      </c>
      <c r="B92">
        <f>IF($Q$21=0,"",G21)</f>
        <v/>
      </c>
      <c r="C92">
        <f>IF($Q$22=0,"",G22)</f>
        <v/>
      </c>
      <c r="D92">
        <f>IF(OR(B92="",C92=""),"",B92-C92)</f>
        <v/>
      </c>
      <c r="E92">
        <f>IF(OR(B92="",C92=""),"",IF(C92=0,"",B92/C92-1))</f>
        <v/>
      </c>
      <c r="F92">
        <f>IF(SUM($R$21:$R$80)=0,"",SUMPRODUCT($G$21:$G$80,$R$21:$R$80)/SUM($R$21:$R$80))</f>
        <v/>
      </c>
      <c r="G92">
        <f>IF(OR(B92="",F92=""),"",IF(F92=0,"",B92/F92-1))</f>
        <v/>
      </c>
      <c r="H92">
        <f>IF(SUM($S$21:$S$80)=0,"",SUMPRODUCT($G$21:$G$80,$S$21:$S$80))</f>
        <v/>
      </c>
      <c r="I92">
        <f>IF(SUM($T$21:$T$80)=0,"",SUMPRODUCT($G$21:$G$80,$T$21:$T$80))</f>
        <v/>
      </c>
      <c r="J92">
        <f>IF(SUM($U$21:$U$80)=0,"",SUMPRODUCT($G$21:$G$80,$U$21:$U$80))</f>
        <v/>
      </c>
      <c r="K92">
        <f>IF(H92="","",H92/SUM($S$21:$S$80))</f>
        <v/>
      </c>
      <c r="L92">
        <f>IF(I92="","",I92/SUM($T$21:$T$80))</f>
        <v/>
      </c>
      <c r="M92">
        <f>IF(J92="","",J92/SUM($U$21:$U$80))</f>
        <v/>
      </c>
      <c r="W92">
        <f>IFERROR(INDEX(MASTER_AREAS!$B:$B,91)&amp;"","")</f>
        <v/>
      </c>
      <c r="X92">
        <f>IF(OR(W92="",$B$10=0),0,COUNTIFS(DATA_WSF!$A:$A,$B$10,DATA_WSF!$C:$C,W92))</f>
        <v/>
      </c>
      <c r="Y92">
        <f>IF(X92=0,0,SUMIFS(DATA_WSF!$L:$L,DATA_WSF!$A:$A,$B$10,DATA_WSF!$C:$C,W92))</f>
        <v/>
      </c>
      <c r="Z92">
        <f>IF(OR(W92="",$B$10=0),0,SUMIFS(DATA_WSF!$L:$L,DATA_WSF!$A:$A,$B$10-7,DATA_WSF!$C:$C,W92))</f>
        <v/>
      </c>
      <c r="AA92">
        <f>IF(X92=0,0,SUMIFS(DATA_WSF!$E:$E,DATA_WSF!$A:$A,$B$10,DATA_WSF!$C:$C,W92))</f>
        <v/>
      </c>
      <c r="AB92">
        <f>IF(X92=0,0,SUMIFS(DATA_WSF!$F:$F,DATA_WSF!$A:$A,$B$10,DATA_WSF!$C:$C,W92))</f>
        <v/>
      </c>
      <c r="AC92">
        <f>IF(AA92=0,"",AB92/AA92)</f>
        <v/>
      </c>
      <c r="AD92">
        <f>IF(OR(X92=0,Z92=0),"",Y92/Z92-1)</f>
        <v/>
      </c>
      <c r="AE92">
        <f>IF(X92=0,"",Y92+ROW()/1000000)</f>
        <v/>
      </c>
      <c r="AF92">
        <f>IF(AC92="","",AC92+ROW()/1000000000)</f>
        <v/>
      </c>
      <c r="AG92">
        <f>IF(AD92="","",AD92+ROW()/1000000000)</f>
        <v/>
      </c>
    </row>
    <row r="93">
      <c r="A93" t="inlineStr">
        <is>
          <t>Female</t>
        </is>
      </c>
      <c r="B93">
        <f>IF($Q$21=0,"",H21)</f>
        <v/>
      </c>
      <c r="C93">
        <f>IF($Q$22=0,"",H22)</f>
        <v/>
      </c>
      <c r="D93">
        <f>IF(OR(B93="",C93=""),"",B93-C93)</f>
        <v/>
      </c>
      <c r="E93">
        <f>IF(OR(B93="",C93=""),"",IF(C93=0,"",B93/C93-1))</f>
        <v/>
      </c>
      <c r="F93">
        <f>IF(SUM($R$21:$R$80)=0,"",SUMPRODUCT($H$21:$H$80,$R$21:$R$80)/SUM($R$21:$R$80))</f>
        <v/>
      </c>
      <c r="G93">
        <f>IF(OR(B93="",F93=""),"",IF(F93=0,"",B93/F93-1))</f>
        <v/>
      </c>
      <c r="H93">
        <f>IF(SUM($S$21:$S$80)=0,"",SUMPRODUCT($H$21:$H$80,$S$21:$S$80))</f>
        <v/>
      </c>
      <c r="I93">
        <f>IF(SUM($T$21:$T$80)=0,"",SUMPRODUCT($H$21:$H$80,$T$21:$T$80))</f>
        <v/>
      </c>
      <c r="J93">
        <f>IF(SUM($U$21:$U$80)=0,"",SUMPRODUCT($H$21:$H$80,$U$21:$U$80))</f>
        <v/>
      </c>
      <c r="K93">
        <f>IF(H93="","",H93/SUM($S$21:$S$80))</f>
        <v/>
      </c>
      <c r="L93">
        <f>IF(I93="","",I93/SUM($T$21:$T$80))</f>
        <v/>
      </c>
      <c r="M93">
        <f>IF(J93="","",J93/SUM($U$21:$U$80))</f>
        <v/>
      </c>
      <c r="W93">
        <f>IFERROR(INDEX(MASTER_AREAS!$B:$B,92)&amp;"","")</f>
        <v/>
      </c>
      <c r="X93">
        <f>IF(OR(W93="",$B$10=0),0,COUNTIFS(DATA_WSF!$A:$A,$B$10,DATA_WSF!$C:$C,W93))</f>
        <v/>
      </c>
      <c r="Y93">
        <f>IF(X93=0,0,SUMIFS(DATA_WSF!$L:$L,DATA_WSF!$A:$A,$B$10,DATA_WSF!$C:$C,W93))</f>
        <v/>
      </c>
      <c r="Z93">
        <f>IF(OR(W93="",$B$10=0),0,SUMIFS(DATA_WSF!$L:$L,DATA_WSF!$A:$A,$B$10-7,DATA_WSF!$C:$C,W93))</f>
        <v/>
      </c>
      <c r="AA93">
        <f>IF(X93=0,0,SUMIFS(DATA_WSF!$E:$E,DATA_WSF!$A:$A,$B$10,DATA_WSF!$C:$C,W93))</f>
        <v/>
      </c>
      <c r="AB93">
        <f>IF(X93=0,0,SUMIFS(DATA_WSF!$F:$F,DATA_WSF!$A:$A,$B$10,DATA_WSF!$C:$C,W93))</f>
        <v/>
      </c>
      <c r="AC93">
        <f>IF(AA93=0,"",AB93/AA93)</f>
        <v/>
      </c>
      <c r="AD93">
        <f>IF(OR(X93=0,Z93=0),"",Y93/Z93-1)</f>
        <v/>
      </c>
      <c r="AE93">
        <f>IF(X93=0,"",Y93+ROW()/1000000)</f>
        <v/>
      </c>
      <c r="AF93">
        <f>IF(AC93="","",AC93+ROW()/1000000000)</f>
        <v/>
      </c>
      <c r="AG93">
        <f>IF(AD93="","",AD93+ROW()/1000000000)</f>
        <v/>
      </c>
    </row>
    <row r="94">
      <c r="A94" t="inlineStr">
        <is>
          <t>Children</t>
        </is>
      </c>
      <c r="B94">
        <f>IF($Q$21=0,"",I21)</f>
        <v/>
      </c>
      <c r="C94">
        <f>IF($Q$22=0,"",I22)</f>
        <v/>
      </c>
      <c r="D94">
        <f>IF(OR(B94="",C94=""),"",B94-C94)</f>
        <v/>
      </c>
      <c r="E94">
        <f>IF(OR(B94="",C94=""),"",IF(C94=0,"",B94/C94-1))</f>
        <v/>
      </c>
      <c r="F94">
        <f>IF(SUM($R$21:$R$80)=0,"",SUMPRODUCT($I$21:$I$80,$R$21:$R$80)/SUM($R$21:$R$80))</f>
        <v/>
      </c>
      <c r="G94">
        <f>IF(OR(B94="",F94=""),"",IF(F94=0,"",B94/F94-1))</f>
        <v/>
      </c>
      <c r="H94">
        <f>IF(SUM($S$21:$S$80)=0,"",SUMPRODUCT($I$21:$I$80,$S$21:$S$80))</f>
        <v/>
      </c>
      <c r="I94">
        <f>IF(SUM($T$21:$T$80)=0,"",SUMPRODUCT($I$21:$I$80,$T$21:$T$80))</f>
        <v/>
      </c>
      <c r="J94">
        <f>IF(SUM($U$21:$U$80)=0,"",SUMPRODUCT($I$21:$I$80,$U$21:$U$80))</f>
        <v/>
      </c>
      <c r="K94">
        <f>IF(H94="","",H94/SUM($S$21:$S$80))</f>
        <v/>
      </c>
      <c r="L94">
        <f>IF(I94="","",I94/SUM($T$21:$T$80))</f>
        <v/>
      </c>
      <c r="M94">
        <f>IF(J94="","",J94/SUM($U$21:$U$80))</f>
        <v/>
      </c>
      <c r="W94">
        <f>IFERROR(INDEX(MASTER_AREAS!$B:$B,93)&amp;"","")</f>
        <v/>
      </c>
      <c r="X94">
        <f>IF(OR(W94="",$B$10=0),0,COUNTIFS(DATA_WSF!$A:$A,$B$10,DATA_WSF!$C:$C,W94))</f>
        <v/>
      </c>
      <c r="Y94">
        <f>IF(X94=0,0,SUMIFS(DATA_WSF!$L:$L,DATA_WSF!$A:$A,$B$10,DATA_WSF!$C:$C,W94))</f>
        <v/>
      </c>
      <c r="Z94">
        <f>IF(OR(W94="",$B$10=0),0,SUMIFS(DATA_WSF!$L:$L,DATA_WSF!$A:$A,$B$10-7,DATA_WSF!$C:$C,W94))</f>
        <v/>
      </c>
      <c r="AA94">
        <f>IF(X94=0,0,SUMIFS(DATA_WSF!$E:$E,DATA_WSF!$A:$A,$B$10,DATA_WSF!$C:$C,W94))</f>
        <v/>
      </c>
      <c r="AB94">
        <f>IF(X94=0,0,SUMIFS(DATA_WSF!$F:$F,DATA_WSF!$A:$A,$B$10,DATA_WSF!$C:$C,W94))</f>
        <v/>
      </c>
      <c r="AC94">
        <f>IF(AA94=0,"",AB94/AA94)</f>
        <v/>
      </c>
      <c r="AD94">
        <f>IF(OR(X94=0,Z94=0),"",Y94/Z94-1)</f>
        <v/>
      </c>
      <c r="AE94">
        <f>IF(X94=0,"",Y94+ROW()/1000000)</f>
        <v/>
      </c>
      <c r="AF94">
        <f>IF(AC94="","",AC94+ROW()/1000000000)</f>
        <v/>
      </c>
      <c r="AG94">
        <f>IF(AD94="","",AD94+ROW()/1000000000)</f>
        <v/>
      </c>
    </row>
    <row r="95">
      <c r="A95" t="inlineStr">
        <is>
          <t>Operational cells</t>
        </is>
      </c>
      <c r="B95">
        <f>IF($Q$21=0,"",L21)</f>
        <v/>
      </c>
      <c r="C95">
        <f>IF($Q$22=0,"",L22)</f>
        <v/>
      </c>
      <c r="D95">
        <f>IF(OR(B95="",C95=""),"",B95-C95)</f>
        <v/>
      </c>
      <c r="E95">
        <f>IF(OR(B95="",C95=""),"",IF(C95=0,"",B95/C95-1))</f>
        <v/>
      </c>
      <c r="F95">
        <f>IF(SUM($R$21:$R$80)=0,"",SUMPRODUCT($L$21:$L$80,$R$21:$R$80)/SUM($R$21:$R$80))</f>
        <v/>
      </c>
      <c r="G95">
        <f>IF(OR(B95="",F95=""),"",IF(F95=0,"",B95/F95-1))</f>
        <v/>
      </c>
      <c r="H95">
        <f>IF(SUM($S$21:$S$80)=0,"",SUMPRODUCT($L$21:$L$80,$S$21:$S$80))</f>
        <v/>
      </c>
      <c r="I95">
        <f>IF(SUM($T$21:$T$80)=0,"",SUMPRODUCT($L$21:$L$80,$T$21:$T$80))</f>
        <v/>
      </c>
      <c r="J95">
        <f>IF(SUM($U$21:$U$80)=0,"",SUMPRODUCT($L$21:$L$80,$U$21:$U$80))</f>
        <v/>
      </c>
      <c r="K95">
        <f>IF(H95="","",H95/SUM($S$21:$S$80))</f>
        <v/>
      </c>
      <c r="L95">
        <f>IF(I95="","",I95/SUM($T$21:$T$80))</f>
        <v/>
      </c>
      <c r="M95">
        <f>IF(J95="","",J95/SUM($U$21:$U$80))</f>
        <v/>
      </c>
    </row>
    <row r="96">
      <c r="A96" t="inlineStr">
        <is>
          <t>Cells that reported</t>
        </is>
      </c>
      <c r="B96">
        <f>IF($Q$21=0,"",M21)</f>
        <v/>
      </c>
      <c r="C96">
        <f>IF($Q$22=0,"",M22)</f>
        <v/>
      </c>
      <c r="D96">
        <f>IF(OR(B96="",C96=""),"",B96-C96)</f>
        <v/>
      </c>
      <c r="E96">
        <f>IF(OR(B96="",C96=""),"",IF(C96=0,"",B96/C96-1))</f>
        <v/>
      </c>
      <c r="F96">
        <f>IF(SUM($R$21:$R$80)=0,"",SUMPRODUCT($M$21:$M$80,$R$21:$R$80)/SUM($R$21:$R$80))</f>
        <v/>
      </c>
      <c r="G96">
        <f>IF(OR(B96="",F96=""),"",IF(F96=0,"",B96/F96-1))</f>
        <v/>
      </c>
      <c r="H96">
        <f>IF(SUM($S$21:$S$80)=0,"",SUMPRODUCT($M$21:$M$80,$S$21:$S$80))</f>
        <v/>
      </c>
      <c r="I96">
        <f>IF(SUM($T$21:$T$80)=0,"",SUMPRODUCT($M$21:$M$80,$T$21:$T$80))</f>
        <v/>
      </c>
      <c r="J96">
        <f>IF(SUM($U$21:$U$80)=0,"",SUMPRODUCT($M$21:$M$80,$U$21:$U$80))</f>
        <v/>
      </c>
      <c r="K96">
        <f>IF(H96="","",H96/SUM($S$21:$S$80))</f>
        <v/>
      </c>
      <c r="L96">
        <f>IF(I96="","",I96/SUM($T$21:$T$80))</f>
        <v/>
      </c>
      <c r="M96">
        <f>IF(J96="","",J96/SUM($U$21:$U$80))</f>
        <v/>
      </c>
    </row>
    <row r="97">
      <c r="A97" t="inlineStr">
        <is>
          <t>Cells with no report</t>
        </is>
      </c>
      <c r="B97">
        <f>IF($Q$21=0,"",N21)</f>
        <v/>
      </c>
      <c r="C97">
        <f>IF($Q$22=0,"",N22)</f>
        <v/>
      </c>
      <c r="D97">
        <f>IF(OR(B97="",C97=""),"",B97-C97)</f>
        <v/>
      </c>
      <c r="E97">
        <f>IF(OR(B97="",C97=""),"",IF(C97=0,"",B97/C97-1))</f>
        <v/>
      </c>
      <c r="F97">
        <f>IF(SUM($R$21:$R$80)=0,"",SUMPRODUCT($N$21:$N$80,$R$21:$R$80)/SUM($R$21:$R$80))</f>
        <v/>
      </c>
      <c r="G97">
        <f>IF(OR(B97="",F97=""),"",IF(F97=0,"",B97/F97-1))</f>
        <v/>
      </c>
      <c r="H97">
        <f>IF(SUM($S$21:$S$80)=0,"",SUMPRODUCT($N$21:$N$80,$S$21:$S$80))</f>
        <v/>
      </c>
      <c r="I97">
        <f>IF(SUM($T$21:$T$80)=0,"",SUMPRODUCT($N$21:$N$80,$T$21:$T$80))</f>
        <v/>
      </c>
      <c r="J97">
        <f>IF(SUM($U$21:$U$80)=0,"",SUMPRODUCT($N$21:$N$80,$U$21:$U$80))</f>
        <v/>
      </c>
      <c r="K97">
        <f>IF(H97="","",H97/SUM($S$21:$S$80))</f>
        <v/>
      </c>
      <c r="L97">
        <f>IF(I97="","",I97/SUM($T$21:$T$80))</f>
        <v/>
      </c>
      <c r="M97">
        <f>IF(J97="","",J97/SUM($U$21:$U$80))</f>
        <v/>
      </c>
    </row>
    <row r="98">
      <c r="A98" t="inlineStr">
        <is>
          <t>% cells reporting</t>
        </is>
      </c>
      <c r="B98">
        <f>IF(OR($Q$21=0,L21=0),"",M21/L21)</f>
        <v/>
      </c>
      <c r="C98">
        <f>IF(OR($Q$22=0,L22=0),"",M22/L22)</f>
        <v/>
      </c>
      <c r="D98">
        <f>IF(OR(B98="",C98=""),"",B98-C98)</f>
        <v/>
      </c>
      <c r="E98">
        <f>IF(OR(B98="",C98=""),"",IF(C98=0,"",B98/C98-1))</f>
        <v/>
      </c>
      <c r="F98">
        <f>IF(SUMPRODUCT($L$21:$L$80,$R$21:$R$80)=0,"",SUMPRODUCT($M$21:$M$80,$R$21:$R$80)/SUMPRODUCT($L$21:$L$80,$R$21:$R$80))</f>
        <v/>
      </c>
      <c r="G98">
        <f>IF(OR(B98="",F98=""),"",IF(F98=0,"",B98/F98-1))</f>
        <v/>
      </c>
      <c r="H98">
        <f>IF(SUMPRODUCT($L$21:$L$80,$S$21:$S$80)=0,"",SUMPRODUCT($M$21:$M$80,$S$21:$S$80)/SUMPRODUCT($L$21:$L$80,$S$21:$S$80))</f>
        <v/>
      </c>
      <c r="I98">
        <f>IF(SUMPRODUCT($L$21:$L$80,$T$21:$T$80)=0,"",SUMPRODUCT($M$21:$M$80,$T$21:$T$80)/SUMPRODUCT($L$21:$L$80,$T$21:$T$80))</f>
        <v/>
      </c>
      <c r="J98">
        <f>IF(SUMPRODUCT($L$21:$L$80,$U$21:$U$80)=0,"",SUMPRODUCT($M$21:$M$80,$U$21:$U$80)/SUMPRODUCT($L$21:$L$80,$U$21:$U$80))</f>
        <v/>
      </c>
      <c r="K98">
        <f>H98</f>
        <v/>
      </c>
      <c r="L98">
        <f>I98</f>
        <v/>
      </c>
      <c r="M98">
        <f>J98</f>
        <v/>
      </c>
    </row>
    <row r="99">
      <c r="A99" t="inlineStr">
        <is>
          <t>Reporting : non-reporting</t>
        </is>
      </c>
      <c r="B99">
        <f>IF(OR($Q$21=0,N21=0),"",M21/N21)</f>
        <v/>
      </c>
      <c r="C99">
        <f>IF(OR($Q$22=0,N22=0),"",M22/N22)</f>
        <v/>
      </c>
      <c r="D99">
        <f>IF(OR(B99="",C99=""),"",B99-C99)</f>
        <v/>
      </c>
      <c r="E99">
        <f>IF(OR(B99="",C99=""),"",IF(C99=0,"",B99/C99-1))</f>
        <v/>
      </c>
      <c r="F99">
        <f>IF(SUMPRODUCT($N$21:$N$80,$R$21:$R$80)=0,"",SUMPRODUCT($M$21:$M$80,$R$21:$R$80)/SUMPRODUCT($N$21:$N$80,$R$21:$R$80))</f>
        <v/>
      </c>
      <c r="G99">
        <f>IF(OR(B99="",F99=""),"",IF(F99=0,"",B99/F99-1))</f>
        <v/>
      </c>
      <c r="H99">
        <f>IF(SUMPRODUCT($N$21:$N$80,$S$21:$S$80)=0,"",SUMPRODUCT($M$21:$M$80,$S$21:$S$80)/SUMPRODUCT($N$21:$N$80,$S$21:$S$80))</f>
        <v/>
      </c>
      <c r="I99">
        <f>IF(SUMPRODUCT($N$21:$N$80,$T$21:$T$80)=0,"",SUMPRODUCT($M$21:$M$80,$T$21:$T$80)/SUMPRODUCT($N$21:$N$80,$T$21:$T$80))</f>
        <v/>
      </c>
      <c r="J99">
        <f>IF(SUMPRODUCT($N$21:$N$80,$U$21:$U$80)=0,"",SUMPRODUCT($M$21:$M$80,$U$21:$U$80)/SUMPRODUCT($N$21:$N$80,$U$21:$U$80))</f>
        <v/>
      </c>
      <c r="K99">
        <f>H99</f>
        <v/>
      </c>
      <c r="L99">
        <f>I99</f>
        <v/>
      </c>
      <c r="M99">
        <f>J99</f>
        <v/>
      </c>
    </row>
    <row r="100">
      <c r="A100" t="inlineStr">
        <is>
          <t>Avg attendance per reporting cell</t>
        </is>
      </c>
      <c r="B100">
        <f>IF(OR($Q$21=0,M21=0),"",K21/M21)</f>
        <v/>
      </c>
      <c r="C100">
        <f>IF(OR($Q$22=0,M22=0),"",K22/M22)</f>
        <v/>
      </c>
      <c r="D100">
        <f>IF(OR(B100="",C100=""),"",B100-C100)</f>
        <v/>
      </c>
      <c r="E100">
        <f>IF(OR(B100="",C100=""),"",IF(C100=0,"",B100/C100-1))</f>
        <v/>
      </c>
      <c r="F100">
        <f>IF(SUMPRODUCT($M$21:$M$80,$R$21:$R$80)=0,"",SUMPRODUCT($K$21:$K$80,$R$21:$R$80)/SUMPRODUCT($M$21:$M$80,$R$21:$R$80))</f>
        <v/>
      </c>
      <c r="G100">
        <f>IF(OR(B100="",F100=""),"",IF(F100=0,"",B100/F100-1))</f>
        <v/>
      </c>
      <c r="H100">
        <f>IF(SUMPRODUCT($M$21:$M$80,$S$21:$S$80)=0,"",SUMPRODUCT($K$21:$K$80,$S$21:$S$80)/SUMPRODUCT($M$21:$M$80,$S$21:$S$80))</f>
        <v/>
      </c>
      <c r="I100">
        <f>IF(SUMPRODUCT($M$21:$M$80,$T$21:$T$80)=0,"",SUMPRODUCT($K$21:$K$80,$T$21:$T$80)/SUMPRODUCT($M$21:$M$80,$T$21:$T$80))</f>
        <v/>
      </c>
      <c r="J100">
        <f>IF(SUMPRODUCT($M$21:$M$80,$U$21:$U$80)=0,"",SUMPRODUCT($K$21:$K$80,$U$21:$U$80)/SUMPRODUCT($M$21:$M$80,$U$21:$U$80))</f>
        <v/>
      </c>
      <c r="K100">
        <f>H100</f>
        <v/>
      </c>
      <c r="L100">
        <f>I100</f>
        <v/>
      </c>
      <c r="M100">
        <f>J100</f>
        <v/>
      </c>
    </row>
    <row r="104">
      <c r="A104" t="inlineStr">
        <is>
          <t>Week</t>
        </is>
      </c>
      <c r="B104" t="inlineStr">
        <is>
          <t>Male</t>
        </is>
      </c>
      <c r="C104" t="inlineStr">
        <is>
          <t>Female</t>
        </is>
      </c>
      <c r="D104" t="inlineStr">
        <is>
          <t>Children</t>
        </is>
      </c>
      <c r="E104" t="inlineStr">
        <is>
          <t>% reporting</t>
        </is>
      </c>
    </row>
    <row r="105">
      <c r="A105">
        <f>IF(B33="","",TEXT(B33,"dd mmm"))</f>
        <v/>
      </c>
      <c r="B105">
        <f>G33</f>
        <v/>
      </c>
      <c r="C105">
        <f>H33</f>
        <v/>
      </c>
      <c r="D105">
        <f>I33</f>
        <v/>
      </c>
      <c r="E105">
        <f>O33</f>
        <v/>
      </c>
    </row>
    <row r="106">
      <c r="A106">
        <f>IF(B32="","",TEXT(B32,"dd mmm"))</f>
        <v/>
      </c>
      <c r="B106">
        <f>G32</f>
        <v/>
      </c>
      <c r="C106">
        <f>H32</f>
        <v/>
      </c>
      <c r="D106">
        <f>I32</f>
        <v/>
      </c>
      <c r="E106">
        <f>O32</f>
        <v/>
      </c>
    </row>
    <row r="107">
      <c r="A107">
        <f>IF(B31="","",TEXT(B31,"dd mmm"))</f>
        <v/>
      </c>
      <c r="B107">
        <f>G31</f>
        <v/>
      </c>
      <c r="C107">
        <f>H31</f>
        <v/>
      </c>
      <c r="D107">
        <f>I31</f>
        <v/>
      </c>
      <c r="E107">
        <f>O31</f>
        <v/>
      </c>
    </row>
    <row r="108">
      <c r="A108">
        <f>IF(B30="","",TEXT(B30,"dd mmm"))</f>
        <v/>
      </c>
      <c r="B108">
        <f>G30</f>
        <v/>
      </c>
      <c r="C108">
        <f>H30</f>
        <v/>
      </c>
      <c r="D108">
        <f>I30</f>
        <v/>
      </c>
      <c r="E108">
        <f>O30</f>
        <v/>
      </c>
    </row>
    <row r="109">
      <c r="A109">
        <f>IF(B29="","",TEXT(B29,"dd mmm"))</f>
        <v/>
      </c>
      <c r="B109">
        <f>G29</f>
        <v/>
      </c>
      <c r="C109">
        <f>H29</f>
        <v/>
      </c>
      <c r="D109">
        <f>I29</f>
        <v/>
      </c>
      <c r="E109">
        <f>O29</f>
        <v/>
      </c>
    </row>
    <row r="110">
      <c r="A110">
        <f>IF(B28="","",TEXT(B28,"dd mmm"))</f>
        <v/>
      </c>
      <c r="B110">
        <f>G28</f>
        <v/>
      </c>
      <c r="C110">
        <f>H28</f>
        <v/>
      </c>
      <c r="D110">
        <f>I28</f>
        <v/>
      </c>
      <c r="E110">
        <f>O28</f>
        <v/>
      </c>
    </row>
    <row r="111">
      <c r="A111">
        <f>IF(B27="","",TEXT(B27,"dd mmm"))</f>
        <v/>
      </c>
      <c r="B111">
        <f>G27</f>
        <v/>
      </c>
      <c r="C111">
        <f>H27</f>
        <v/>
      </c>
      <c r="D111">
        <f>I27</f>
        <v/>
      </c>
      <c r="E111">
        <f>O27</f>
        <v/>
      </c>
    </row>
    <row r="112">
      <c r="A112">
        <f>IF(B26="","",TEXT(B26,"dd mmm"))</f>
        <v/>
      </c>
      <c r="B112">
        <f>G26</f>
        <v/>
      </c>
      <c r="C112">
        <f>H26</f>
        <v/>
      </c>
      <c r="D112">
        <f>I26</f>
        <v/>
      </c>
      <c r="E112">
        <f>O26</f>
        <v/>
      </c>
    </row>
    <row r="113">
      <c r="A113">
        <f>IF(B25="","",TEXT(B25,"dd mmm"))</f>
        <v/>
      </c>
      <c r="B113">
        <f>G25</f>
        <v/>
      </c>
      <c r="C113">
        <f>H25</f>
        <v/>
      </c>
      <c r="D113">
        <f>I25</f>
        <v/>
      </c>
      <c r="E113">
        <f>O25</f>
        <v/>
      </c>
    </row>
    <row r="114">
      <c r="A114">
        <f>IF(B24="","",TEXT(B24,"dd mmm"))</f>
        <v/>
      </c>
      <c r="B114">
        <f>G24</f>
        <v/>
      </c>
      <c r="C114">
        <f>H24</f>
        <v/>
      </c>
      <c r="D114">
        <f>I24</f>
        <v/>
      </c>
      <c r="E114">
        <f>O24</f>
        <v/>
      </c>
    </row>
    <row r="115">
      <c r="A115">
        <f>IF(B23="","",TEXT(B23,"dd mmm"))</f>
        <v/>
      </c>
      <c r="B115">
        <f>G23</f>
        <v/>
      </c>
      <c r="C115">
        <f>H23</f>
        <v/>
      </c>
      <c r="D115">
        <f>I23</f>
        <v/>
      </c>
      <c r="E115">
        <f>O23</f>
        <v/>
      </c>
    </row>
    <row r="116">
      <c r="A116">
        <f>IF(B22="","",TEXT(B22,"dd mmm"))</f>
        <v/>
      </c>
      <c r="B116">
        <f>G22</f>
        <v/>
      </c>
      <c r="C116">
        <f>H22</f>
        <v/>
      </c>
      <c r="D116">
        <f>I22</f>
        <v/>
      </c>
      <c r="E116">
        <f>O22</f>
        <v/>
      </c>
    </row>
    <row r="117">
      <c r="A117">
        <f>IF(B21="","",TEXT(B21,"dd mmm"))</f>
        <v/>
      </c>
      <c r="B117">
        <f>G21</f>
        <v/>
      </c>
      <c r="C117">
        <f>H21</f>
        <v/>
      </c>
      <c r="D117">
        <f>I21</f>
        <v/>
      </c>
      <c r="E117">
        <f>O21</f>
        <v/>
      </c>
    </row>
    <row r="120">
      <c r="A120" t="inlineStr">
        <is>
          <t>Week</t>
        </is>
      </c>
      <c r="B120" t="inlineStr">
        <is>
          <t>Grand total</t>
        </is>
      </c>
    </row>
    <row r="121">
      <c r="A121">
        <f>IF(B72="","",TEXT(B72,"dd mmm yy"))</f>
        <v/>
      </c>
      <c r="B121">
        <f>K72</f>
        <v/>
      </c>
    </row>
    <row r="122">
      <c r="A122">
        <f>IF(B71="","",TEXT(B71,"dd mmm yy"))</f>
        <v/>
      </c>
      <c r="B122">
        <f>K71</f>
        <v/>
      </c>
    </row>
    <row r="123">
      <c r="A123">
        <f>IF(B70="","",TEXT(B70,"dd mmm yy"))</f>
        <v/>
      </c>
      <c r="B123">
        <f>K70</f>
        <v/>
      </c>
    </row>
    <row r="124">
      <c r="A124">
        <f>IF(B69="","",TEXT(B69,"dd mmm yy"))</f>
        <v/>
      </c>
      <c r="B124">
        <f>K69</f>
        <v/>
      </c>
    </row>
    <row r="125">
      <c r="A125">
        <f>IF(B68="","",TEXT(B68,"dd mmm yy"))</f>
        <v/>
      </c>
      <c r="B125">
        <f>K68</f>
        <v/>
      </c>
    </row>
    <row r="126">
      <c r="A126">
        <f>IF(B67="","",TEXT(B67,"dd mmm yy"))</f>
        <v/>
      </c>
      <c r="B126">
        <f>K67</f>
        <v/>
      </c>
    </row>
    <row r="127">
      <c r="A127">
        <f>IF(B66="","",TEXT(B66,"dd mmm yy"))</f>
        <v/>
      </c>
      <c r="B127">
        <f>K66</f>
        <v/>
      </c>
    </row>
    <row r="128">
      <c r="A128">
        <f>IF(B65="","",TEXT(B65,"dd mmm yy"))</f>
        <v/>
      </c>
      <c r="B128">
        <f>K65</f>
        <v/>
      </c>
    </row>
    <row r="129">
      <c r="A129">
        <f>IF(B64="","",TEXT(B64,"dd mmm yy"))</f>
        <v/>
      </c>
      <c r="B129">
        <f>K64</f>
        <v/>
      </c>
    </row>
    <row r="130">
      <c r="A130">
        <f>IF(B63="","",TEXT(B63,"dd mmm yy"))</f>
        <v/>
      </c>
      <c r="B130">
        <f>K63</f>
        <v/>
      </c>
    </row>
    <row r="131">
      <c r="A131">
        <f>IF(B62="","",TEXT(B62,"dd mmm yy"))</f>
        <v/>
      </c>
      <c r="B131">
        <f>K62</f>
        <v/>
      </c>
    </row>
    <row r="132">
      <c r="A132">
        <f>IF(B61="","",TEXT(B61,"dd mmm yy"))</f>
        <v/>
      </c>
      <c r="B132">
        <f>K61</f>
        <v/>
      </c>
    </row>
    <row r="133">
      <c r="A133">
        <f>IF(B60="","",TEXT(B60,"dd mmm yy"))</f>
        <v/>
      </c>
      <c r="B133">
        <f>K60</f>
        <v/>
      </c>
    </row>
    <row r="134">
      <c r="A134">
        <f>IF(B59="","",TEXT(B59,"dd mmm yy"))</f>
        <v/>
      </c>
      <c r="B134">
        <f>K59</f>
        <v/>
      </c>
    </row>
    <row r="135">
      <c r="A135">
        <f>IF(B58="","",TEXT(B58,"dd mmm yy"))</f>
        <v/>
      </c>
      <c r="B135">
        <f>K58</f>
        <v/>
      </c>
    </row>
    <row r="136">
      <c r="A136">
        <f>IF(B57="","",TEXT(B57,"dd mmm yy"))</f>
        <v/>
      </c>
      <c r="B136">
        <f>K57</f>
        <v/>
      </c>
    </row>
    <row r="137">
      <c r="A137">
        <f>IF(B56="","",TEXT(B56,"dd mmm yy"))</f>
        <v/>
      </c>
      <c r="B137">
        <f>K56</f>
        <v/>
      </c>
    </row>
    <row r="138">
      <c r="A138">
        <f>IF(B55="","",TEXT(B55,"dd mmm yy"))</f>
        <v/>
      </c>
      <c r="B138">
        <f>K55</f>
        <v/>
      </c>
    </row>
    <row r="139">
      <c r="A139">
        <f>IF(B54="","",TEXT(B54,"dd mmm yy"))</f>
        <v/>
      </c>
      <c r="B139">
        <f>K54</f>
        <v/>
      </c>
    </row>
    <row r="140">
      <c r="A140">
        <f>IF(B53="","",TEXT(B53,"dd mmm yy"))</f>
        <v/>
      </c>
      <c r="B140">
        <f>K53</f>
        <v/>
      </c>
    </row>
    <row r="141">
      <c r="A141">
        <f>IF(B52="","",TEXT(B52,"dd mmm yy"))</f>
        <v/>
      </c>
      <c r="B141">
        <f>K52</f>
        <v/>
      </c>
    </row>
    <row r="142">
      <c r="A142">
        <f>IF(B51="","",TEXT(B51,"dd mmm yy"))</f>
        <v/>
      </c>
      <c r="B142">
        <f>K51</f>
        <v/>
      </c>
    </row>
    <row r="143">
      <c r="A143">
        <f>IF(B50="","",TEXT(B50,"dd mmm yy"))</f>
        <v/>
      </c>
      <c r="B143">
        <f>K50</f>
        <v/>
      </c>
    </row>
    <row r="144">
      <c r="A144">
        <f>IF(B49="","",TEXT(B49,"dd mmm yy"))</f>
        <v/>
      </c>
      <c r="B144">
        <f>K49</f>
        <v/>
      </c>
    </row>
    <row r="145">
      <c r="A145">
        <f>IF(B48="","",TEXT(B48,"dd mmm yy"))</f>
        <v/>
      </c>
      <c r="B145">
        <f>K48</f>
        <v/>
      </c>
    </row>
    <row r="146">
      <c r="A146">
        <f>IF(B47="","",TEXT(B47,"dd mmm yy"))</f>
        <v/>
      </c>
      <c r="B146">
        <f>K47</f>
        <v/>
      </c>
    </row>
    <row r="147">
      <c r="A147">
        <f>IF(B46="","",TEXT(B46,"dd mmm yy"))</f>
        <v/>
      </c>
      <c r="B147">
        <f>K46</f>
        <v/>
      </c>
    </row>
    <row r="148">
      <c r="A148">
        <f>IF(B45="","",TEXT(B45,"dd mmm yy"))</f>
        <v/>
      </c>
      <c r="B148">
        <f>K45</f>
        <v/>
      </c>
    </row>
    <row r="149">
      <c r="A149">
        <f>IF(B44="","",TEXT(B44,"dd mmm yy"))</f>
        <v/>
      </c>
      <c r="B149">
        <f>K44</f>
        <v/>
      </c>
    </row>
    <row r="150">
      <c r="A150">
        <f>IF(B43="","",TEXT(B43,"dd mmm yy"))</f>
        <v/>
      </c>
      <c r="B150">
        <f>K43</f>
        <v/>
      </c>
    </row>
    <row r="151">
      <c r="A151">
        <f>IF(B42="","",TEXT(B42,"dd mmm yy"))</f>
        <v/>
      </c>
      <c r="B151">
        <f>K42</f>
        <v/>
      </c>
    </row>
    <row r="152">
      <c r="A152">
        <f>IF(B41="","",TEXT(B41,"dd mmm yy"))</f>
        <v/>
      </c>
      <c r="B152">
        <f>K41</f>
        <v/>
      </c>
    </row>
    <row r="153">
      <c r="A153">
        <f>IF(B40="","",TEXT(B40,"dd mmm yy"))</f>
        <v/>
      </c>
      <c r="B153">
        <f>K40</f>
        <v/>
      </c>
    </row>
    <row r="154">
      <c r="A154">
        <f>IF(B39="","",TEXT(B39,"dd mmm yy"))</f>
        <v/>
      </c>
      <c r="B154">
        <f>K39</f>
        <v/>
      </c>
    </row>
    <row r="155">
      <c r="A155">
        <f>IF(B38="","",TEXT(B38,"dd mmm yy"))</f>
        <v/>
      </c>
      <c r="B155">
        <f>K38</f>
        <v/>
      </c>
    </row>
    <row r="156">
      <c r="A156">
        <f>IF(B37="","",TEXT(B37,"dd mmm yy"))</f>
        <v/>
      </c>
      <c r="B156">
        <f>K37</f>
        <v/>
      </c>
    </row>
    <row r="157">
      <c r="A157">
        <f>IF(B36="","",TEXT(B36,"dd mmm yy"))</f>
        <v/>
      </c>
      <c r="B157">
        <f>K36</f>
        <v/>
      </c>
    </row>
    <row r="158">
      <c r="A158">
        <f>IF(B35="","",TEXT(B35,"dd mmm yy"))</f>
        <v/>
      </c>
      <c r="B158">
        <f>K35</f>
        <v/>
      </c>
    </row>
    <row r="159">
      <c r="A159">
        <f>IF(B34="","",TEXT(B34,"dd mmm yy"))</f>
        <v/>
      </c>
      <c r="B159">
        <f>K34</f>
        <v/>
      </c>
    </row>
    <row r="160">
      <c r="A160">
        <f>IF(B33="","",TEXT(B33,"dd mmm yy"))</f>
        <v/>
      </c>
      <c r="B160">
        <f>K33</f>
        <v/>
      </c>
    </row>
    <row r="161">
      <c r="A161">
        <f>IF(B32="","",TEXT(B32,"dd mmm yy"))</f>
        <v/>
      </c>
      <c r="B161">
        <f>K32</f>
        <v/>
      </c>
    </row>
    <row r="162">
      <c r="A162">
        <f>IF(B31="","",TEXT(B31,"dd mmm yy"))</f>
        <v/>
      </c>
      <c r="B162">
        <f>K31</f>
        <v/>
      </c>
    </row>
    <row r="163">
      <c r="A163">
        <f>IF(B30="","",TEXT(B30,"dd mmm yy"))</f>
        <v/>
      </c>
      <c r="B163">
        <f>K30</f>
        <v/>
      </c>
    </row>
    <row r="164">
      <c r="A164">
        <f>IF(B29="","",TEXT(B29,"dd mmm yy"))</f>
        <v/>
      </c>
      <c r="B164">
        <f>K29</f>
        <v/>
      </c>
    </row>
    <row r="165">
      <c r="A165">
        <f>IF(B28="","",TEXT(B28,"dd mmm yy"))</f>
        <v/>
      </c>
      <c r="B165">
        <f>K28</f>
        <v/>
      </c>
    </row>
    <row r="166">
      <c r="A166">
        <f>IF(B27="","",TEXT(B27,"dd mmm yy"))</f>
        <v/>
      </c>
      <c r="B166">
        <f>K27</f>
        <v/>
      </c>
    </row>
    <row r="167">
      <c r="A167">
        <f>IF(B26="","",TEXT(B26,"dd mmm yy"))</f>
        <v/>
      </c>
      <c r="B167">
        <f>K26</f>
        <v/>
      </c>
    </row>
    <row r="168">
      <c r="A168">
        <f>IF(B25="","",TEXT(B25,"dd mmm yy"))</f>
        <v/>
      </c>
      <c r="B168">
        <f>K25</f>
        <v/>
      </c>
    </row>
    <row r="169">
      <c r="A169">
        <f>IF(B24="","",TEXT(B24,"dd mmm yy"))</f>
        <v/>
      </c>
      <c r="B169">
        <f>K24</f>
        <v/>
      </c>
    </row>
    <row r="170">
      <c r="A170">
        <f>IF(B23="","",TEXT(B23,"dd mmm yy"))</f>
        <v/>
      </c>
      <c r="B170">
        <f>K23</f>
        <v/>
      </c>
    </row>
    <row r="171">
      <c r="A171">
        <f>IF(B22="","",TEXT(B22,"dd mmm yy"))</f>
        <v/>
      </c>
      <c r="B171">
        <f>K22</f>
        <v/>
      </c>
    </row>
    <row r="172">
      <c r="A172">
        <f>IF(B21="","",TEXT(B21,"dd mmm yy"))</f>
        <v/>
      </c>
      <c r="B172">
        <f>K21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T138"/>
  <sheetViews>
    <sheetView tabSelected="0" workbookViewId="0">
      <selection activeCell="A1" sqref="A1"/>
    </sheetView>
  </sheetViews>
  <sheetFormatPr baseColWidth="8" defaultRowHeight="15"/>
  <sheetData>
    <row r="1">
      <c r="A1" s="186" t="inlineStr">
        <is>
          <t>CALC_TRANSPORT — helper calculations for the TRANSPORT DASHBOARD (hidden; do not edit)</t>
        </is>
      </c>
      <c r="BO1">
        <f>COUNT(DATA_TRANSPORT!$AC:$AC)</f>
        <v/>
      </c>
    </row>
    <row r="2">
      <c r="AE2" t="inlineStr">
        <is>
          <t>Area</t>
        </is>
      </c>
      <c r="AF2" t="inlineStr">
        <is>
          <t>Riders</t>
        </is>
      </c>
      <c r="AG2" t="inlineStr">
        <is>
          <t>Buses ran</t>
        </is>
      </c>
      <c r="AH2" t="inlineStr">
        <is>
          <t>Seats</t>
        </is>
      </c>
      <c r="AI2" t="inlineStr">
        <is>
          <t>Riders w/ seats</t>
        </is>
      </c>
      <c r="AJ2" t="inlineStr">
        <is>
          <t>Utilisation</t>
        </is>
      </c>
      <c r="AK2" t="inlineStr">
        <is>
          <t>Spend</t>
        </is>
      </c>
      <c r="AL2" t="inlineStr">
        <is>
          <t>Cost/rider</t>
        </is>
      </c>
      <c r="AM2" t="inlineStr">
        <is>
          <t>FT cost</t>
        </is>
      </c>
      <c r="AN2" t="inlineStr">
        <is>
          <t>FT budget</t>
        </is>
      </c>
      <c r="AO2" t="inlineStr">
        <is>
          <t>FT over budget</t>
        </is>
      </c>
      <c r="AP2" t="inlineStr">
        <is>
          <t>FT buses in church</t>
        </is>
      </c>
      <c r="AQ2" t="inlineStr">
        <is>
          <t>Buses allocated</t>
        </is>
      </c>
      <c r="AR2" t="inlineStr">
        <is>
          <t>Breakdowns</t>
        </is>
      </c>
      <c r="AS2" t="inlineStr">
        <is>
          <t>Util wk-1</t>
        </is>
      </c>
      <c r="AT2" t="inlineStr">
        <is>
          <t>Util wk-2</t>
        </is>
      </c>
      <c r="AU2" t="inlineStr">
        <is>
          <t>Util wk-3</t>
        </is>
      </c>
      <c r="AV2" t="inlineStr">
        <is>
          <t>Weeks under UtilLow</t>
        </is>
      </c>
      <c r="AW2" t="inlineStr">
        <is>
          <t>Flag</t>
        </is>
      </c>
      <c r="AX2" t="inlineStr">
        <is>
          <t>Score util</t>
        </is>
      </c>
      <c r="AY2" t="inlineStr">
        <is>
          <t>Score cpr</t>
        </is>
      </c>
      <c r="AZ2" t="inlineStr">
        <is>
          <t>Score over</t>
        </is>
      </c>
      <c r="BA2" t="inlineStr">
        <is>
          <t>Score riders</t>
        </is>
      </c>
      <c r="BB2" t="inlineStr">
        <is>
          <t>Flag row</t>
        </is>
      </c>
      <c r="BD2" t="inlineStr">
        <is>
          <t>demand name</t>
        </is>
      </c>
      <c r="BE2" t="inlineStr">
        <is>
          <t>demand value</t>
        </is>
      </c>
      <c r="BF2" t="inlineStr">
        <is>
          <t>low name</t>
        </is>
      </c>
      <c r="BG2" t="inlineStr">
        <is>
          <t>low value</t>
        </is>
      </c>
      <c r="BH2" t="inlineStr">
        <is>
          <t>cpr name</t>
        </is>
      </c>
      <c r="BI2" t="inlineStr">
        <is>
          <t>cpr value</t>
        </is>
      </c>
      <c r="BJ2" t="inlineStr">
        <is>
          <t>over name</t>
        </is>
      </c>
      <c r="BK2" t="inlineStr">
        <is>
          <t>over value</t>
        </is>
      </c>
      <c r="BL2" t="inlineStr">
        <is>
          <t>riders name</t>
        </is>
      </c>
      <c r="BM2" t="inlineStr">
        <is>
          <t>riders value</t>
        </is>
      </c>
      <c r="BN2" t="inlineStr">
        <is>
          <t>flags</t>
        </is>
      </c>
      <c r="BO2" t="inlineStr">
        <is>
          <t>row</t>
        </is>
      </c>
      <c r="BP2" t="inlineStr">
        <is>
          <t>Area</t>
        </is>
      </c>
      <c r="BQ2" t="inlineStr">
        <is>
          <t>Category</t>
        </is>
      </c>
      <c r="BR2" t="inlineStr">
        <is>
          <t>Location / bus</t>
        </is>
      </c>
      <c r="BS2" t="inlineStr">
        <is>
          <t>Note</t>
        </is>
      </c>
      <c r="BT2" t="inlineStr">
        <is>
          <t>Details</t>
        </is>
      </c>
    </row>
    <row r="3">
      <c r="A3" t="inlineStr">
        <is>
          <t>Scope</t>
        </is>
      </c>
      <c r="B3">
        <f>'TRANSPORT DASHBOARD'!B4</f>
        <v/>
      </c>
      <c r="AE3">
        <f>IFERROR(INDEX(MASTER_AREAS!$B:$B,2)&amp;"","")</f>
        <v/>
      </c>
      <c r="AF3">
        <f>IF(OR(AE3="",$B$10=0),0,SUMIFS(DATA_TRANSPORT!$Q:$Q,DATA_TRANSPORT!$A:$A,$B$10,DATA_TRANSPORT!$E:$E,AE3))</f>
        <v/>
      </c>
      <c r="AG3">
        <f>IF(OR(AE3="",$B$10=0),0,SUMIFS(DATA_TRANSPORT!$I:$I,DATA_TRANSPORT!$A:$A,$B$10,DATA_TRANSPORT!$E:$E,AE3,DATA_TRANSPORT!$U:$U,"Ran"))</f>
        <v/>
      </c>
      <c r="AH3">
        <f>IF(OR(AE3="",$B$10=0),0,SUMIFS(DATA_TRANSPORT!$L:$L,DATA_TRANSPORT!$A:$A,$B$10,DATA_TRANSPORT!$E:$E,AE3))</f>
        <v/>
      </c>
      <c r="AI3">
        <f>IF(OR(AE3="",$B$10=0),0,SUMIFS(DATA_TRANSPORT!$R:$R,DATA_TRANSPORT!$A:$A,$B$10,DATA_TRANSPORT!$E:$E,AE3))</f>
        <v/>
      </c>
      <c r="AJ3">
        <f>IF(AH3=0,"",AI3/AH3)</f>
        <v/>
      </c>
      <c r="AK3">
        <f>IF(OR(AE3="",$B$10=0),0,SUMIFS(DATA_TRANSPORT!$S:$S,DATA_TRANSPORT!$A:$A,$B$10,DATA_TRANSPORT!$E:$E,AE3))+IF(OR(AE3="",$B$10=0),0,SUMIFS(DATA_TRANSPORT_COSTS!$M:$M,DATA_TRANSPORT_COSTS!$A:$A,$B$10,DATA_TRANSPORT_COSTS!$D:$D,AE3))</f>
        <v/>
      </c>
      <c r="AL3">
        <f>IF(OR(AF3=0,AK3=0),"",AK3/AF3)</f>
        <v/>
      </c>
      <c r="AM3">
        <f>IF(OR(AE3="",$B$10=0),0,SUMIFS(DATA_TRANSPORT!$S:$S,DATA_TRANSPORT!$A:$A,$B$10,DATA_TRANSPORT!$E:$E,AE3,DATA_TRANSPORT!$C:$C,"FT Procured"))</f>
        <v/>
      </c>
      <c r="AN3">
        <f>IF(OR(AE3="",$B$10=0),0,SUMIFS(DATA_TRANSPORT_BUDGET!$G:$G,DATA_TRANSPORT_BUDGET!$A:$A,$B$10,DATA_TRANSPORT_BUDGET!$D:$D,AE3))</f>
        <v/>
      </c>
      <c r="AO3">
        <f>IF(AN3=0,"",AM3-AN3)</f>
        <v/>
      </c>
      <c r="AP3">
        <f>IF(OR(AE3="",$B$10=0),0,COUNTIFS(DATA_TRANSPORT!$A:$A,$B$10,DATA_TRANSPORT!$E:$E,AE3,DATA_TRANSPORT!$C:$C,"FT Procured",DATA_TRANSPORT!$Y:$Y,"Y"))</f>
        <v/>
      </c>
      <c r="AQ3">
        <f>IF(OR(AE3="",$B$10=0),0,SUMIFS(DATA_TRANSPORT_BUDGET!$E:$E,DATA_TRANSPORT_BUDGET!$A:$A,$B$10,DATA_TRANSPORT_BUDGET!$D:$D,AE3))</f>
        <v/>
      </c>
      <c r="AR3">
        <f>IF(OR(AE3="",$B$10=0),0,COUNTIFS(DATA_TRANSPORT!$A:$A,$B$10,DATA_TRANSPORT!$E:$E,AE3,DATA_TRANSPORT!$U:$U,"Breakdown"))</f>
        <v/>
      </c>
      <c r="AS3">
        <f>IF(IF(OR(AE3="",$B$10=0),0,SUMIFS(DATA_TRANSPORT!$L:$L,DATA_TRANSPORT!$A:$A,$B$10-7,DATA_TRANSPORT!$E:$E,AE3))=0,"",IF(OR(AE3="",$B$10=0),0,SUMIFS(DATA_TRANSPORT!$R:$R,DATA_TRANSPORT!$A:$A,$B$10-7,DATA_TRANSPORT!$E:$E,AE3))/IF(OR(AE3="",$B$10=0),0,SUMIFS(DATA_TRANSPORT!$L:$L,DATA_TRANSPORT!$A:$A,$B$10-7,DATA_TRANSPORT!$E:$E,AE3)))</f>
        <v/>
      </c>
      <c r="AT3">
        <f>IF(IF(OR(AE3="",$B$10=0),0,SUMIFS(DATA_TRANSPORT!$L:$L,DATA_TRANSPORT!$A:$A,$B$10-14,DATA_TRANSPORT!$E:$E,AE3))=0,"",IF(OR(AE3="",$B$10=0),0,SUMIFS(DATA_TRANSPORT!$R:$R,DATA_TRANSPORT!$A:$A,$B$10-14,DATA_TRANSPORT!$E:$E,AE3))/IF(OR(AE3="",$B$10=0),0,SUMIFS(DATA_TRANSPORT!$L:$L,DATA_TRANSPORT!$A:$A,$B$10-14,DATA_TRANSPORT!$E:$E,AE3)))</f>
        <v/>
      </c>
      <c r="AU3">
        <f>IF(IF(OR(AE3="",$B$10=0),0,SUMIFS(DATA_TRANSPORT!$L:$L,DATA_TRANSPORT!$A:$A,$B$10-21,DATA_TRANSPORT!$E:$E,AE3))=0,"",IF(OR(AE3="",$B$10=0),0,SUMIFS(DATA_TRANSPORT!$R:$R,DATA_TRANSPORT!$A:$A,$B$10-21,DATA_TRANSPORT!$E:$E,AE3))/IF(OR(AE3="",$B$10=0),0,SUMIFS(DATA_TRANSPORT!$L:$L,DATA_TRANSPORT!$A:$A,$B$10-21,DATA_TRANSPORT!$E:$E,AE3)))</f>
        <v/>
      </c>
      <c r="AV3">
        <f>IF(AND(ISNUMBER(AJ3),AJ3&lt;UtilLow),1,0)+IF(AND(ISNUMBER(AS3),AS3&lt;UtilLow),1,0)+IF(AND(ISNUMBER(AT3),AT3&lt;UtilLow),1,0)+IF(AND(ISNUMBER(AU3),AU3&lt;UtilLow),1,0)</f>
        <v/>
      </c>
      <c r="AW3">
        <f>IF(AV3&gt;=UtilLowWeeks,AE3&amp;": seats only "&amp;TEXT(AJ3,"0%")&amp;" full, under "&amp;TEXT(UtilLow,"0%")&amp;" for "&amp;AV3&amp;" weeks running",IF(AND(ISNUMBER(AJ3),AJ3&gt;UtilHigh),AE3&amp;": demand exceeds seats ("&amp;TEXT(AJ3,"0%")&amp;" full) — consider more buses",IF(AND(ISNUMBER(AO3),AO3&gt;0),AE3&amp;": FT spend ₦"&amp;TEXT(AO3,"#,##0")&amp;" over the weekly budget",IF(AR3&gt;0,AE3&amp;": "&amp;AR3&amp;" coaster breakdown(s) this week",""))))</f>
        <v/>
      </c>
      <c r="AX3">
        <f>IF(ISNUMBER(AJ3),AJ3+ROW()/1000000000,"")</f>
        <v/>
      </c>
      <c r="AY3">
        <f>IF(ISNUMBER(AL3),AL3+ROW()/1000000,"")</f>
        <v/>
      </c>
      <c r="AZ3">
        <f>IF(AND(ISNUMBER(AO3),AO3&gt;0),AO3+ROW()/1000000,"")</f>
        <v/>
      </c>
      <c r="BA3">
        <f>IF(AF3&gt;0,AF3+ROW()/1000000,"")</f>
        <v/>
      </c>
      <c r="BB3">
        <f>IF(AW3="","",ROW())</f>
        <v/>
      </c>
      <c r="BD3">
        <f>IFERROR(INDEX($AE$3:$AE$94,MATCH(LARGE($AX$3:$AX$94,1),$AX$3:$AX$94,0)),"")</f>
        <v/>
      </c>
      <c r="BE3">
        <f>IFERROR(INDEX($AJ$3:$AJ$94,MATCH(LARGE($AX$3:$AX$94,1),$AX$3:$AX$94,0)),"")</f>
        <v/>
      </c>
      <c r="BF3">
        <f>IFERROR(INDEX($AE$3:$AE$94,MATCH(SMALL($AX$3:$AX$94,1),$AX$3:$AX$94,0)),"")</f>
        <v/>
      </c>
      <c r="BG3">
        <f>IFERROR(INDEX($AJ$3:$AJ$94,MATCH(SMALL($AX$3:$AX$94,1),$AX$3:$AX$94,0)),"")</f>
        <v/>
      </c>
      <c r="BH3">
        <f>IFERROR(INDEX($AE$3:$AE$94,MATCH(LARGE($AY$3:$AY$94,1),$AY$3:$AY$94,0)),"")</f>
        <v/>
      </c>
      <c r="BI3">
        <f>IFERROR(INDEX($AL$3:$AL$94,MATCH(LARGE($AY$3:$AY$94,1),$AY$3:$AY$94,0)),"")</f>
        <v/>
      </c>
      <c r="BJ3">
        <f>IFERROR(INDEX($AE$3:$AE$94,MATCH(LARGE($AZ$3:$AZ$94,1),$AZ$3:$AZ$94,0)),"")</f>
        <v/>
      </c>
      <c r="BK3">
        <f>IFERROR(INDEX($AO$3:$AO$94,MATCH(LARGE($AZ$3:$AZ$94,1),$AZ$3:$AZ$94,0)),"")</f>
        <v/>
      </c>
      <c r="BL3">
        <f>IFERROR(INDEX($AE$3:$AE$94,MATCH(LARGE($BA$3:$BA$94,1),$BA$3:$BA$94,0)),"")</f>
        <v/>
      </c>
      <c r="BM3">
        <f>IFERROR(INDEX($AF$3:$AF$94,MATCH(LARGE($BA$3:$BA$94,1),$BA$3:$BA$94,0)),"")</f>
        <v/>
      </c>
      <c r="BN3">
        <f>IFERROR(INDEX($AW$3:$AW$94,SMALL($BB$3:$BB$94,1)-2),"")</f>
        <v/>
      </c>
      <c r="BO3">
        <f>IFERROR(SMALL(DATA_TRANSPORT!$AC:$AC,1),"")</f>
        <v/>
      </c>
      <c r="BP3">
        <f>IF(BO3="","",INDEX(DATA_TRANSPORT!$E:$E,BO3))</f>
        <v/>
      </c>
      <c r="BQ3">
        <f>IF(BO3="","",INDEX(DATA_TRANSPORT!$C:$C,BO3))</f>
        <v/>
      </c>
      <c r="BR3">
        <f>IF(BO3="","",TRIM(INDEX(DATA_TRANSPORT!$G:$G,BO3)&amp;" "&amp;IF(INDEX(DATA_TRANSPORT!$H:$H,BO3)="","","(bus "&amp;INDEX(DATA_TRANSPORT!$H:$H,BO3)&amp;")")))</f>
        <v/>
      </c>
      <c r="BS3">
        <f>IF(BO3="","",IF(INDEX(DATA_TRANSPORT!$U:$U,BO3)="Breakdown","Breakdown",IF(INDEX(DATA_TRANSPORT!$W:$W,BO3)="","Needs more buses",INDEX(DATA_TRANSPORT!$W:$W,BO3))))</f>
        <v/>
      </c>
      <c r="BT3">
        <f>IF(BO3="","",INDEX(DATA_TRANSPORT!$X:$X,BO3)&amp;"")</f>
        <v/>
      </c>
    </row>
    <row r="4">
      <c r="A4" t="inlineStr">
        <is>
          <t>Selection</t>
        </is>
      </c>
      <c r="B4">
        <f>IF('TRANSPORT DASHBOARD'!E4="","",'TRANSPORT DASHBOARD'!E4)</f>
        <v/>
      </c>
      <c r="AE4">
        <f>IFERROR(INDEX(MASTER_AREAS!$B:$B,3)&amp;"","")</f>
        <v/>
      </c>
      <c r="AF4">
        <f>IF(OR(AE4="",$B$10=0),0,SUMIFS(DATA_TRANSPORT!$Q:$Q,DATA_TRANSPORT!$A:$A,$B$10,DATA_TRANSPORT!$E:$E,AE4))</f>
        <v/>
      </c>
      <c r="AG4">
        <f>IF(OR(AE4="",$B$10=0),0,SUMIFS(DATA_TRANSPORT!$I:$I,DATA_TRANSPORT!$A:$A,$B$10,DATA_TRANSPORT!$E:$E,AE4,DATA_TRANSPORT!$U:$U,"Ran"))</f>
        <v/>
      </c>
      <c r="AH4">
        <f>IF(OR(AE4="",$B$10=0),0,SUMIFS(DATA_TRANSPORT!$L:$L,DATA_TRANSPORT!$A:$A,$B$10,DATA_TRANSPORT!$E:$E,AE4))</f>
        <v/>
      </c>
      <c r="AI4">
        <f>IF(OR(AE4="",$B$10=0),0,SUMIFS(DATA_TRANSPORT!$R:$R,DATA_TRANSPORT!$A:$A,$B$10,DATA_TRANSPORT!$E:$E,AE4))</f>
        <v/>
      </c>
      <c r="AJ4">
        <f>IF(AH4=0,"",AI4/AH4)</f>
        <v/>
      </c>
      <c r="AK4">
        <f>IF(OR(AE4="",$B$10=0),0,SUMIFS(DATA_TRANSPORT!$S:$S,DATA_TRANSPORT!$A:$A,$B$10,DATA_TRANSPORT!$E:$E,AE4))+IF(OR(AE4="",$B$10=0),0,SUMIFS(DATA_TRANSPORT_COSTS!$M:$M,DATA_TRANSPORT_COSTS!$A:$A,$B$10,DATA_TRANSPORT_COSTS!$D:$D,AE4))</f>
        <v/>
      </c>
      <c r="AL4">
        <f>IF(OR(AF4=0,AK4=0),"",AK4/AF4)</f>
        <v/>
      </c>
      <c r="AM4">
        <f>IF(OR(AE4="",$B$10=0),0,SUMIFS(DATA_TRANSPORT!$S:$S,DATA_TRANSPORT!$A:$A,$B$10,DATA_TRANSPORT!$E:$E,AE4,DATA_TRANSPORT!$C:$C,"FT Procured"))</f>
        <v/>
      </c>
      <c r="AN4">
        <f>IF(OR(AE4="",$B$10=0),0,SUMIFS(DATA_TRANSPORT_BUDGET!$G:$G,DATA_TRANSPORT_BUDGET!$A:$A,$B$10,DATA_TRANSPORT_BUDGET!$D:$D,AE4))</f>
        <v/>
      </c>
      <c r="AO4">
        <f>IF(AN4=0,"",AM4-AN4)</f>
        <v/>
      </c>
      <c r="AP4">
        <f>IF(OR(AE4="",$B$10=0),0,COUNTIFS(DATA_TRANSPORT!$A:$A,$B$10,DATA_TRANSPORT!$E:$E,AE4,DATA_TRANSPORT!$C:$C,"FT Procured",DATA_TRANSPORT!$Y:$Y,"Y"))</f>
        <v/>
      </c>
      <c r="AQ4">
        <f>IF(OR(AE4="",$B$10=0),0,SUMIFS(DATA_TRANSPORT_BUDGET!$E:$E,DATA_TRANSPORT_BUDGET!$A:$A,$B$10,DATA_TRANSPORT_BUDGET!$D:$D,AE4))</f>
        <v/>
      </c>
      <c r="AR4">
        <f>IF(OR(AE4="",$B$10=0),0,COUNTIFS(DATA_TRANSPORT!$A:$A,$B$10,DATA_TRANSPORT!$E:$E,AE4,DATA_TRANSPORT!$U:$U,"Breakdown"))</f>
        <v/>
      </c>
      <c r="AS4">
        <f>IF(IF(OR(AE4="",$B$10=0),0,SUMIFS(DATA_TRANSPORT!$L:$L,DATA_TRANSPORT!$A:$A,$B$10-7,DATA_TRANSPORT!$E:$E,AE4))=0,"",IF(OR(AE4="",$B$10=0),0,SUMIFS(DATA_TRANSPORT!$R:$R,DATA_TRANSPORT!$A:$A,$B$10-7,DATA_TRANSPORT!$E:$E,AE4))/IF(OR(AE4="",$B$10=0),0,SUMIFS(DATA_TRANSPORT!$L:$L,DATA_TRANSPORT!$A:$A,$B$10-7,DATA_TRANSPORT!$E:$E,AE4)))</f>
        <v/>
      </c>
      <c r="AT4">
        <f>IF(IF(OR(AE4="",$B$10=0),0,SUMIFS(DATA_TRANSPORT!$L:$L,DATA_TRANSPORT!$A:$A,$B$10-14,DATA_TRANSPORT!$E:$E,AE4))=0,"",IF(OR(AE4="",$B$10=0),0,SUMIFS(DATA_TRANSPORT!$R:$R,DATA_TRANSPORT!$A:$A,$B$10-14,DATA_TRANSPORT!$E:$E,AE4))/IF(OR(AE4="",$B$10=0),0,SUMIFS(DATA_TRANSPORT!$L:$L,DATA_TRANSPORT!$A:$A,$B$10-14,DATA_TRANSPORT!$E:$E,AE4)))</f>
        <v/>
      </c>
      <c r="AU4">
        <f>IF(IF(OR(AE4="",$B$10=0),0,SUMIFS(DATA_TRANSPORT!$L:$L,DATA_TRANSPORT!$A:$A,$B$10-21,DATA_TRANSPORT!$E:$E,AE4))=0,"",IF(OR(AE4="",$B$10=0),0,SUMIFS(DATA_TRANSPORT!$R:$R,DATA_TRANSPORT!$A:$A,$B$10-21,DATA_TRANSPORT!$E:$E,AE4))/IF(OR(AE4="",$B$10=0),0,SUMIFS(DATA_TRANSPORT!$L:$L,DATA_TRANSPORT!$A:$A,$B$10-21,DATA_TRANSPORT!$E:$E,AE4)))</f>
        <v/>
      </c>
      <c r="AV4">
        <f>IF(AND(ISNUMBER(AJ4),AJ4&lt;UtilLow),1,0)+IF(AND(ISNUMBER(AS4),AS4&lt;UtilLow),1,0)+IF(AND(ISNUMBER(AT4),AT4&lt;UtilLow),1,0)+IF(AND(ISNUMBER(AU4),AU4&lt;UtilLow),1,0)</f>
        <v/>
      </c>
      <c r="AW4">
        <f>IF(AV4&gt;=UtilLowWeeks,AE4&amp;": seats only "&amp;TEXT(AJ4,"0%")&amp;" full, under "&amp;TEXT(UtilLow,"0%")&amp;" for "&amp;AV4&amp;" weeks running",IF(AND(ISNUMBER(AJ4),AJ4&gt;UtilHigh),AE4&amp;": demand exceeds seats ("&amp;TEXT(AJ4,"0%")&amp;" full) — consider more buses",IF(AND(ISNUMBER(AO4),AO4&gt;0),AE4&amp;": FT spend ₦"&amp;TEXT(AO4,"#,##0")&amp;" over the weekly budget",IF(AR4&gt;0,AE4&amp;": "&amp;AR4&amp;" coaster breakdown(s) this week",""))))</f>
        <v/>
      </c>
      <c r="AX4">
        <f>IF(ISNUMBER(AJ4),AJ4+ROW()/1000000000,"")</f>
        <v/>
      </c>
      <c r="AY4">
        <f>IF(ISNUMBER(AL4),AL4+ROW()/1000000,"")</f>
        <v/>
      </c>
      <c r="AZ4">
        <f>IF(AND(ISNUMBER(AO4),AO4&gt;0),AO4+ROW()/1000000,"")</f>
        <v/>
      </c>
      <c r="BA4">
        <f>IF(AF4&gt;0,AF4+ROW()/1000000,"")</f>
        <v/>
      </c>
      <c r="BB4">
        <f>IF(AW4="","",ROW())</f>
        <v/>
      </c>
      <c r="BD4">
        <f>IFERROR(INDEX($AE$3:$AE$94,MATCH(LARGE($AX$3:$AX$94,2),$AX$3:$AX$94,0)),"")</f>
        <v/>
      </c>
      <c r="BE4">
        <f>IFERROR(INDEX($AJ$3:$AJ$94,MATCH(LARGE($AX$3:$AX$94,2),$AX$3:$AX$94,0)),"")</f>
        <v/>
      </c>
      <c r="BF4">
        <f>IFERROR(INDEX($AE$3:$AE$94,MATCH(SMALL($AX$3:$AX$94,2),$AX$3:$AX$94,0)),"")</f>
        <v/>
      </c>
      <c r="BG4">
        <f>IFERROR(INDEX($AJ$3:$AJ$94,MATCH(SMALL($AX$3:$AX$94,2),$AX$3:$AX$94,0)),"")</f>
        <v/>
      </c>
      <c r="BH4">
        <f>IFERROR(INDEX($AE$3:$AE$94,MATCH(LARGE($AY$3:$AY$94,2),$AY$3:$AY$94,0)),"")</f>
        <v/>
      </c>
      <c r="BI4">
        <f>IFERROR(INDEX($AL$3:$AL$94,MATCH(LARGE($AY$3:$AY$94,2),$AY$3:$AY$94,0)),"")</f>
        <v/>
      </c>
      <c r="BJ4">
        <f>IFERROR(INDEX($AE$3:$AE$94,MATCH(LARGE($AZ$3:$AZ$94,2),$AZ$3:$AZ$94,0)),"")</f>
        <v/>
      </c>
      <c r="BK4">
        <f>IFERROR(INDEX($AO$3:$AO$94,MATCH(LARGE($AZ$3:$AZ$94,2),$AZ$3:$AZ$94,0)),"")</f>
        <v/>
      </c>
      <c r="BL4">
        <f>IFERROR(INDEX($AE$3:$AE$94,MATCH(LARGE($BA$3:$BA$94,2),$BA$3:$BA$94,0)),"")</f>
        <v/>
      </c>
      <c r="BM4">
        <f>IFERROR(INDEX($AF$3:$AF$94,MATCH(LARGE($BA$3:$BA$94,2),$BA$3:$BA$94,0)),"")</f>
        <v/>
      </c>
      <c r="BN4">
        <f>IFERROR(INDEX($AW$3:$AW$94,SMALL($BB$3:$BB$94,2)-2),"")</f>
        <v/>
      </c>
      <c r="BO4">
        <f>IFERROR(SMALL(DATA_TRANSPORT!$AC:$AC,2),"")</f>
        <v/>
      </c>
      <c r="BP4">
        <f>IF(BO4="","",INDEX(DATA_TRANSPORT!$E:$E,BO4))</f>
        <v/>
      </c>
      <c r="BQ4">
        <f>IF(BO4="","",INDEX(DATA_TRANSPORT!$C:$C,BO4))</f>
        <v/>
      </c>
      <c r="BR4">
        <f>IF(BO4="","",TRIM(INDEX(DATA_TRANSPORT!$G:$G,BO4)&amp;" "&amp;IF(INDEX(DATA_TRANSPORT!$H:$H,BO4)="","","(bus "&amp;INDEX(DATA_TRANSPORT!$H:$H,BO4)&amp;")")))</f>
        <v/>
      </c>
      <c r="BS4">
        <f>IF(BO4="","",IF(INDEX(DATA_TRANSPORT!$U:$U,BO4)="Breakdown","Breakdown",IF(INDEX(DATA_TRANSPORT!$W:$W,BO4)="","Needs more buses",INDEX(DATA_TRANSPORT!$W:$W,BO4))))</f>
        <v/>
      </c>
      <c r="BT4">
        <f>IF(BO4="","",INDEX(DATA_TRANSPORT!$X:$X,BO4)&amp;"")</f>
        <v/>
      </c>
    </row>
    <row r="5">
      <c r="A5" t="inlineStr">
        <is>
          <t>Selection valid</t>
        </is>
      </c>
      <c r="B5">
        <f>IF(B3="Global",TRUE,IF(B3="Area",COUNTIF(MASTER_AREAS!$B:$B,B4)&gt;0,COUNTIF(MASTER_ZONES!$B:$B,B4)&gt;0))</f>
        <v/>
      </c>
      <c r="AE5">
        <f>IFERROR(INDEX(MASTER_AREAS!$B:$B,4)&amp;"","")</f>
        <v/>
      </c>
      <c r="AF5">
        <f>IF(OR(AE5="",$B$10=0),0,SUMIFS(DATA_TRANSPORT!$Q:$Q,DATA_TRANSPORT!$A:$A,$B$10,DATA_TRANSPORT!$E:$E,AE5))</f>
        <v/>
      </c>
      <c r="AG5">
        <f>IF(OR(AE5="",$B$10=0),0,SUMIFS(DATA_TRANSPORT!$I:$I,DATA_TRANSPORT!$A:$A,$B$10,DATA_TRANSPORT!$E:$E,AE5,DATA_TRANSPORT!$U:$U,"Ran"))</f>
        <v/>
      </c>
      <c r="AH5">
        <f>IF(OR(AE5="",$B$10=0),0,SUMIFS(DATA_TRANSPORT!$L:$L,DATA_TRANSPORT!$A:$A,$B$10,DATA_TRANSPORT!$E:$E,AE5))</f>
        <v/>
      </c>
      <c r="AI5">
        <f>IF(OR(AE5="",$B$10=0),0,SUMIFS(DATA_TRANSPORT!$R:$R,DATA_TRANSPORT!$A:$A,$B$10,DATA_TRANSPORT!$E:$E,AE5))</f>
        <v/>
      </c>
      <c r="AJ5">
        <f>IF(AH5=0,"",AI5/AH5)</f>
        <v/>
      </c>
      <c r="AK5">
        <f>IF(OR(AE5="",$B$10=0),0,SUMIFS(DATA_TRANSPORT!$S:$S,DATA_TRANSPORT!$A:$A,$B$10,DATA_TRANSPORT!$E:$E,AE5))+IF(OR(AE5="",$B$10=0),0,SUMIFS(DATA_TRANSPORT_COSTS!$M:$M,DATA_TRANSPORT_COSTS!$A:$A,$B$10,DATA_TRANSPORT_COSTS!$D:$D,AE5))</f>
        <v/>
      </c>
      <c r="AL5">
        <f>IF(OR(AF5=0,AK5=0),"",AK5/AF5)</f>
        <v/>
      </c>
      <c r="AM5">
        <f>IF(OR(AE5="",$B$10=0),0,SUMIFS(DATA_TRANSPORT!$S:$S,DATA_TRANSPORT!$A:$A,$B$10,DATA_TRANSPORT!$E:$E,AE5,DATA_TRANSPORT!$C:$C,"FT Procured"))</f>
        <v/>
      </c>
      <c r="AN5">
        <f>IF(OR(AE5="",$B$10=0),0,SUMIFS(DATA_TRANSPORT_BUDGET!$G:$G,DATA_TRANSPORT_BUDGET!$A:$A,$B$10,DATA_TRANSPORT_BUDGET!$D:$D,AE5))</f>
        <v/>
      </c>
      <c r="AO5">
        <f>IF(AN5=0,"",AM5-AN5)</f>
        <v/>
      </c>
      <c r="AP5">
        <f>IF(OR(AE5="",$B$10=0),0,COUNTIFS(DATA_TRANSPORT!$A:$A,$B$10,DATA_TRANSPORT!$E:$E,AE5,DATA_TRANSPORT!$C:$C,"FT Procured",DATA_TRANSPORT!$Y:$Y,"Y"))</f>
        <v/>
      </c>
      <c r="AQ5">
        <f>IF(OR(AE5="",$B$10=0),0,SUMIFS(DATA_TRANSPORT_BUDGET!$E:$E,DATA_TRANSPORT_BUDGET!$A:$A,$B$10,DATA_TRANSPORT_BUDGET!$D:$D,AE5))</f>
        <v/>
      </c>
      <c r="AR5">
        <f>IF(OR(AE5="",$B$10=0),0,COUNTIFS(DATA_TRANSPORT!$A:$A,$B$10,DATA_TRANSPORT!$E:$E,AE5,DATA_TRANSPORT!$U:$U,"Breakdown"))</f>
        <v/>
      </c>
      <c r="AS5">
        <f>IF(IF(OR(AE5="",$B$10=0),0,SUMIFS(DATA_TRANSPORT!$L:$L,DATA_TRANSPORT!$A:$A,$B$10-7,DATA_TRANSPORT!$E:$E,AE5))=0,"",IF(OR(AE5="",$B$10=0),0,SUMIFS(DATA_TRANSPORT!$R:$R,DATA_TRANSPORT!$A:$A,$B$10-7,DATA_TRANSPORT!$E:$E,AE5))/IF(OR(AE5="",$B$10=0),0,SUMIFS(DATA_TRANSPORT!$L:$L,DATA_TRANSPORT!$A:$A,$B$10-7,DATA_TRANSPORT!$E:$E,AE5)))</f>
        <v/>
      </c>
      <c r="AT5">
        <f>IF(IF(OR(AE5="",$B$10=0),0,SUMIFS(DATA_TRANSPORT!$L:$L,DATA_TRANSPORT!$A:$A,$B$10-14,DATA_TRANSPORT!$E:$E,AE5))=0,"",IF(OR(AE5="",$B$10=0),0,SUMIFS(DATA_TRANSPORT!$R:$R,DATA_TRANSPORT!$A:$A,$B$10-14,DATA_TRANSPORT!$E:$E,AE5))/IF(OR(AE5="",$B$10=0),0,SUMIFS(DATA_TRANSPORT!$L:$L,DATA_TRANSPORT!$A:$A,$B$10-14,DATA_TRANSPORT!$E:$E,AE5)))</f>
        <v/>
      </c>
      <c r="AU5">
        <f>IF(IF(OR(AE5="",$B$10=0),0,SUMIFS(DATA_TRANSPORT!$L:$L,DATA_TRANSPORT!$A:$A,$B$10-21,DATA_TRANSPORT!$E:$E,AE5))=0,"",IF(OR(AE5="",$B$10=0),0,SUMIFS(DATA_TRANSPORT!$R:$R,DATA_TRANSPORT!$A:$A,$B$10-21,DATA_TRANSPORT!$E:$E,AE5))/IF(OR(AE5="",$B$10=0),0,SUMIFS(DATA_TRANSPORT!$L:$L,DATA_TRANSPORT!$A:$A,$B$10-21,DATA_TRANSPORT!$E:$E,AE5)))</f>
        <v/>
      </c>
      <c r="AV5">
        <f>IF(AND(ISNUMBER(AJ5),AJ5&lt;UtilLow),1,0)+IF(AND(ISNUMBER(AS5),AS5&lt;UtilLow),1,0)+IF(AND(ISNUMBER(AT5),AT5&lt;UtilLow),1,0)+IF(AND(ISNUMBER(AU5),AU5&lt;UtilLow),1,0)</f>
        <v/>
      </c>
      <c r="AW5">
        <f>IF(AV5&gt;=UtilLowWeeks,AE5&amp;": seats only "&amp;TEXT(AJ5,"0%")&amp;" full, under "&amp;TEXT(UtilLow,"0%")&amp;" for "&amp;AV5&amp;" weeks running",IF(AND(ISNUMBER(AJ5),AJ5&gt;UtilHigh),AE5&amp;": demand exceeds seats ("&amp;TEXT(AJ5,"0%")&amp;" full) — consider more buses",IF(AND(ISNUMBER(AO5),AO5&gt;0),AE5&amp;": FT spend ₦"&amp;TEXT(AO5,"#,##0")&amp;" over the weekly budget",IF(AR5&gt;0,AE5&amp;": "&amp;AR5&amp;" coaster breakdown(s) this week",""))))</f>
        <v/>
      </c>
      <c r="AX5">
        <f>IF(ISNUMBER(AJ5),AJ5+ROW()/1000000000,"")</f>
        <v/>
      </c>
      <c r="AY5">
        <f>IF(ISNUMBER(AL5),AL5+ROW()/1000000,"")</f>
        <v/>
      </c>
      <c r="AZ5">
        <f>IF(AND(ISNUMBER(AO5),AO5&gt;0),AO5+ROW()/1000000,"")</f>
        <v/>
      </c>
      <c r="BA5">
        <f>IF(AF5&gt;0,AF5+ROW()/1000000,"")</f>
        <v/>
      </c>
      <c r="BB5">
        <f>IF(AW5="","",ROW())</f>
        <v/>
      </c>
      <c r="BD5">
        <f>IFERROR(INDEX($AE$3:$AE$94,MATCH(LARGE($AX$3:$AX$94,3),$AX$3:$AX$94,0)),"")</f>
        <v/>
      </c>
      <c r="BE5">
        <f>IFERROR(INDEX($AJ$3:$AJ$94,MATCH(LARGE($AX$3:$AX$94,3),$AX$3:$AX$94,0)),"")</f>
        <v/>
      </c>
      <c r="BF5">
        <f>IFERROR(INDEX($AE$3:$AE$94,MATCH(SMALL($AX$3:$AX$94,3),$AX$3:$AX$94,0)),"")</f>
        <v/>
      </c>
      <c r="BG5">
        <f>IFERROR(INDEX($AJ$3:$AJ$94,MATCH(SMALL($AX$3:$AX$94,3),$AX$3:$AX$94,0)),"")</f>
        <v/>
      </c>
      <c r="BH5">
        <f>IFERROR(INDEX($AE$3:$AE$94,MATCH(LARGE($AY$3:$AY$94,3),$AY$3:$AY$94,0)),"")</f>
        <v/>
      </c>
      <c r="BI5">
        <f>IFERROR(INDEX($AL$3:$AL$94,MATCH(LARGE($AY$3:$AY$94,3),$AY$3:$AY$94,0)),"")</f>
        <v/>
      </c>
      <c r="BJ5">
        <f>IFERROR(INDEX($AE$3:$AE$94,MATCH(LARGE($AZ$3:$AZ$94,3),$AZ$3:$AZ$94,0)),"")</f>
        <v/>
      </c>
      <c r="BK5">
        <f>IFERROR(INDEX($AO$3:$AO$94,MATCH(LARGE($AZ$3:$AZ$94,3),$AZ$3:$AZ$94,0)),"")</f>
        <v/>
      </c>
      <c r="BL5">
        <f>IFERROR(INDEX($AE$3:$AE$94,MATCH(LARGE($BA$3:$BA$94,3),$BA$3:$BA$94,0)),"")</f>
        <v/>
      </c>
      <c r="BM5">
        <f>IFERROR(INDEX($AF$3:$AF$94,MATCH(LARGE($BA$3:$BA$94,3),$BA$3:$BA$94,0)),"")</f>
        <v/>
      </c>
      <c r="BN5">
        <f>IFERROR(INDEX($AW$3:$AW$94,SMALL($BB$3:$BB$94,3)-2),"")</f>
        <v/>
      </c>
      <c r="BO5">
        <f>IFERROR(SMALL(DATA_TRANSPORT!$AC:$AC,3),"")</f>
        <v/>
      </c>
      <c r="BP5">
        <f>IF(BO5="","",INDEX(DATA_TRANSPORT!$E:$E,BO5))</f>
        <v/>
      </c>
      <c r="BQ5">
        <f>IF(BO5="","",INDEX(DATA_TRANSPORT!$C:$C,BO5))</f>
        <v/>
      </c>
      <c r="BR5">
        <f>IF(BO5="","",TRIM(INDEX(DATA_TRANSPORT!$G:$G,BO5)&amp;" "&amp;IF(INDEX(DATA_TRANSPORT!$H:$H,BO5)="","","(bus "&amp;INDEX(DATA_TRANSPORT!$H:$H,BO5)&amp;")")))</f>
        <v/>
      </c>
      <c r="BS5">
        <f>IF(BO5="","",IF(INDEX(DATA_TRANSPORT!$U:$U,BO5)="Breakdown","Breakdown",IF(INDEX(DATA_TRANSPORT!$W:$W,BO5)="","Needs more buses",INDEX(DATA_TRANSPORT!$W:$W,BO5))))</f>
        <v/>
      </c>
      <c r="BT5">
        <f>IF(BO5="","",INDEX(DATA_TRANSPORT!$X:$X,BO5)&amp;"")</f>
        <v/>
      </c>
    </row>
    <row r="6">
      <c r="A6" t="inlineStr">
        <is>
          <t>Area criterion</t>
        </is>
      </c>
      <c r="B6">
        <f>IF(B3="Area",B4,"*")</f>
        <v/>
      </c>
      <c r="AE6">
        <f>IFERROR(INDEX(MASTER_AREAS!$B:$B,5)&amp;"","")</f>
        <v/>
      </c>
      <c r="AF6">
        <f>IF(OR(AE6="",$B$10=0),0,SUMIFS(DATA_TRANSPORT!$Q:$Q,DATA_TRANSPORT!$A:$A,$B$10,DATA_TRANSPORT!$E:$E,AE6))</f>
        <v/>
      </c>
      <c r="AG6">
        <f>IF(OR(AE6="",$B$10=0),0,SUMIFS(DATA_TRANSPORT!$I:$I,DATA_TRANSPORT!$A:$A,$B$10,DATA_TRANSPORT!$E:$E,AE6,DATA_TRANSPORT!$U:$U,"Ran"))</f>
        <v/>
      </c>
      <c r="AH6">
        <f>IF(OR(AE6="",$B$10=0),0,SUMIFS(DATA_TRANSPORT!$L:$L,DATA_TRANSPORT!$A:$A,$B$10,DATA_TRANSPORT!$E:$E,AE6))</f>
        <v/>
      </c>
      <c r="AI6">
        <f>IF(OR(AE6="",$B$10=0),0,SUMIFS(DATA_TRANSPORT!$R:$R,DATA_TRANSPORT!$A:$A,$B$10,DATA_TRANSPORT!$E:$E,AE6))</f>
        <v/>
      </c>
      <c r="AJ6">
        <f>IF(AH6=0,"",AI6/AH6)</f>
        <v/>
      </c>
      <c r="AK6">
        <f>IF(OR(AE6="",$B$10=0),0,SUMIFS(DATA_TRANSPORT!$S:$S,DATA_TRANSPORT!$A:$A,$B$10,DATA_TRANSPORT!$E:$E,AE6))+IF(OR(AE6="",$B$10=0),0,SUMIFS(DATA_TRANSPORT_COSTS!$M:$M,DATA_TRANSPORT_COSTS!$A:$A,$B$10,DATA_TRANSPORT_COSTS!$D:$D,AE6))</f>
        <v/>
      </c>
      <c r="AL6">
        <f>IF(OR(AF6=0,AK6=0),"",AK6/AF6)</f>
        <v/>
      </c>
      <c r="AM6">
        <f>IF(OR(AE6="",$B$10=0),0,SUMIFS(DATA_TRANSPORT!$S:$S,DATA_TRANSPORT!$A:$A,$B$10,DATA_TRANSPORT!$E:$E,AE6,DATA_TRANSPORT!$C:$C,"FT Procured"))</f>
        <v/>
      </c>
      <c r="AN6">
        <f>IF(OR(AE6="",$B$10=0),0,SUMIFS(DATA_TRANSPORT_BUDGET!$G:$G,DATA_TRANSPORT_BUDGET!$A:$A,$B$10,DATA_TRANSPORT_BUDGET!$D:$D,AE6))</f>
        <v/>
      </c>
      <c r="AO6">
        <f>IF(AN6=0,"",AM6-AN6)</f>
        <v/>
      </c>
      <c r="AP6">
        <f>IF(OR(AE6="",$B$10=0),0,COUNTIFS(DATA_TRANSPORT!$A:$A,$B$10,DATA_TRANSPORT!$E:$E,AE6,DATA_TRANSPORT!$C:$C,"FT Procured",DATA_TRANSPORT!$Y:$Y,"Y"))</f>
        <v/>
      </c>
      <c r="AQ6">
        <f>IF(OR(AE6="",$B$10=0),0,SUMIFS(DATA_TRANSPORT_BUDGET!$E:$E,DATA_TRANSPORT_BUDGET!$A:$A,$B$10,DATA_TRANSPORT_BUDGET!$D:$D,AE6))</f>
        <v/>
      </c>
      <c r="AR6">
        <f>IF(OR(AE6="",$B$10=0),0,COUNTIFS(DATA_TRANSPORT!$A:$A,$B$10,DATA_TRANSPORT!$E:$E,AE6,DATA_TRANSPORT!$U:$U,"Breakdown"))</f>
        <v/>
      </c>
      <c r="AS6">
        <f>IF(IF(OR(AE6="",$B$10=0),0,SUMIFS(DATA_TRANSPORT!$L:$L,DATA_TRANSPORT!$A:$A,$B$10-7,DATA_TRANSPORT!$E:$E,AE6))=0,"",IF(OR(AE6="",$B$10=0),0,SUMIFS(DATA_TRANSPORT!$R:$R,DATA_TRANSPORT!$A:$A,$B$10-7,DATA_TRANSPORT!$E:$E,AE6))/IF(OR(AE6="",$B$10=0),0,SUMIFS(DATA_TRANSPORT!$L:$L,DATA_TRANSPORT!$A:$A,$B$10-7,DATA_TRANSPORT!$E:$E,AE6)))</f>
        <v/>
      </c>
      <c r="AT6">
        <f>IF(IF(OR(AE6="",$B$10=0),0,SUMIFS(DATA_TRANSPORT!$L:$L,DATA_TRANSPORT!$A:$A,$B$10-14,DATA_TRANSPORT!$E:$E,AE6))=0,"",IF(OR(AE6="",$B$10=0),0,SUMIFS(DATA_TRANSPORT!$R:$R,DATA_TRANSPORT!$A:$A,$B$10-14,DATA_TRANSPORT!$E:$E,AE6))/IF(OR(AE6="",$B$10=0),0,SUMIFS(DATA_TRANSPORT!$L:$L,DATA_TRANSPORT!$A:$A,$B$10-14,DATA_TRANSPORT!$E:$E,AE6)))</f>
        <v/>
      </c>
      <c r="AU6">
        <f>IF(IF(OR(AE6="",$B$10=0),0,SUMIFS(DATA_TRANSPORT!$L:$L,DATA_TRANSPORT!$A:$A,$B$10-21,DATA_TRANSPORT!$E:$E,AE6))=0,"",IF(OR(AE6="",$B$10=0),0,SUMIFS(DATA_TRANSPORT!$R:$R,DATA_TRANSPORT!$A:$A,$B$10-21,DATA_TRANSPORT!$E:$E,AE6))/IF(OR(AE6="",$B$10=0),0,SUMIFS(DATA_TRANSPORT!$L:$L,DATA_TRANSPORT!$A:$A,$B$10-21,DATA_TRANSPORT!$E:$E,AE6)))</f>
        <v/>
      </c>
      <c r="AV6">
        <f>IF(AND(ISNUMBER(AJ6),AJ6&lt;UtilLow),1,0)+IF(AND(ISNUMBER(AS6),AS6&lt;UtilLow),1,0)+IF(AND(ISNUMBER(AT6),AT6&lt;UtilLow),1,0)+IF(AND(ISNUMBER(AU6),AU6&lt;UtilLow),1,0)</f>
        <v/>
      </c>
      <c r="AW6">
        <f>IF(AV6&gt;=UtilLowWeeks,AE6&amp;": seats only "&amp;TEXT(AJ6,"0%")&amp;" full, under "&amp;TEXT(UtilLow,"0%")&amp;" for "&amp;AV6&amp;" weeks running",IF(AND(ISNUMBER(AJ6),AJ6&gt;UtilHigh),AE6&amp;": demand exceeds seats ("&amp;TEXT(AJ6,"0%")&amp;" full) — consider more buses",IF(AND(ISNUMBER(AO6),AO6&gt;0),AE6&amp;": FT spend ₦"&amp;TEXT(AO6,"#,##0")&amp;" over the weekly budget",IF(AR6&gt;0,AE6&amp;": "&amp;AR6&amp;" coaster breakdown(s) this week",""))))</f>
        <v/>
      </c>
      <c r="AX6">
        <f>IF(ISNUMBER(AJ6),AJ6+ROW()/1000000000,"")</f>
        <v/>
      </c>
      <c r="AY6">
        <f>IF(ISNUMBER(AL6),AL6+ROW()/1000000,"")</f>
        <v/>
      </c>
      <c r="AZ6">
        <f>IF(AND(ISNUMBER(AO6),AO6&gt;0),AO6+ROW()/1000000,"")</f>
        <v/>
      </c>
      <c r="BA6">
        <f>IF(AF6&gt;0,AF6+ROW()/1000000,"")</f>
        <v/>
      </c>
      <c r="BB6">
        <f>IF(AW6="","",ROW())</f>
        <v/>
      </c>
      <c r="BD6">
        <f>IFERROR(INDEX($AE$3:$AE$94,MATCH(LARGE($AX$3:$AX$94,4),$AX$3:$AX$94,0)),"")</f>
        <v/>
      </c>
      <c r="BE6">
        <f>IFERROR(INDEX($AJ$3:$AJ$94,MATCH(LARGE($AX$3:$AX$94,4),$AX$3:$AX$94,0)),"")</f>
        <v/>
      </c>
      <c r="BF6">
        <f>IFERROR(INDEX($AE$3:$AE$94,MATCH(SMALL($AX$3:$AX$94,4),$AX$3:$AX$94,0)),"")</f>
        <v/>
      </c>
      <c r="BG6">
        <f>IFERROR(INDEX($AJ$3:$AJ$94,MATCH(SMALL($AX$3:$AX$94,4),$AX$3:$AX$94,0)),"")</f>
        <v/>
      </c>
      <c r="BH6">
        <f>IFERROR(INDEX($AE$3:$AE$94,MATCH(LARGE($AY$3:$AY$94,4),$AY$3:$AY$94,0)),"")</f>
        <v/>
      </c>
      <c r="BI6">
        <f>IFERROR(INDEX($AL$3:$AL$94,MATCH(LARGE($AY$3:$AY$94,4),$AY$3:$AY$94,0)),"")</f>
        <v/>
      </c>
      <c r="BJ6">
        <f>IFERROR(INDEX($AE$3:$AE$94,MATCH(LARGE($AZ$3:$AZ$94,4),$AZ$3:$AZ$94,0)),"")</f>
        <v/>
      </c>
      <c r="BK6">
        <f>IFERROR(INDEX($AO$3:$AO$94,MATCH(LARGE($AZ$3:$AZ$94,4),$AZ$3:$AZ$94,0)),"")</f>
        <v/>
      </c>
      <c r="BL6">
        <f>IFERROR(INDEX($AE$3:$AE$94,MATCH(LARGE($BA$3:$BA$94,4),$BA$3:$BA$94,0)),"")</f>
        <v/>
      </c>
      <c r="BM6">
        <f>IFERROR(INDEX($AF$3:$AF$94,MATCH(LARGE($BA$3:$BA$94,4),$BA$3:$BA$94,0)),"")</f>
        <v/>
      </c>
      <c r="BN6">
        <f>IFERROR(INDEX($AW$3:$AW$94,SMALL($BB$3:$BB$94,4)-2),"")</f>
        <v/>
      </c>
      <c r="BO6">
        <f>IFERROR(SMALL(DATA_TRANSPORT!$AC:$AC,4),"")</f>
        <v/>
      </c>
      <c r="BP6">
        <f>IF(BO6="","",INDEX(DATA_TRANSPORT!$E:$E,BO6))</f>
        <v/>
      </c>
      <c r="BQ6">
        <f>IF(BO6="","",INDEX(DATA_TRANSPORT!$C:$C,BO6))</f>
        <v/>
      </c>
      <c r="BR6">
        <f>IF(BO6="","",TRIM(INDEX(DATA_TRANSPORT!$G:$G,BO6)&amp;" "&amp;IF(INDEX(DATA_TRANSPORT!$H:$H,BO6)="","","(bus "&amp;INDEX(DATA_TRANSPORT!$H:$H,BO6)&amp;")")))</f>
        <v/>
      </c>
      <c r="BS6">
        <f>IF(BO6="","",IF(INDEX(DATA_TRANSPORT!$U:$U,BO6)="Breakdown","Breakdown",IF(INDEX(DATA_TRANSPORT!$W:$W,BO6)="","Needs more buses",INDEX(DATA_TRANSPORT!$W:$W,BO6))))</f>
        <v/>
      </c>
      <c r="BT6">
        <f>IF(BO6="","",INDEX(DATA_TRANSPORT!$X:$X,BO6)&amp;"")</f>
        <v/>
      </c>
    </row>
    <row r="7">
      <c r="A7" t="inlineStr">
        <is>
          <t>Zone criterion</t>
        </is>
      </c>
      <c r="B7">
        <f>IF(B3="Zone",B4,"*")</f>
        <v/>
      </c>
      <c r="AE7">
        <f>IFERROR(INDEX(MASTER_AREAS!$B:$B,6)&amp;"","")</f>
        <v/>
      </c>
      <c r="AF7">
        <f>IF(OR(AE7="",$B$10=0),0,SUMIFS(DATA_TRANSPORT!$Q:$Q,DATA_TRANSPORT!$A:$A,$B$10,DATA_TRANSPORT!$E:$E,AE7))</f>
        <v/>
      </c>
      <c r="AG7">
        <f>IF(OR(AE7="",$B$10=0),0,SUMIFS(DATA_TRANSPORT!$I:$I,DATA_TRANSPORT!$A:$A,$B$10,DATA_TRANSPORT!$E:$E,AE7,DATA_TRANSPORT!$U:$U,"Ran"))</f>
        <v/>
      </c>
      <c r="AH7">
        <f>IF(OR(AE7="",$B$10=0),0,SUMIFS(DATA_TRANSPORT!$L:$L,DATA_TRANSPORT!$A:$A,$B$10,DATA_TRANSPORT!$E:$E,AE7))</f>
        <v/>
      </c>
      <c r="AI7">
        <f>IF(OR(AE7="",$B$10=0),0,SUMIFS(DATA_TRANSPORT!$R:$R,DATA_TRANSPORT!$A:$A,$B$10,DATA_TRANSPORT!$E:$E,AE7))</f>
        <v/>
      </c>
      <c r="AJ7">
        <f>IF(AH7=0,"",AI7/AH7)</f>
        <v/>
      </c>
      <c r="AK7">
        <f>IF(OR(AE7="",$B$10=0),0,SUMIFS(DATA_TRANSPORT!$S:$S,DATA_TRANSPORT!$A:$A,$B$10,DATA_TRANSPORT!$E:$E,AE7))+IF(OR(AE7="",$B$10=0),0,SUMIFS(DATA_TRANSPORT_COSTS!$M:$M,DATA_TRANSPORT_COSTS!$A:$A,$B$10,DATA_TRANSPORT_COSTS!$D:$D,AE7))</f>
        <v/>
      </c>
      <c r="AL7">
        <f>IF(OR(AF7=0,AK7=0),"",AK7/AF7)</f>
        <v/>
      </c>
      <c r="AM7">
        <f>IF(OR(AE7="",$B$10=0),0,SUMIFS(DATA_TRANSPORT!$S:$S,DATA_TRANSPORT!$A:$A,$B$10,DATA_TRANSPORT!$E:$E,AE7,DATA_TRANSPORT!$C:$C,"FT Procured"))</f>
        <v/>
      </c>
      <c r="AN7">
        <f>IF(OR(AE7="",$B$10=0),0,SUMIFS(DATA_TRANSPORT_BUDGET!$G:$G,DATA_TRANSPORT_BUDGET!$A:$A,$B$10,DATA_TRANSPORT_BUDGET!$D:$D,AE7))</f>
        <v/>
      </c>
      <c r="AO7">
        <f>IF(AN7=0,"",AM7-AN7)</f>
        <v/>
      </c>
      <c r="AP7">
        <f>IF(OR(AE7="",$B$10=0),0,COUNTIFS(DATA_TRANSPORT!$A:$A,$B$10,DATA_TRANSPORT!$E:$E,AE7,DATA_TRANSPORT!$C:$C,"FT Procured",DATA_TRANSPORT!$Y:$Y,"Y"))</f>
        <v/>
      </c>
      <c r="AQ7">
        <f>IF(OR(AE7="",$B$10=0),0,SUMIFS(DATA_TRANSPORT_BUDGET!$E:$E,DATA_TRANSPORT_BUDGET!$A:$A,$B$10,DATA_TRANSPORT_BUDGET!$D:$D,AE7))</f>
        <v/>
      </c>
      <c r="AR7">
        <f>IF(OR(AE7="",$B$10=0),0,COUNTIFS(DATA_TRANSPORT!$A:$A,$B$10,DATA_TRANSPORT!$E:$E,AE7,DATA_TRANSPORT!$U:$U,"Breakdown"))</f>
        <v/>
      </c>
      <c r="AS7">
        <f>IF(IF(OR(AE7="",$B$10=0),0,SUMIFS(DATA_TRANSPORT!$L:$L,DATA_TRANSPORT!$A:$A,$B$10-7,DATA_TRANSPORT!$E:$E,AE7))=0,"",IF(OR(AE7="",$B$10=0),0,SUMIFS(DATA_TRANSPORT!$R:$R,DATA_TRANSPORT!$A:$A,$B$10-7,DATA_TRANSPORT!$E:$E,AE7))/IF(OR(AE7="",$B$10=0),0,SUMIFS(DATA_TRANSPORT!$L:$L,DATA_TRANSPORT!$A:$A,$B$10-7,DATA_TRANSPORT!$E:$E,AE7)))</f>
        <v/>
      </c>
      <c r="AT7">
        <f>IF(IF(OR(AE7="",$B$10=0),0,SUMIFS(DATA_TRANSPORT!$L:$L,DATA_TRANSPORT!$A:$A,$B$10-14,DATA_TRANSPORT!$E:$E,AE7))=0,"",IF(OR(AE7="",$B$10=0),0,SUMIFS(DATA_TRANSPORT!$R:$R,DATA_TRANSPORT!$A:$A,$B$10-14,DATA_TRANSPORT!$E:$E,AE7))/IF(OR(AE7="",$B$10=0),0,SUMIFS(DATA_TRANSPORT!$L:$L,DATA_TRANSPORT!$A:$A,$B$10-14,DATA_TRANSPORT!$E:$E,AE7)))</f>
        <v/>
      </c>
      <c r="AU7">
        <f>IF(IF(OR(AE7="",$B$10=0),0,SUMIFS(DATA_TRANSPORT!$L:$L,DATA_TRANSPORT!$A:$A,$B$10-21,DATA_TRANSPORT!$E:$E,AE7))=0,"",IF(OR(AE7="",$B$10=0),0,SUMIFS(DATA_TRANSPORT!$R:$R,DATA_TRANSPORT!$A:$A,$B$10-21,DATA_TRANSPORT!$E:$E,AE7))/IF(OR(AE7="",$B$10=0),0,SUMIFS(DATA_TRANSPORT!$L:$L,DATA_TRANSPORT!$A:$A,$B$10-21,DATA_TRANSPORT!$E:$E,AE7)))</f>
        <v/>
      </c>
      <c r="AV7">
        <f>IF(AND(ISNUMBER(AJ7),AJ7&lt;UtilLow),1,0)+IF(AND(ISNUMBER(AS7),AS7&lt;UtilLow),1,0)+IF(AND(ISNUMBER(AT7),AT7&lt;UtilLow),1,0)+IF(AND(ISNUMBER(AU7),AU7&lt;UtilLow),1,0)</f>
        <v/>
      </c>
      <c r="AW7">
        <f>IF(AV7&gt;=UtilLowWeeks,AE7&amp;": seats only "&amp;TEXT(AJ7,"0%")&amp;" full, under "&amp;TEXT(UtilLow,"0%")&amp;" for "&amp;AV7&amp;" weeks running",IF(AND(ISNUMBER(AJ7),AJ7&gt;UtilHigh),AE7&amp;": demand exceeds seats ("&amp;TEXT(AJ7,"0%")&amp;" full) — consider more buses",IF(AND(ISNUMBER(AO7),AO7&gt;0),AE7&amp;": FT spend ₦"&amp;TEXT(AO7,"#,##0")&amp;" over the weekly budget",IF(AR7&gt;0,AE7&amp;": "&amp;AR7&amp;" coaster breakdown(s) this week",""))))</f>
        <v/>
      </c>
      <c r="AX7">
        <f>IF(ISNUMBER(AJ7),AJ7+ROW()/1000000000,"")</f>
        <v/>
      </c>
      <c r="AY7">
        <f>IF(ISNUMBER(AL7),AL7+ROW()/1000000,"")</f>
        <v/>
      </c>
      <c r="AZ7">
        <f>IF(AND(ISNUMBER(AO7),AO7&gt;0),AO7+ROW()/1000000,"")</f>
        <v/>
      </c>
      <c r="BA7">
        <f>IF(AF7&gt;0,AF7+ROW()/1000000,"")</f>
        <v/>
      </c>
      <c r="BB7">
        <f>IF(AW7="","",ROW())</f>
        <v/>
      </c>
      <c r="BD7">
        <f>IFERROR(INDEX($AE$3:$AE$94,MATCH(LARGE($AX$3:$AX$94,5),$AX$3:$AX$94,0)),"")</f>
        <v/>
      </c>
      <c r="BE7">
        <f>IFERROR(INDEX($AJ$3:$AJ$94,MATCH(LARGE($AX$3:$AX$94,5),$AX$3:$AX$94,0)),"")</f>
        <v/>
      </c>
      <c r="BF7">
        <f>IFERROR(INDEX($AE$3:$AE$94,MATCH(SMALL($AX$3:$AX$94,5),$AX$3:$AX$94,0)),"")</f>
        <v/>
      </c>
      <c r="BG7">
        <f>IFERROR(INDEX($AJ$3:$AJ$94,MATCH(SMALL($AX$3:$AX$94,5),$AX$3:$AX$94,0)),"")</f>
        <v/>
      </c>
      <c r="BH7">
        <f>IFERROR(INDEX($AE$3:$AE$94,MATCH(LARGE($AY$3:$AY$94,5),$AY$3:$AY$94,0)),"")</f>
        <v/>
      </c>
      <c r="BI7">
        <f>IFERROR(INDEX($AL$3:$AL$94,MATCH(LARGE($AY$3:$AY$94,5),$AY$3:$AY$94,0)),"")</f>
        <v/>
      </c>
      <c r="BJ7">
        <f>IFERROR(INDEX($AE$3:$AE$94,MATCH(LARGE($AZ$3:$AZ$94,5),$AZ$3:$AZ$94,0)),"")</f>
        <v/>
      </c>
      <c r="BK7">
        <f>IFERROR(INDEX($AO$3:$AO$94,MATCH(LARGE($AZ$3:$AZ$94,5),$AZ$3:$AZ$94,0)),"")</f>
        <v/>
      </c>
      <c r="BL7">
        <f>IFERROR(INDEX($AE$3:$AE$94,MATCH(LARGE($BA$3:$BA$94,5),$BA$3:$BA$94,0)),"")</f>
        <v/>
      </c>
      <c r="BM7">
        <f>IFERROR(INDEX($AF$3:$AF$94,MATCH(LARGE($BA$3:$BA$94,5),$BA$3:$BA$94,0)),"")</f>
        <v/>
      </c>
      <c r="BN7">
        <f>IFERROR(INDEX($AW$3:$AW$94,SMALL($BB$3:$BB$94,5)-2),"")</f>
        <v/>
      </c>
      <c r="BO7">
        <f>IFERROR(SMALL(DATA_TRANSPORT!$AC:$AC,5),"")</f>
        <v/>
      </c>
      <c r="BP7">
        <f>IF(BO7="","",INDEX(DATA_TRANSPORT!$E:$E,BO7))</f>
        <v/>
      </c>
      <c r="BQ7">
        <f>IF(BO7="","",INDEX(DATA_TRANSPORT!$C:$C,BO7))</f>
        <v/>
      </c>
      <c r="BR7">
        <f>IF(BO7="","",TRIM(INDEX(DATA_TRANSPORT!$G:$G,BO7)&amp;" "&amp;IF(INDEX(DATA_TRANSPORT!$H:$H,BO7)="","","(bus "&amp;INDEX(DATA_TRANSPORT!$H:$H,BO7)&amp;")")))</f>
        <v/>
      </c>
      <c r="BS7">
        <f>IF(BO7="","",IF(INDEX(DATA_TRANSPORT!$U:$U,BO7)="Breakdown","Breakdown",IF(INDEX(DATA_TRANSPORT!$W:$W,BO7)="","Needs more buses",INDEX(DATA_TRANSPORT!$W:$W,BO7))))</f>
        <v/>
      </c>
      <c r="BT7">
        <f>IF(BO7="","",INDEX(DATA_TRANSPORT!$X:$X,BO7)&amp;"")</f>
        <v/>
      </c>
    </row>
    <row r="8">
      <c r="A8" t="inlineStr">
        <is>
          <t>Zone's Area</t>
        </is>
      </c>
      <c r="B8">
        <f>IF(B3="Zone",IFERROR(INDEX(MASTER_ZONES!$C:$C,MATCH(B4,MASTER_ZONES!$B:$B,0)),""),"")</f>
        <v/>
      </c>
      <c r="AE8">
        <f>IFERROR(INDEX(MASTER_AREAS!$B:$B,7)&amp;"","")</f>
        <v/>
      </c>
      <c r="AF8">
        <f>IF(OR(AE8="",$B$10=0),0,SUMIFS(DATA_TRANSPORT!$Q:$Q,DATA_TRANSPORT!$A:$A,$B$10,DATA_TRANSPORT!$E:$E,AE8))</f>
        <v/>
      </c>
      <c r="AG8">
        <f>IF(OR(AE8="",$B$10=0),0,SUMIFS(DATA_TRANSPORT!$I:$I,DATA_TRANSPORT!$A:$A,$B$10,DATA_TRANSPORT!$E:$E,AE8,DATA_TRANSPORT!$U:$U,"Ran"))</f>
        <v/>
      </c>
      <c r="AH8">
        <f>IF(OR(AE8="",$B$10=0),0,SUMIFS(DATA_TRANSPORT!$L:$L,DATA_TRANSPORT!$A:$A,$B$10,DATA_TRANSPORT!$E:$E,AE8))</f>
        <v/>
      </c>
      <c r="AI8">
        <f>IF(OR(AE8="",$B$10=0),0,SUMIFS(DATA_TRANSPORT!$R:$R,DATA_TRANSPORT!$A:$A,$B$10,DATA_TRANSPORT!$E:$E,AE8))</f>
        <v/>
      </c>
      <c r="AJ8">
        <f>IF(AH8=0,"",AI8/AH8)</f>
        <v/>
      </c>
      <c r="AK8">
        <f>IF(OR(AE8="",$B$10=0),0,SUMIFS(DATA_TRANSPORT!$S:$S,DATA_TRANSPORT!$A:$A,$B$10,DATA_TRANSPORT!$E:$E,AE8))+IF(OR(AE8="",$B$10=0),0,SUMIFS(DATA_TRANSPORT_COSTS!$M:$M,DATA_TRANSPORT_COSTS!$A:$A,$B$10,DATA_TRANSPORT_COSTS!$D:$D,AE8))</f>
        <v/>
      </c>
      <c r="AL8">
        <f>IF(OR(AF8=0,AK8=0),"",AK8/AF8)</f>
        <v/>
      </c>
      <c r="AM8">
        <f>IF(OR(AE8="",$B$10=0),0,SUMIFS(DATA_TRANSPORT!$S:$S,DATA_TRANSPORT!$A:$A,$B$10,DATA_TRANSPORT!$E:$E,AE8,DATA_TRANSPORT!$C:$C,"FT Procured"))</f>
        <v/>
      </c>
      <c r="AN8">
        <f>IF(OR(AE8="",$B$10=0),0,SUMIFS(DATA_TRANSPORT_BUDGET!$G:$G,DATA_TRANSPORT_BUDGET!$A:$A,$B$10,DATA_TRANSPORT_BUDGET!$D:$D,AE8))</f>
        <v/>
      </c>
      <c r="AO8">
        <f>IF(AN8=0,"",AM8-AN8)</f>
        <v/>
      </c>
      <c r="AP8">
        <f>IF(OR(AE8="",$B$10=0),0,COUNTIFS(DATA_TRANSPORT!$A:$A,$B$10,DATA_TRANSPORT!$E:$E,AE8,DATA_TRANSPORT!$C:$C,"FT Procured",DATA_TRANSPORT!$Y:$Y,"Y"))</f>
        <v/>
      </c>
      <c r="AQ8">
        <f>IF(OR(AE8="",$B$10=0),0,SUMIFS(DATA_TRANSPORT_BUDGET!$E:$E,DATA_TRANSPORT_BUDGET!$A:$A,$B$10,DATA_TRANSPORT_BUDGET!$D:$D,AE8))</f>
        <v/>
      </c>
      <c r="AR8">
        <f>IF(OR(AE8="",$B$10=0),0,COUNTIFS(DATA_TRANSPORT!$A:$A,$B$10,DATA_TRANSPORT!$E:$E,AE8,DATA_TRANSPORT!$U:$U,"Breakdown"))</f>
        <v/>
      </c>
      <c r="AS8">
        <f>IF(IF(OR(AE8="",$B$10=0),0,SUMIFS(DATA_TRANSPORT!$L:$L,DATA_TRANSPORT!$A:$A,$B$10-7,DATA_TRANSPORT!$E:$E,AE8))=0,"",IF(OR(AE8="",$B$10=0),0,SUMIFS(DATA_TRANSPORT!$R:$R,DATA_TRANSPORT!$A:$A,$B$10-7,DATA_TRANSPORT!$E:$E,AE8))/IF(OR(AE8="",$B$10=0),0,SUMIFS(DATA_TRANSPORT!$L:$L,DATA_TRANSPORT!$A:$A,$B$10-7,DATA_TRANSPORT!$E:$E,AE8)))</f>
        <v/>
      </c>
      <c r="AT8">
        <f>IF(IF(OR(AE8="",$B$10=0),0,SUMIFS(DATA_TRANSPORT!$L:$L,DATA_TRANSPORT!$A:$A,$B$10-14,DATA_TRANSPORT!$E:$E,AE8))=0,"",IF(OR(AE8="",$B$10=0),0,SUMIFS(DATA_TRANSPORT!$R:$R,DATA_TRANSPORT!$A:$A,$B$10-14,DATA_TRANSPORT!$E:$E,AE8))/IF(OR(AE8="",$B$10=0),0,SUMIFS(DATA_TRANSPORT!$L:$L,DATA_TRANSPORT!$A:$A,$B$10-14,DATA_TRANSPORT!$E:$E,AE8)))</f>
        <v/>
      </c>
      <c r="AU8">
        <f>IF(IF(OR(AE8="",$B$10=0),0,SUMIFS(DATA_TRANSPORT!$L:$L,DATA_TRANSPORT!$A:$A,$B$10-21,DATA_TRANSPORT!$E:$E,AE8))=0,"",IF(OR(AE8="",$B$10=0),0,SUMIFS(DATA_TRANSPORT!$R:$R,DATA_TRANSPORT!$A:$A,$B$10-21,DATA_TRANSPORT!$E:$E,AE8))/IF(OR(AE8="",$B$10=0),0,SUMIFS(DATA_TRANSPORT!$L:$L,DATA_TRANSPORT!$A:$A,$B$10-21,DATA_TRANSPORT!$E:$E,AE8)))</f>
        <v/>
      </c>
      <c r="AV8">
        <f>IF(AND(ISNUMBER(AJ8),AJ8&lt;UtilLow),1,0)+IF(AND(ISNUMBER(AS8),AS8&lt;UtilLow),1,0)+IF(AND(ISNUMBER(AT8),AT8&lt;UtilLow),1,0)+IF(AND(ISNUMBER(AU8),AU8&lt;UtilLow),1,0)</f>
        <v/>
      </c>
      <c r="AW8">
        <f>IF(AV8&gt;=UtilLowWeeks,AE8&amp;": seats only "&amp;TEXT(AJ8,"0%")&amp;" full, under "&amp;TEXT(UtilLow,"0%")&amp;" for "&amp;AV8&amp;" weeks running",IF(AND(ISNUMBER(AJ8),AJ8&gt;UtilHigh),AE8&amp;": demand exceeds seats ("&amp;TEXT(AJ8,"0%")&amp;" full) — consider more buses",IF(AND(ISNUMBER(AO8),AO8&gt;0),AE8&amp;": FT spend ₦"&amp;TEXT(AO8,"#,##0")&amp;" over the weekly budget",IF(AR8&gt;0,AE8&amp;": "&amp;AR8&amp;" coaster breakdown(s) this week",""))))</f>
        <v/>
      </c>
      <c r="AX8">
        <f>IF(ISNUMBER(AJ8),AJ8+ROW()/1000000000,"")</f>
        <v/>
      </c>
      <c r="AY8">
        <f>IF(ISNUMBER(AL8),AL8+ROW()/1000000,"")</f>
        <v/>
      </c>
      <c r="AZ8">
        <f>IF(AND(ISNUMBER(AO8),AO8&gt;0),AO8+ROW()/1000000,"")</f>
        <v/>
      </c>
      <c r="BA8">
        <f>IF(AF8&gt;0,AF8+ROW()/1000000,"")</f>
        <v/>
      </c>
      <c r="BB8">
        <f>IF(AW8="","",ROW())</f>
        <v/>
      </c>
      <c r="BD8">
        <f>IFERROR(INDEX($AE$3:$AE$94,MATCH(LARGE($AX$3:$AX$94,6),$AX$3:$AX$94,0)),"")</f>
        <v/>
      </c>
      <c r="BE8">
        <f>IFERROR(INDEX($AJ$3:$AJ$94,MATCH(LARGE($AX$3:$AX$94,6),$AX$3:$AX$94,0)),"")</f>
        <v/>
      </c>
      <c r="BF8">
        <f>IFERROR(INDEX($AE$3:$AE$94,MATCH(SMALL($AX$3:$AX$94,6),$AX$3:$AX$94,0)),"")</f>
        <v/>
      </c>
      <c r="BG8">
        <f>IFERROR(INDEX($AJ$3:$AJ$94,MATCH(SMALL($AX$3:$AX$94,6),$AX$3:$AX$94,0)),"")</f>
        <v/>
      </c>
      <c r="BH8">
        <f>IFERROR(INDEX($AE$3:$AE$94,MATCH(LARGE($AY$3:$AY$94,6),$AY$3:$AY$94,0)),"")</f>
        <v/>
      </c>
      <c r="BI8">
        <f>IFERROR(INDEX($AL$3:$AL$94,MATCH(LARGE($AY$3:$AY$94,6),$AY$3:$AY$94,0)),"")</f>
        <v/>
      </c>
      <c r="BJ8">
        <f>IFERROR(INDEX($AE$3:$AE$94,MATCH(LARGE($AZ$3:$AZ$94,6),$AZ$3:$AZ$94,0)),"")</f>
        <v/>
      </c>
      <c r="BK8">
        <f>IFERROR(INDEX($AO$3:$AO$94,MATCH(LARGE($AZ$3:$AZ$94,6),$AZ$3:$AZ$94,0)),"")</f>
        <v/>
      </c>
      <c r="BL8">
        <f>IFERROR(INDEX($AE$3:$AE$94,MATCH(LARGE($BA$3:$BA$94,6),$BA$3:$BA$94,0)),"")</f>
        <v/>
      </c>
      <c r="BM8">
        <f>IFERROR(INDEX($AF$3:$AF$94,MATCH(LARGE($BA$3:$BA$94,6),$BA$3:$BA$94,0)),"")</f>
        <v/>
      </c>
      <c r="BN8">
        <f>IFERROR(INDEX($AW$3:$AW$94,SMALL($BB$3:$BB$94,6)-2),"")</f>
        <v/>
      </c>
      <c r="BO8">
        <f>IFERROR(SMALL(DATA_TRANSPORT!$AC:$AC,6),"")</f>
        <v/>
      </c>
      <c r="BP8">
        <f>IF(BO8="","",INDEX(DATA_TRANSPORT!$E:$E,BO8))</f>
        <v/>
      </c>
      <c r="BQ8">
        <f>IF(BO8="","",INDEX(DATA_TRANSPORT!$C:$C,BO8))</f>
        <v/>
      </c>
      <c r="BR8">
        <f>IF(BO8="","",TRIM(INDEX(DATA_TRANSPORT!$G:$G,BO8)&amp;" "&amp;IF(INDEX(DATA_TRANSPORT!$H:$H,BO8)="","","(bus "&amp;INDEX(DATA_TRANSPORT!$H:$H,BO8)&amp;")")))</f>
        <v/>
      </c>
      <c r="BS8">
        <f>IF(BO8="","",IF(INDEX(DATA_TRANSPORT!$U:$U,BO8)="Breakdown","Breakdown",IF(INDEX(DATA_TRANSPORT!$W:$W,BO8)="","Needs more buses",INDEX(DATA_TRANSPORT!$W:$W,BO8))))</f>
        <v/>
      </c>
      <c r="BT8">
        <f>IF(BO8="","",INDEX(DATA_TRANSPORT!$X:$X,BO8)&amp;"")</f>
        <v/>
      </c>
    </row>
    <row r="9">
      <c r="A9" t="inlineStr">
        <is>
          <t>Latest week with data</t>
        </is>
      </c>
      <c r="B9" s="170">
        <f>MAX(DATA_TRANSPORT!$A:$A)</f>
        <v/>
      </c>
      <c r="AE9">
        <f>IFERROR(INDEX(MASTER_AREAS!$B:$B,8)&amp;"","")</f>
        <v/>
      </c>
      <c r="AF9">
        <f>IF(OR(AE9="",$B$10=0),0,SUMIFS(DATA_TRANSPORT!$Q:$Q,DATA_TRANSPORT!$A:$A,$B$10,DATA_TRANSPORT!$E:$E,AE9))</f>
        <v/>
      </c>
      <c r="AG9">
        <f>IF(OR(AE9="",$B$10=0),0,SUMIFS(DATA_TRANSPORT!$I:$I,DATA_TRANSPORT!$A:$A,$B$10,DATA_TRANSPORT!$E:$E,AE9,DATA_TRANSPORT!$U:$U,"Ran"))</f>
        <v/>
      </c>
      <c r="AH9">
        <f>IF(OR(AE9="",$B$10=0),0,SUMIFS(DATA_TRANSPORT!$L:$L,DATA_TRANSPORT!$A:$A,$B$10,DATA_TRANSPORT!$E:$E,AE9))</f>
        <v/>
      </c>
      <c r="AI9">
        <f>IF(OR(AE9="",$B$10=0),0,SUMIFS(DATA_TRANSPORT!$R:$R,DATA_TRANSPORT!$A:$A,$B$10,DATA_TRANSPORT!$E:$E,AE9))</f>
        <v/>
      </c>
      <c r="AJ9">
        <f>IF(AH9=0,"",AI9/AH9)</f>
        <v/>
      </c>
      <c r="AK9">
        <f>IF(OR(AE9="",$B$10=0),0,SUMIFS(DATA_TRANSPORT!$S:$S,DATA_TRANSPORT!$A:$A,$B$10,DATA_TRANSPORT!$E:$E,AE9))+IF(OR(AE9="",$B$10=0),0,SUMIFS(DATA_TRANSPORT_COSTS!$M:$M,DATA_TRANSPORT_COSTS!$A:$A,$B$10,DATA_TRANSPORT_COSTS!$D:$D,AE9))</f>
        <v/>
      </c>
      <c r="AL9">
        <f>IF(OR(AF9=0,AK9=0),"",AK9/AF9)</f>
        <v/>
      </c>
      <c r="AM9">
        <f>IF(OR(AE9="",$B$10=0),0,SUMIFS(DATA_TRANSPORT!$S:$S,DATA_TRANSPORT!$A:$A,$B$10,DATA_TRANSPORT!$E:$E,AE9,DATA_TRANSPORT!$C:$C,"FT Procured"))</f>
        <v/>
      </c>
      <c r="AN9">
        <f>IF(OR(AE9="",$B$10=0),0,SUMIFS(DATA_TRANSPORT_BUDGET!$G:$G,DATA_TRANSPORT_BUDGET!$A:$A,$B$10,DATA_TRANSPORT_BUDGET!$D:$D,AE9))</f>
        <v/>
      </c>
      <c r="AO9">
        <f>IF(AN9=0,"",AM9-AN9)</f>
        <v/>
      </c>
      <c r="AP9">
        <f>IF(OR(AE9="",$B$10=0),0,COUNTIFS(DATA_TRANSPORT!$A:$A,$B$10,DATA_TRANSPORT!$E:$E,AE9,DATA_TRANSPORT!$C:$C,"FT Procured",DATA_TRANSPORT!$Y:$Y,"Y"))</f>
        <v/>
      </c>
      <c r="AQ9">
        <f>IF(OR(AE9="",$B$10=0),0,SUMIFS(DATA_TRANSPORT_BUDGET!$E:$E,DATA_TRANSPORT_BUDGET!$A:$A,$B$10,DATA_TRANSPORT_BUDGET!$D:$D,AE9))</f>
        <v/>
      </c>
      <c r="AR9">
        <f>IF(OR(AE9="",$B$10=0),0,COUNTIFS(DATA_TRANSPORT!$A:$A,$B$10,DATA_TRANSPORT!$E:$E,AE9,DATA_TRANSPORT!$U:$U,"Breakdown"))</f>
        <v/>
      </c>
      <c r="AS9">
        <f>IF(IF(OR(AE9="",$B$10=0),0,SUMIFS(DATA_TRANSPORT!$L:$L,DATA_TRANSPORT!$A:$A,$B$10-7,DATA_TRANSPORT!$E:$E,AE9))=0,"",IF(OR(AE9="",$B$10=0),0,SUMIFS(DATA_TRANSPORT!$R:$R,DATA_TRANSPORT!$A:$A,$B$10-7,DATA_TRANSPORT!$E:$E,AE9))/IF(OR(AE9="",$B$10=0),0,SUMIFS(DATA_TRANSPORT!$L:$L,DATA_TRANSPORT!$A:$A,$B$10-7,DATA_TRANSPORT!$E:$E,AE9)))</f>
        <v/>
      </c>
      <c r="AT9">
        <f>IF(IF(OR(AE9="",$B$10=0),0,SUMIFS(DATA_TRANSPORT!$L:$L,DATA_TRANSPORT!$A:$A,$B$10-14,DATA_TRANSPORT!$E:$E,AE9))=0,"",IF(OR(AE9="",$B$10=0),0,SUMIFS(DATA_TRANSPORT!$R:$R,DATA_TRANSPORT!$A:$A,$B$10-14,DATA_TRANSPORT!$E:$E,AE9))/IF(OR(AE9="",$B$10=0),0,SUMIFS(DATA_TRANSPORT!$L:$L,DATA_TRANSPORT!$A:$A,$B$10-14,DATA_TRANSPORT!$E:$E,AE9)))</f>
        <v/>
      </c>
      <c r="AU9">
        <f>IF(IF(OR(AE9="",$B$10=0),0,SUMIFS(DATA_TRANSPORT!$L:$L,DATA_TRANSPORT!$A:$A,$B$10-21,DATA_TRANSPORT!$E:$E,AE9))=0,"",IF(OR(AE9="",$B$10=0),0,SUMIFS(DATA_TRANSPORT!$R:$R,DATA_TRANSPORT!$A:$A,$B$10-21,DATA_TRANSPORT!$E:$E,AE9))/IF(OR(AE9="",$B$10=0),0,SUMIFS(DATA_TRANSPORT!$L:$L,DATA_TRANSPORT!$A:$A,$B$10-21,DATA_TRANSPORT!$E:$E,AE9)))</f>
        <v/>
      </c>
      <c r="AV9">
        <f>IF(AND(ISNUMBER(AJ9),AJ9&lt;UtilLow),1,0)+IF(AND(ISNUMBER(AS9),AS9&lt;UtilLow),1,0)+IF(AND(ISNUMBER(AT9),AT9&lt;UtilLow),1,0)+IF(AND(ISNUMBER(AU9),AU9&lt;UtilLow),1,0)</f>
        <v/>
      </c>
      <c r="AW9">
        <f>IF(AV9&gt;=UtilLowWeeks,AE9&amp;": seats only "&amp;TEXT(AJ9,"0%")&amp;" full, under "&amp;TEXT(UtilLow,"0%")&amp;" for "&amp;AV9&amp;" weeks running",IF(AND(ISNUMBER(AJ9),AJ9&gt;UtilHigh),AE9&amp;": demand exceeds seats ("&amp;TEXT(AJ9,"0%")&amp;" full) — consider more buses",IF(AND(ISNUMBER(AO9),AO9&gt;0),AE9&amp;": FT spend ₦"&amp;TEXT(AO9,"#,##0")&amp;" over the weekly budget",IF(AR9&gt;0,AE9&amp;": "&amp;AR9&amp;" coaster breakdown(s) this week",""))))</f>
        <v/>
      </c>
      <c r="AX9">
        <f>IF(ISNUMBER(AJ9),AJ9+ROW()/1000000000,"")</f>
        <v/>
      </c>
      <c r="AY9">
        <f>IF(ISNUMBER(AL9),AL9+ROW()/1000000,"")</f>
        <v/>
      </c>
      <c r="AZ9">
        <f>IF(AND(ISNUMBER(AO9),AO9&gt;0),AO9+ROW()/1000000,"")</f>
        <v/>
      </c>
      <c r="BA9">
        <f>IF(AF9&gt;0,AF9+ROW()/1000000,"")</f>
        <v/>
      </c>
      <c r="BB9">
        <f>IF(AW9="","",ROW())</f>
        <v/>
      </c>
      <c r="BD9">
        <f>IFERROR(INDEX($AE$3:$AE$94,MATCH(LARGE($AX$3:$AX$94,7),$AX$3:$AX$94,0)),"")</f>
        <v/>
      </c>
      <c r="BE9">
        <f>IFERROR(INDEX($AJ$3:$AJ$94,MATCH(LARGE($AX$3:$AX$94,7),$AX$3:$AX$94,0)),"")</f>
        <v/>
      </c>
      <c r="BF9">
        <f>IFERROR(INDEX($AE$3:$AE$94,MATCH(SMALL($AX$3:$AX$94,7),$AX$3:$AX$94,0)),"")</f>
        <v/>
      </c>
      <c r="BG9">
        <f>IFERROR(INDEX($AJ$3:$AJ$94,MATCH(SMALL($AX$3:$AX$94,7),$AX$3:$AX$94,0)),"")</f>
        <v/>
      </c>
      <c r="BH9">
        <f>IFERROR(INDEX($AE$3:$AE$94,MATCH(LARGE($AY$3:$AY$94,7),$AY$3:$AY$94,0)),"")</f>
        <v/>
      </c>
      <c r="BI9">
        <f>IFERROR(INDEX($AL$3:$AL$94,MATCH(LARGE($AY$3:$AY$94,7),$AY$3:$AY$94,0)),"")</f>
        <v/>
      </c>
      <c r="BJ9">
        <f>IFERROR(INDEX($AE$3:$AE$94,MATCH(LARGE($AZ$3:$AZ$94,7),$AZ$3:$AZ$94,0)),"")</f>
        <v/>
      </c>
      <c r="BK9">
        <f>IFERROR(INDEX($AO$3:$AO$94,MATCH(LARGE($AZ$3:$AZ$94,7),$AZ$3:$AZ$94,0)),"")</f>
        <v/>
      </c>
      <c r="BL9">
        <f>IFERROR(INDEX($AE$3:$AE$94,MATCH(LARGE($BA$3:$BA$94,7),$BA$3:$BA$94,0)),"")</f>
        <v/>
      </c>
      <c r="BM9">
        <f>IFERROR(INDEX($AF$3:$AF$94,MATCH(LARGE($BA$3:$BA$94,7),$BA$3:$BA$94,0)),"")</f>
        <v/>
      </c>
      <c r="BN9">
        <f>IFERROR(INDEX($AW$3:$AW$94,SMALL($BB$3:$BB$94,7)-2),"")</f>
        <v/>
      </c>
      <c r="BO9">
        <f>IFERROR(SMALL(DATA_TRANSPORT!$AC:$AC,7),"")</f>
        <v/>
      </c>
      <c r="BP9">
        <f>IF(BO9="","",INDEX(DATA_TRANSPORT!$E:$E,BO9))</f>
        <v/>
      </c>
      <c r="BQ9">
        <f>IF(BO9="","",INDEX(DATA_TRANSPORT!$C:$C,BO9))</f>
        <v/>
      </c>
      <c r="BR9">
        <f>IF(BO9="","",TRIM(INDEX(DATA_TRANSPORT!$G:$G,BO9)&amp;" "&amp;IF(INDEX(DATA_TRANSPORT!$H:$H,BO9)="","","(bus "&amp;INDEX(DATA_TRANSPORT!$H:$H,BO9)&amp;")")))</f>
        <v/>
      </c>
      <c r="BS9">
        <f>IF(BO9="","",IF(INDEX(DATA_TRANSPORT!$U:$U,BO9)="Breakdown","Breakdown",IF(INDEX(DATA_TRANSPORT!$W:$W,BO9)="","Needs more buses",INDEX(DATA_TRANSPORT!$W:$W,BO9))))</f>
        <v/>
      </c>
      <c r="BT9">
        <f>IF(BO9="","",INDEX(DATA_TRANSPORT!$X:$X,BO9)&amp;"")</f>
        <v/>
      </c>
    </row>
    <row r="10">
      <c r="A10" t="inlineStr">
        <is>
          <t>Selected week</t>
        </is>
      </c>
      <c r="B10" s="170">
        <f>IF(ISNUMBER('TRANSPORT DASHBOARD'!I4),'TRANSPORT DASHBOARD'!I4,B9)</f>
        <v/>
      </c>
      <c r="AE10">
        <f>IFERROR(INDEX(MASTER_AREAS!$B:$B,9)&amp;"","")</f>
        <v/>
      </c>
      <c r="AF10">
        <f>IF(OR(AE10="",$B$10=0),0,SUMIFS(DATA_TRANSPORT!$Q:$Q,DATA_TRANSPORT!$A:$A,$B$10,DATA_TRANSPORT!$E:$E,AE10))</f>
        <v/>
      </c>
      <c r="AG10">
        <f>IF(OR(AE10="",$B$10=0),0,SUMIFS(DATA_TRANSPORT!$I:$I,DATA_TRANSPORT!$A:$A,$B$10,DATA_TRANSPORT!$E:$E,AE10,DATA_TRANSPORT!$U:$U,"Ran"))</f>
        <v/>
      </c>
      <c r="AH10">
        <f>IF(OR(AE10="",$B$10=0),0,SUMIFS(DATA_TRANSPORT!$L:$L,DATA_TRANSPORT!$A:$A,$B$10,DATA_TRANSPORT!$E:$E,AE10))</f>
        <v/>
      </c>
      <c r="AI10">
        <f>IF(OR(AE10="",$B$10=0),0,SUMIFS(DATA_TRANSPORT!$R:$R,DATA_TRANSPORT!$A:$A,$B$10,DATA_TRANSPORT!$E:$E,AE10))</f>
        <v/>
      </c>
      <c r="AJ10">
        <f>IF(AH10=0,"",AI10/AH10)</f>
        <v/>
      </c>
      <c r="AK10">
        <f>IF(OR(AE10="",$B$10=0),0,SUMIFS(DATA_TRANSPORT!$S:$S,DATA_TRANSPORT!$A:$A,$B$10,DATA_TRANSPORT!$E:$E,AE10))+IF(OR(AE10="",$B$10=0),0,SUMIFS(DATA_TRANSPORT_COSTS!$M:$M,DATA_TRANSPORT_COSTS!$A:$A,$B$10,DATA_TRANSPORT_COSTS!$D:$D,AE10))</f>
        <v/>
      </c>
      <c r="AL10">
        <f>IF(OR(AF10=0,AK10=0),"",AK10/AF10)</f>
        <v/>
      </c>
      <c r="AM10">
        <f>IF(OR(AE10="",$B$10=0),0,SUMIFS(DATA_TRANSPORT!$S:$S,DATA_TRANSPORT!$A:$A,$B$10,DATA_TRANSPORT!$E:$E,AE10,DATA_TRANSPORT!$C:$C,"FT Procured"))</f>
        <v/>
      </c>
      <c r="AN10">
        <f>IF(OR(AE10="",$B$10=0),0,SUMIFS(DATA_TRANSPORT_BUDGET!$G:$G,DATA_TRANSPORT_BUDGET!$A:$A,$B$10,DATA_TRANSPORT_BUDGET!$D:$D,AE10))</f>
        <v/>
      </c>
      <c r="AO10">
        <f>IF(AN10=0,"",AM10-AN10)</f>
        <v/>
      </c>
      <c r="AP10">
        <f>IF(OR(AE10="",$B$10=0),0,COUNTIFS(DATA_TRANSPORT!$A:$A,$B$10,DATA_TRANSPORT!$E:$E,AE10,DATA_TRANSPORT!$C:$C,"FT Procured",DATA_TRANSPORT!$Y:$Y,"Y"))</f>
        <v/>
      </c>
      <c r="AQ10">
        <f>IF(OR(AE10="",$B$10=0),0,SUMIFS(DATA_TRANSPORT_BUDGET!$E:$E,DATA_TRANSPORT_BUDGET!$A:$A,$B$10,DATA_TRANSPORT_BUDGET!$D:$D,AE10))</f>
        <v/>
      </c>
      <c r="AR10">
        <f>IF(OR(AE10="",$B$10=0),0,COUNTIFS(DATA_TRANSPORT!$A:$A,$B$10,DATA_TRANSPORT!$E:$E,AE10,DATA_TRANSPORT!$U:$U,"Breakdown"))</f>
        <v/>
      </c>
      <c r="AS10">
        <f>IF(IF(OR(AE10="",$B$10=0),0,SUMIFS(DATA_TRANSPORT!$L:$L,DATA_TRANSPORT!$A:$A,$B$10-7,DATA_TRANSPORT!$E:$E,AE10))=0,"",IF(OR(AE10="",$B$10=0),0,SUMIFS(DATA_TRANSPORT!$R:$R,DATA_TRANSPORT!$A:$A,$B$10-7,DATA_TRANSPORT!$E:$E,AE10))/IF(OR(AE10="",$B$10=0),0,SUMIFS(DATA_TRANSPORT!$L:$L,DATA_TRANSPORT!$A:$A,$B$10-7,DATA_TRANSPORT!$E:$E,AE10)))</f>
        <v/>
      </c>
      <c r="AT10">
        <f>IF(IF(OR(AE10="",$B$10=0),0,SUMIFS(DATA_TRANSPORT!$L:$L,DATA_TRANSPORT!$A:$A,$B$10-14,DATA_TRANSPORT!$E:$E,AE10))=0,"",IF(OR(AE10="",$B$10=0),0,SUMIFS(DATA_TRANSPORT!$R:$R,DATA_TRANSPORT!$A:$A,$B$10-14,DATA_TRANSPORT!$E:$E,AE10))/IF(OR(AE10="",$B$10=0),0,SUMIFS(DATA_TRANSPORT!$L:$L,DATA_TRANSPORT!$A:$A,$B$10-14,DATA_TRANSPORT!$E:$E,AE10)))</f>
        <v/>
      </c>
      <c r="AU10">
        <f>IF(IF(OR(AE10="",$B$10=0),0,SUMIFS(DATA_TRANSPORT!$L:$L,DATA_TRANSPORT!$A:$A,$B$10-21,DATA_TRANSPORT!$E:$E,AE10))=0,"",IF(OR(AE10="",$B$10=0),0,SUMIFS(DATA_TRANSPORT!$R:$R,DATA_TRANSPORT!$A:$A,$B$10-21,DATA_TRANSPORT!$E:$E,AE10))/IF(OR(AE10="",$B$10=0),0,SUMIFS(DATA_TRANSPORT!$L:$L,DATA_TRANSPORT!$A:$A,$B$10-21,DATA_TRANSPORT!$E:$E,AE10)))</f>
        <v/>
      </c>
      <c r="AV10">
        <f>IF(AND(ISNUMBER(AJ10),AJ10&lt;UtilLow),1,0)+IF(AND(ISNUMBER(AS10),AS10&lt;UtilLow),1,0)+IF(AND(ISNUMBER(AT10),AT10&lt;UtilLow),1,0)+IF(AND(ISNUMBER(AU10),AU10&lt;UtilLow),1,0)</f>
        <v/>
      </c>
      <c r="AW10">
        <f>IF(AV10&gt;=UtilLowWeeks,AE10&amp;": seats only "&amp;TEXT(AJ10,"0%")&amp;" full, under "&amp;TEXT(UtilLow,"0%")&amp;" for "&amp;AV10&amp;" weeks running",IF(AND(ISNUMBER(AJ10),AJ10&gt;UtilHigh),AE10&amp;": demand exceeds seats ("&amp;TEXT(AJ10,"0%")&amp;" full) — consider more buses",IF(AND(ISNUMBER(AO10),AO10&gt;0),AE10&amp;": FT spend ₦"&amp;TEXT(AO10,"#,##0")&amp;" over the weekly budget",IF(AR10&gt;0,AE10&amp;": "&amp;AR10&amp;" coaster breakdown(s) this week",""))))</f>
        <v/>
      </c>
      <c r="AX10">
        <f>IF(ISNUMBER(AJ10),AJ10+ROW()/1000000000,"")</f>
        <v/>
      </c>
      <c r="AY10">
        <f>IF(ISNUMBER(AL10),AL10+ROW()/1000000,"")</f>
        <v/>
      </c>
      <c r="AZ10">
        <f>IF(AND(ISNUMBER(AO10),AO10&gt;0),AO10+ROW()/1000000,"")</f>
        <v/>
      </c>
      <c r="BA10">
        <f>IF(AF10&gt;0,AF10+ROW()/1000000,"")</f>
        <v/>
      </c>
      <c r="BB10">
        <f>IF(AW10="","",ROW())</f>
        <v/>
      </c>
      <c r="BD10">
        <f>IFERROR(INDEX($AE$3:$AE$94,MATCH(LARGE($AX$3:$AX$94,8),$AX$3:$AX$94,0)),"")</f>
        <v/>
      </c>
      <c r="BE10">
        <f>IFERROR(INDEX($AJ$3:$AJ$94,MATCH(LARGE($AX$3:$AX$94,8),$AX$3:$AX$94,0)),"")</f>
        <v/>
      </c>
      <c r="BF10">
        <f>IFERROR(INDEX($AE$3:$AE$94,MATCH(SMALL($AX$3:$AX$94,8),$AX$3:$AX$94,0)),"")</f>
        <v/>
      </c>
      <c r="BG10">
        <f>IFERROR(INDEX($AJ$3:$AJ$94,MATCH(SMALL($AX$3:$AX$94,8),$AX$3:$AX$94,0)),"")</f>
        <v/>
      </c>
      <c r="BH10">
        <f>IFERROR(INDEX($AE$3:$AE$94,MATCH(LARGE($AY$3:$AY$94,8),$AY$3:$AY$94,0)),"")</f>
        <v/>
      </c>
      <c r="BI10">
        <f>IFERROR(INDEX($AL$3:$AL$94,MATCH(LARGE($AY$3:$AY$94,8),$AY$3:$AY$94,0)),"")</f>
        <v/>
      </c>
      <c r="BJ10">
        <f>IFERROR(INDEX($AE$3:$AE$94,MATCH(LARGE($AZ$3:$AZ$94,8),$AZ$3:$AZ$94,0)),"")</f>
        <v/>
      </c>
      <c r="BK10">
        <f>IFERROR(INDEX($AO$3:$AO$94,MATCH(LARGE($AZ$3:$AZ$94,8),$AZ$3:$AZ$94,0)),"")</f>
        <v/>
      </c>
      <c r="BL10">
        <f>IFERROR(INDEX($AE$3:$AE$94,MATCH(LARGE($BA$3:$BA$94,8),$BA$3:$BA$94,0)),"")</f>
        <v/>
      </c>
      <c r="BM10">
        <f>IFERROR(INDEX($AF$3:$AF$94,MATCH(LARGE($BA$3:$BA$94,8),$BA$3:$BA$94,0)),"")</f>
        <v/>
      </c>
      <c r="BN10">
        <f>IFERROR(INDEX($AW$3:$AW$94,SMALL($BB$3:$BB$94,8)-2),"")</f>
        <v/>
      </c>
      <c r="BO10">
        <f>IFERROR(SMALL(DATA_TRANSPORT!$AC:$AC,8),"")</f>
        <v/>
      </c>
      <c r="BP10">
        <f>IF(BO10="","",INDEX(DATA_TRANSPORT!$E:$E,BO10))</f>
        <v/>
      </c>
      <c r="BQ10">
        <f>IF(BO10="","",INDEX(DATA_TRANSPORT!$C:$C,BO10))</f>
        <v/>
      </c>
      <c r="BR10">
        <f>IF(BO10="","",TRIM(INDEX(DATA_TRANSPORT!$G:$G,BO10)&amp;" "&amp;IF(INDEX(DATA_TRANSPORT!$H:$H,BO10)="","","(bus "&amp;INDEX(DATA_TRANSPORT!$H:$H,BO10)&amp;")")))</f>
        <v/>
      </c>
      <c r="BS10">
        <f>IF(BO10="","",IF(INDEX(DATA_TRANSPORT!$U:$U,BO10)="Breakdown","Breakdown",IF(INDEX(DATA_TRANSPORT!$W:$W,BO10)="","Needs more buses",INDEX(DATA_TRANSPORT!$W:$W,BO10))))</f>
        <v/>
      </c>
      <c r="BT10">
        <f>IF(BO10="","",INDEX(DATA_TRANSPORT!$X:$X,BO10)&amp;"")</f>
        <v/>
      </c>
    </row>
    <row r="11">
      <c r="A11" t="inlineStr">
        <is>
          <t>Window N (weeks)</t>
        </is>
      </c>
      <c r="B11">
        <f>IF(ISNUMBER('TRANSPORT DASHBOARD'!K4),'TRANSPORT DASHBOARD'!K4,DefaultWindow)</f>
        <v/>
      </c>
      <c r="AE11">
        <f>IFERROR(INDEX(MASTER_AREAS!$B:$B,10)&amp;"","")</f>
        <v/>
      </c>
      <c r="AF11">
        <f>IF(OR(AE11="",$B$10=0),0,SUMIFS(DATA_TRANSPORT!$Q:$Q,DATA_TRANSPORT!$A:$A,$B$10,DATA_TRANSPORT!$E:$E,AE11))</f>
        <v/>
      </c>
      <c r="AG11">
        <f>IF(OR(AE11="",$B$10=0),0,SUMIFS(DATA_TRANSPORT!$I:$I,DATA_TRANSPORT!$A:$A,$B$10,DATA_TRANSPORT!$E:$E,AE11,DATA_TRANSPORT!$U:$U,"Ran"))</f>
        <v/>
      </c>
      <c r="AH11">
        <f>IF(OR(AE11="",$B$10=0),0,SUMIFS(DATA_TRANSPORT!$L:$L,DATA_TRANSPORT!$A:$A,$B$10,DATA_TRANSPORT!$E:$E,AE11))</f>
        <v/>
      </c>
      <c r="AI11">
        <f>IF(OR(AE11="",$B$10=0),0,SUMIFS(DATA_TRANSPORT!$R:$R,DATA_TRANSPORT!$A:$A,$B$10,DATA_TRANSPORT!$E:$E,AE11))</f>
        <v/>
      </c>
      <c r="AJ11">
        <f>IF(AH11=0,"",AI11/AH11)</f>
        <v/>
      </c>
      <c r="AK11">
        <f>IF(OR(AE11="",$B$10=0),0,SUMIFS(DATA_TRANSPORT!$S:$S,DATA_TRANSPORT!$A:$A,$B$10,DATA_TRANSPORT!$E:$E,AE11))+IF(OR(AE11="",$B$10=0),0,SUMIFS(DATA_TRANSPORT_COSTS!$M:$M,DATA_TRANSPORT_COSTS!$A:$A,$B$10,DATA_TRANSPORT_COSTS!$D:$D,AE11))</f>
        <v/>
      </c>
      <c r="AL11">
        <f>IF(OR(AF11=0,AK11=0),"",AK11/AF11)</f>
        <v/>
      </c>
      <c r="AM11">
        <f>IF(OR(AE11="",$B$10=0),0,SUMIFS(DATA_TRANSPORT!$S:$S,DATA_TRANSPORT!$A:$A,$B$10,DATA_TRANSPORT!$E:$E,AE11,DATA_TRANSPORT!$C:$C,"FT Procured"))</f>
        <v/>
      </c>
      <c r="AN11">
        <f>IF(OR(AE11="",$B$10=0),0,SUMIFS(DATA_TRANSPORT_BUDGET!$G:$G,DATA_TRANSPORT_BUDGET!$A:$A,$B$10,DATA_TRANSPORT_BUDGET!$D:$D,AE11))</f>
        <v/>
      </c>
      <c r="AO11">
        <f>IF(AN11=0,"",AM11-AN11)</f>
        <v/>
      </c>
      <c r="AP11">
        <f>IF(OR(AE11="",$B$10=0),0,COUNTIFS(DATA_TRANSPORT!$A:$A,$B$10,DATA_TRANSPORT!$E:$E,AE11,DATA_TRANSPORT!$C:$C,"FT Procured",DATA_TRANSPORT!$Y:$Y,"Y"))</f>
        <v/>
      </c>
      <c r="AQ11">
        <f>IF(OR(AE11="",$B$10=0),0,SUMIFS(DATA_TRANSPORT_BUDGET!$E:$E,DATA_TRANSPORT_BUDGET!$A:$A,$B$10,DATA_TRANSPORT_BUDGET!$D:$D,AE11))</f>
        <v/>
      </c>
      <c r="AR11">
        <f>IF(OR(AE11="",$B$10=0),0,COUNTIFS(DATA_TRANSPORT!$A:$A,$B$10,DATA_TRANSPORT!$E:$E,AE11,DATA_TRANSPORT!$U:$U,"Breakdown"))</f>
        <v/>
      </c>
      <c r="AS11">
        <f>IF(IF(OR(AE11="",$B$10=0),0,SUMIFS(DATA_TRANSPORT!$L:$L,DATA_TRANSPORT!$A:$A,$B$10-7,DATA_TRANSPORT!$E:$E,AE11))=0,"",IF(OR(AE11="",$B$10=0),0,SUMIFS(DATA_TRANSPORT!$R:$R,DATA_TRANSPORT!$A:$A,$B$10-7,DATA_TRANSPORT!$E:$E,AE11))/IF(OR(AE11="",$B$10=0),0,SUMIFS(DATA_TRANSPORT!$L:$L,DATA_TRANSPORT!$A:$A,$B$10-7,DATA_TRANSPORT!$E:$E,AE11)))</f>
        <v/>
      </c>
      <c r="AT11">
        <f>IF(IF(OR(AE11="",$B$10=0),0,SUMIFS(DATA_TRANSPORT!$L:$L,DATA_TRANSPORT!$A:$A,$B$10-14,DATA_TRANSPORT!$E:$E,AE11))=0,"",IF(OR(AE11="",$B$10=0),0,SUMIFS(DATA_TRANSPORT!$R:$R,DATA_TRANSPORT!$A:$A,$B$10-14,DATA_TRANSPORT!$E:$E,AE11))/IF(OR(AE11="",$B$10=0),0,SUMIFS(DATA_TRANSPORT!$L:$L,DATA_TRANSPORT!$A:$A,$B$10-14,DATA_TRANSPORT!$E:$E,AE11)))</f>
        <v/>
      </c>
      <c r="AU11">
        <f>IF(IF(OR(AE11="",$B$10=0),0,SUMIFS(DATA_TRANSPORT!$L:$L,DATA_TRANSPORT!$A:$A,$B$10-21,DATA_TRANSPORT!$E:$E,AE11))=0,"",IF(OR(AE11="",$B$10=0),0,SUMIFS(DATA_TRANSPORT!$R:$R,DATA_TRANSPORT!$A:$A,$B$10-21,DATA_TRANSPORT!$E:$E,AE11))/IF(OR(AE11="",$B$10=0),0,SUMIFS(DATA_TRANSPORT!$L:$L,DATA_TRANSPORT!$A:$A,$B$10-21,DATA_TRANSPORT!$E:$E,AE11)))</f>
        <v/>
      </c>
      <c r="AV11">
        <f>IF(AND(ISNUMBER(AJ11),AJ11&lt;UtilLow),1,0)+IF(AND(ISNUMBER(AS11),AS11&lt;UtilLow),1,0)+IF(AND(ISNUMBER(AT11),AT11&lt;UtilLow),1,0)+IF(AND(ISNUMBER(AU11),AU11&lt;UtilLow),1,0)</f>
        <v/>
      </c>
      <c r="AW11">
        <f>IF(AV11&gt;=UtilLowWeeks,AE11&amp;": seats only "&amp;TEXT(AJ11,"0%")&amp;" full, under "&amp;TEXT(UtilLow,"0%")&amp;" for "&amp;AV11&amp;" weeks running",IF(AND(ISNUMBER(AJ11),AJ11&gt;UtilHigh),AE11&amp;": demand exceeds seats ("&amp;TEXT(AJ11,"0%")&amp;" full) — consider more buses",IF(AND(ISNUMBER(AO11),AO11&gt;0),AE11&amp;": FT spend ₦"&amp;TEXT(AO11,"#,##0")&amp;" over the weekly budget",IF(AR11&gt;0,AE11&amp;": "&amp;AR11&amp;" coaster breakdown(s) this week",""))))</f>
        <v/>
      </c>
      <c r="AX11">
        <f>IF(ISNUMBER(AJ11),AJ11+ROW()/1000000000,"")</f>
        <v/>
      </c>
      <c r="AY11">
        <f>IF(ISNUMBER(AL11),AL11+ROW()/1000000,"")</f>
        <v/>
      </c>
      <c r="AZ11">
        <f>IF(AND(ISNUMBER(AO11),AO11&gt;0),AO11+ROW()/1000000,"")</f>
        <v/>
      </c>
      <c r="BA11">
        <f>IF(AF11&gt;0,AF11+ROW()/1000000,"")</f>
        <v/>
      </c>
      <c r="BB11">
        <f>IF(AW11="","",ROW())</f>
        <v/>
      </c>
      <c r="BD11">
        <f>IFERROR(INDEX($AE$3:$AE$94,MATCH(LARGE($AX$3:$AX$94,9),$AX$3:$AX$94,0)),"")</f>
        <v/>
      </c>
      <c r="BE11">
        <f>IFERROR(INDEX($AJ$3:$AJ$94,MATCH(LARGE($AX$3:$AX$94,9),$AX$3:$AX$94,0)),"")</f>
        <v/>
      </c>
      <c r="BF11">
        <f>IFERROR(INDEX($AE$3:$AE$94,MATCH(SMALL($AX$3:$AX$94,9),$AX$3:$AX$94,0)),"")</f>
        <v/>
      </c>
      <c r="BG11">
        <f>IFERROR(INDEX($AJ$3:$AJ$94,MATCH(SMALL($AX$3:$AX$94,9),$AX$3:$AX$94,0)),"")</f>
        <v/>
      </c>
      <c r="BH11">
        <f>IFERROR(INDEX($AE$3:$AE$94,MATCH(LARGE($AY$3:$AY$94,9),$AY$3:$AY$94,0)),"")</f>
        <v/>
      </c>
      <c r="BI11">
        <f>IFERROR(INDEX($AL$3:$AL$94,MATCH(LARGE($AY$3:$AY$94,9),$AY$3:$AY$94,0)),"")</f>
        <v/>
      </c>
      <c r="BJ11">
        <f>IFERROR(INDEX($AE$3:$AE$94,MATCH(LARGE($AZ$3:$AZ$94,9),$AZ$3:$AZ$94,0)),"")</f>
        <v/>
      </c>
      <c r="BK11">
        <f>IFERROR(INDEX($AO$3:$AO$94,MATCH(LARGE($AZ$3:$AZ$94,9),$AZ$3:$AZ$94,0)),"")</f>
        <v/>
      </c>
      <c r="BL11">
        <f>IFERROR(INDEX($AE$3:$AE$94,MATCH(LARGE($BA$3:$BA$94,9),$BA$3:$BA$94,0)),"")</f>
        <v/>
      </c>
      <c r="BM11">
        <f>IFERROR(INDEX($AF$3:$AF$94,MATCH(LARGE($BA$3:$BA$94,9),$BA$3:$BA$94,0)),"")</f>
        <v/>
      </c>
      <c r="BN11">
        <f>IFERROR(INDEX($AW$3:$AW$94,SMALL($BB$3:$BB$94,9)-2),"")</f>
        <v/>
      </c>
      <c r="BO11">
        <f>IFERROR(SMALL(DATA_TRANSPORT!$AC:$AC,9),"")</f>
        <v/>
      </c>
      <c r="BP11">
        <f>IF(BO11="","",INDEX(DATA_TRANSPORT!$E:$E,BO11))</f>
        <v/>
      </c>
      <c r="BQ11">
        <f>IF(BO11="","",INDEX(DATA_TRANSPORT!$C:$C,BO11))</f>
        <v/>
      </c>
      <c r="BR11">
        <f>IF(BO11="","",TRIM(INDEX(DATA_TRANSPORT!$G:$G,BO11)&amp;" "&amp;IF(INDEX(DATA_TRANSPORT!$H:$H,BO11)="","","(bus "&amp;INDEX(DATA_TRANSPORT!$H:$H,BO11)&amp;")")))</f>
        <v/>
      </c>
      <c r="BS11">
        <f>IF(BO11="","",IF(INDEX(DATA_TRANSPORT!$U:$U,BO11)="Breakdown","Breakdown",IF(INDEX(DATA_TRANSPORT!$W:$W,BO11)="","Needs more buses",INDEX(DATA_TRANSPORT!$W:$W,BO11))))</f>
        <v/>
      </c>
      <c r="BT11">
        <f>IF(BO11="","",INDEX(DATA_TRANSPORT!$X:$X,BO11)&amp;"")</f>
        <v/>
      </c>
    </row>
    <row r="12">
      <c r="A12" t="inlineStr">
        <is>
          <t>Selected month</t>
        </is>
      </c>
      <c r="B12">
        <f>IF(B10=0,0,MONTH(B10))</f>
        <v/>
      </c>
      <c r="AE12">
        <f>IFERROR(INDEX(MASTER_AREAS!$B:$B,11)&amp;"","")</f>
        <v/>
      </c>
      <c r="AF12">
        <f>IF(OR(AE12="",$B$10=0),0,SUMIFS(DATA_TRANSPORT!$Q:$Q,DATA_TRANSPORT!$A:$A,$B$10,DATA_TRANSPORT!$E:$E,AE12))</f>
        <v/>
      </c>
      <c r="AG12">
        <f>IF(OR(AE12="",$B$10=0),0,SUMIFS(DATA_TRANSPORT!$I:$I,DATA_TRANSPORT!$A:$A,$B$10,DATA_TRANSPORT!$E:$E,AE12,DATA_TRANSPORT!$U:$U,"Ran"))</f>
        <v/>
      </c>
      <c r="AH12">
        <f>IF(OR(AE12="",$B$10=0),0,SUMIFS(DATA_TRANSPORT!$L:$L,DATA_TRANSPORT!$A:$A,$B$10,DATA_TRANSPORT!$E:$E,AE12))</f>
        <v/>
      </c>
      <c r="AI12">
        <f>IF(OR(AE12="",$B$10=0),0,SUMIFS(DATA_TRANSPORT!$R:$R,DATA_TRANSPORT!$A:$A,$B$10,DATA_TRANSPORT!$E:$E,AE12))</f>
        <v/>
      </c>
      <c r="AJ12">
        <f>IF(AH12=0,"",AI12/AH12)</f>
        <v/>
      </c>
      <c r="AK12">
        <f>IF(OR(AE12="",$B$10=0),0,SUMIFS(DATA_TRANSPORT!$S:$S,DATA_TRANSPORT!$A:$A,$B$10,DATA_TRANSPORT!$E:$E,AE12))+IF(OR(AE12="",$B$10=0),0,SUMIFS(DATA_TRANSPORT_COSTS!$M:$M,DATA_TRANSPORT_COSTS!$A:$A,$B$10,DATA_TRANSPORT_COSTS!$D:$D,AE12))</f>
        <v/>
      </c>
      <c r="AL12">
        <f>IF(OR(AF12=0,AK12=0),"",AK12/AF12)</f>
        <v/>
      </c>
      <c r="AM12">
        <f>IF(OR(AE12="",$B$10=0),0,SUMIFS(DATA_TRANSPORT!$S:$S,DATA_TRANSPORT!$A:$A,$B$10,DATA_TRANSPORT!$E:$E,AE12,DATA_TRANSPORT!$C:$C,"FT Procured"))</f>
        <v/>
      </c>
      <c r="AN12">
        <f>IF(OR(AE12="",$B$10=0),0,SUMIFS(DATA_TRANSPORT_BUDGET!$G:$G,DATA_TRANSPORT_BUDGET!$A:$A,$B$10,DATA_TRANSPORT_BUDGET!$D:$D,AE12))</f>
        <v/>
      </c>
      <c r="AO12">
        <f>IF(AN12=0,"",AM12-AN12)</f>
        <v/>
      </c>
      <c r="AP12">
        <f>IF(OR(AE12="",$B$10=0),0,COUNTIFS(DATA_TRANSPORT!$A:$A,$B$10,DATA_TRANSPORT!$E:$E,AE12,DATA_TRANSPORT!$C:$C,"FT Procured",DATA_TRANSPORT!$Y:$Y,"Y"))</f>
        <v/>
      </c>
      <c r="AQ12">
        <f>IF(OR(AE12="",$B$10=0),0,SUMIFS(DATA_TRANSPORT_BUDGET!$E:$E,DATA_TRANSPORT_BUDGET!$A:$A,$B$10,DATA_TRANSPORT_BUDGET!$D:$D,AE12))</f>
        <v/>
      </c>
      <c r="AR12">
        <f>IF(OR(AE12="",$B$10=0),0,COUNTIFS(DATA_TRANSPORT!$A:$A,$B$10,DATA_TRANSPORT!$E:$E,AE12,DATA_TRANSPORT!$U:$U,"Breakdown"))</f>
        <v/>
      </c>
      <c r="AS12">
        <f>IF(IF(OR(AE12="",$B$10=0),0,SUMIFS(DATA_TRANSPORT!$L:$L,DATA_TRANSPORT!$A:$A,$B$10-7,DATA_TRANSPORT!$E:$E,AE12))=0,"",IF(OR(AE12="",$B$10=0),0,SUMIFS(DATA_TRANSPORT!$R:$R,DATA_TRANSPORT!$A:$A,$B$10-7,DATA_TRANSPORT!$E:$E,AE12))/IF(OR(AE12="",$B$10=0),0,SUMIFS(DATA_TRANSPORT!$L:$L,DATA_TRANSPORT!$A:$A,$B$10-7,DATA_TRANSPORT!$E:$E,AE12)))</f>
        <v/>
      </c>
      <c r="AT12">
        <f>IF(IF(OR(AE12="",$B$10=0),0,SUMIFS(DATA_TRANSPORT!$L:$L,DATA_TRANSPORT!$A:$A,$B$10-14,DATA_TRANSPORT!$E:$E,AE12))=0,"",IF(OR(AE12="",$B$10=0),0,SUMIFS(DATA_TRANSPORT!$R:$R,DATA_TRANSPORT!$A:$A,$B$10-14,DATA_TRANSPORT!$E:$E,AE12))/IF(OR(AE12="",$B$10=0),0,SUMIFS(DATA_TRANSPORT!$L:$L,DATA_TRANSPORT!$A:$A,$B$10-14,DATA_TRANSPORT!$E:$E,AE12)))</f>
        <v/>
      </c>
      <c r="AU12">
        <f>IF(IF(OR(AE12="",$B$10=0),0,SUMIFS(DATA_TRANSPORT!$L:$L,DATA_TRANSPORT!$A:$A,$B$10-21,DATA_TRANSPORT!$E:$E,AE12))=0,"",IF(OR(AE12="",$B$10=0),0,SUMIFS(DATA_TRANSPORT!$R:$R,DATA_TRANSPORT!$A:$A,$B$10-21,DATA_TRANSPORT!$E:$E,AE12))/IF(OR(AE12="",$B$10=0),0,SUMIFS(DATA_TRANSPORT!$L:$L,DATA_TRANSPORT!$A:$A,$B$10-21,DATA_TRANSPORT!$E:$E,AE12)))</f>
        <v/>
      </c>
      <c r="AV12">
        <f>IF(AND(ISNUMBER(AJ12),AJ12&lt;UtilLow),1,0)+IF(AND(ISNUMBER(AS12),AS12&lt;UtilLow),1,0)+IF(AND(ISNUMBER(AT12),AT12&lt;UtilLow),1,0)+IF(AND(ISNUMBER(AU12),AU12&lt;UtilLow),1,0)</f>
        <v/>
      </c>
      <c r="AW12">
        <f>IF(AV12&gt;=UtilLowWeeks,AE12&amp;": seats only "&amp;TEXT(AJ12,"0%")&amp;" full, under "&amp;TEXT(UtilLow,"0%")&amp;" for "&amp;AV12&amp;" weeks running",IF(AND(ISNUMBER(AJ12),AJ12&gt;UtilHigh),AE12&amp;": demand exceeds seats ("&amp;TEXT(AJ12,"0%")&amp;" full) — consider more buses",IF(AND(ISNUMBER(AO12),AO12&gt;0),AE12&amp;": FT spend ₦"&amp;TEXT(AO12,"#,##0")&amp;" over the weekly budget",IF(AR12&gt;0,AE12&amp;": "&amp;AR12&amp;" coaster breakdown(s) this week",""))))</f>
        <v/>
      </c>
      <c r="AX12">
        <f>IF(ISNUMBER(AJ12),AJ12+ROW()/1000000000,"")</f>
        <v/>
      </c>
      <c r="AY12">
        <f>IF(ISNUMBER(AL12),AL12+ROW()/1000000,"")</f>
        <v/>
      </c>
      <c r="AZ12">
        <f>IF(AND(ISNUMBER(AO12),AO12&gt;0),AO12+ROW()/1000000,"")</f>
        <v/>
      </c>
      <c r="BA12">
        <f>IF(AF12&gt;0,AF12+ROW()/1000000,"")</f>
        <v/>
      </c>
      <c r="BB12">
        <f>IF(AW12="","",ROW())</f>
        <v/>
      </c>
      <c r="BD12">
        <f>IFERROR(INDEX($AE$3:$AE$94,MATCH(LARGE($AX$3:$AX$94,10),$AX$3:$AX$94,0)),"")</f>
        <v/>
      </c>
      <c r="BE12">
        <f>IFERROR(INDEX($AJ$3:$AJ$94,MATCH(LARGE($AX$3:$AX$94,10),$AX$3:$AX$94,0)),"")</f>
        <v/>
      </c>
      <c r="BF12">
        <f>IFERROR(INDEX($AE$3:$AE$94,MATCH(SMALL($AX$3:$AX$94,10),$AX$3:$AX$94,0)),"")</f>
        <v/>
      </c>
      <c r="BG12">
        <f>IFERROR(INDEX($AJ$3:$AJ$94,MATCH(SMALL($AX$3:$AX$94,10),$AX$3:$AX$94,0)),"")</f>
        <v/>
      </c>
      <c r="BH12">
        <f>IFERROR(INDEX($AE$3:$AE$94,MATCH(LARGE($AY$3:$AY$94,10),$AY$3:$AY$94,0)),"")</f>
        <v/>
      </c>
      <c r="BI12">
        <f>IFERROR(INDEX($AL$3:$AL$94,MATCH(LARGE($AY$3:$AY$94,10),$AY$3:$AY$94,0)),"")</f>
        <v/>
      </c>
      <c r="BJ12">
        <f>IFERROR(INDEX($AE$3:$AE$94,MATCH(LARGE($AZ$3:$AZ$94,10),$AZ$3:$AZ$94,0)),"")</f>
        <v/>
      </c>
      <c r="BK12">
        <f>IFERROR(INDEX($AO$3:$AO$94,MATCH(LARGE($AZ$3:$AZ$94,10),$AZ$3:$AZ$94,0)),"")</f>
        <v/>
      </c>
      <c r="BL12">
        <f>IFERROR(INDEX($AE$3:$AE$94,MATCH(LARGE($BA$3:$BA$94,10),$BA$3:$BA$94,0)),"")</f>
        <v/>
      </c>
      <c r="BM12">
        <f>IFERROR(INDEX($AF$3:$AF$94,MATCH(LARGE($BA$3:$BA$94,10),$BA$3:$BA$94,0)),"")</f>
        <v/>
      </c>
      <c r="BN12">
        <f>IFERROR(INDEX($AW$3:$AW$94,SMALL($BB$3:$BB$94,10)-2),"")</f>
        <v/>
      </c>
      <c r="BO12">
        <f>IFERROR(SMALL(DATA_TRANSPORT!$AC:$AC,10),"")</f>
        <v/>
      </c>
      <c r="BP12">
        <f>IF(BO12="","",INDEX(DATA_TRANSPORT!$E:$E,BO12))</f>
        <v/>
      </c>
      <c r="BQ12">
        <f>IF(BO12="","",INDEX(DATA_TRANSPORT!$C:$C,BO12))</f>
        <v/>
      </c>
      <c r="BR12">
        <f>IF(BO12="","",TRIM(INDEX(DATA_TRANSPORT!$G:$G,BO12)&amp;" "&amp;IF(INDEX(DATA_TRANSPORT!$H:$H,BO12)="","","(bus "&amp;INDEX(DATA_TRANSPORT!$H:$H,BO12)&amp;")")))</f>
        <v/>
      </c>
      <c r="BS12">
        <f>IF(BO12="","",IF(INDEX(DATA_TRANSPORT!$U:$U,BO12)="Breakdown","Breakdown",IF(INDEX(DATA_TRANSPORT!$W:$W,BO12)="","Needs more buses",INDEX(DATA_TRANSPORT!$W:$W,BO12))))</f>
        <v/>
      </c>
      <c r="BT12">
        <f>IF(BO12="","",INDEX(DATA_TRANSPORT!$X:$X,BO12)&amp;"")</f>
        <v/>
      </c>
    </row>
    <row r="13">
      <c r="A13" t="inlineStr">
        <is>
          <t>Selected quarter</t>
        </is>
      </c>
      <c r="B13">
        <f>IF(B10=0,0,ROUNDUP(MONTH(B10)/3,0))</f>
        <v/>
      </c>
      <c r="AE13">
        <f>IFERROR(INDEX(MASTER_AREAS!$B:$B,12)&amp;"","")</f>
        <v/>
      </c>
      <c r="AF13">
        <f>IF(OR(AE13="",$B$10=0),0,SUMIFS(DATA_TRANSPORT!$Q:$Q,DATA_TRANSPORT!$A:$A,$B$10,DATA_TRANSPORT!$E:$E,AE13))</f>
        <v/>
      </c>
      <c r="AG13">
        <f>IF(OR(AE13="",$B$10=0),0,SUMIFS(DATA_TRANSPORT!$I:$I,DATA_TRANSPORT!$A:$A,$B$10,DATA_TRANSPORT!$E:$E,AE13,DATA_TRANSPORT!$U:$U,"Ran"))</f>
        <v/>
      </c>
      <c r="AH13">
        <f>IF(OR(AE13="",$B$10=0),0,SUMIFS(DATA_TRANSPORT!$L:$L,DATA_TRANSPORT!$A:$A,$B$10,DATA_TRANSPORT!$E:$E,AE13))</f>
        <v/>
      </c>
      <c r="AI13">
        <f>IF(OR(AE13="",$B$10=0),0,SUMIFS(DATA_TRANSPORT!$R:$R,DATA_TRANSPORT!$A:$A,$B$10,DATA_TRANSPORT!$E:$E,AE13))</f>
        <v/>
      </c>
      <c r="AJ13">
        <f>IF(AH13=0,"",AI13/AH13)</f>
        <v/>
      </c>
      <c r="AK13">
        <f>IF(OR(AE13="",$B$10=0),0,SUMIFS(DATA_TRANSPORT!$S:$S,DATA_TRANSPORT!$A:$A,$B$10,DATA_TRANSPORT!$E:$E,AE13))+IF(OR(AE13="",$B$10=0),0,SUMIFS(DATA_TRANSPORT_COSTS!$M:$M,DATA_TRANSPORT_COSTS!$A:$A,$B$10,DATA_TRANSPORT_COSTS!$D:$D,AE13))</f>
        <v/>
      </c>
      <c r="AL13">
        <f>IF(OR(AF13=0,AK13=0),"",AK13/AF13)</f>
        <v/>
      </c>
      <c r="AM13">
        <f>IF(OR(AE13="",$B$10=0),0,SUMIFS(DATA_TRANSPORT!$S:$S,DATA_TRANSPORT!$A:$A,$B$10,DATA_TRANSPORT!$E:$E,AE13,DATA_TRANSPORT!$C:$C,"FT Procured"))</f>
        <v/>
      </c>
      <c r="AN13">
        <f>IF(OR(AE13="",$B$10=0),0,SUMIFS(DATA_TRANSPORT_BUDGET!$G:$G,DATA_TRANSPORT_BUDGET!$A:$A,$B$10,DATA_TRANSPORT_BUDGET!$D:$D,AE13))</f>
        <v/>
      </c>
      <c r="AO13">
        <f>IF(AN13=0,"",AM13-AN13)</f>
        <v/>
      </c>
      <c r="AP13">
        <f>IF(OR(AE13="",$B$10=0),0,COUNTIFS(DATA_TRANSPORT!$A:$A,$B$10,DATA_TRANSPORT!$E:$E,AE13,DATA_TRANSPORT!$C:$C,"FT Procured",DATA_TRANSPORT!$Y:$Y,"Y"))</f>
        <v/>
      </c>
      <c r="AQ13">
        <f>IF(OR(AE13="",$B$10=0),0,SUMIFS(DATA_TRANSPORT_BUDGET!$E:$E,DATA_TRANSPORT_BUDGET!$A:$A,$B$10,DATA_TRANSPORT_BUDGET!$D:$D,AE13))</f>
        <v/>
      </c>
      <c r="AR13">
        <f>IF(OR(AE13="",$B$10=0),0,COUNTIFS(DATA_TRANSPORT!$A:$A,$B$10,DATA_TRANSPORT!$E:$E,AE13,DATA_TRANSPORT!$U:$U,"Breakdown"))</f>
        <v/>
      </c>
      <c r="AS13">
        <f>IF(IF(OR(AE13="",$B$10=0),0,SUMIFS(DATA_TRANSPORT!$L:$L,DATA_TRANSPORT!$A:$A,$B$10-7,DATA_TRANSPORT!$E:$E,AE13))=0,"",IF(OR(AE13="",$B$10=0),0,SUMIFS(DATA_TRANSPORT!$R:$R,DATA_TRANSPORT!$A:$A,$B$10-7,DATA_TRANSPORT!$E:$E,AE13))/IF(OR(AE13="",$B$10=0),0,SUMIFS(DATA_TRANSPORT!$L:$L,DATA_TRANSPORT!$A:$A,$B$10-7,DATA_TRANSPORT!$E:$E,AE13)))</f>
        <v/>
      </c>
      <c r="AT13">
        <f>IF(IF(OR(AE13="",$B$10=0),0,SUMIFS(DATA_TRANSPORT!$L:$L,DATA_TRANSPORT!$A:$A,$B$10-14,DATA_TRANSPORT!$E:$E,AE13))=0,"",IF(OR(AE13="",$B$10=0),0,SUMIFS(DATA_TRANSPORT!$R:$R,DATA_TRANSPORT!$A:$A,$B$10-14,DATA_TRANSPORT!$E:$E,AE13))/IF(OR(AE13="",$B$10=0),0,SUMIFS(DATA_TRANSPORT!$L:$L,DATA_TRANSPORT!$A:$A,$B$10-14,DATA_TRANSPORT!$E:$E,AE13)))</f>
        <v/>
      </c>
      <c r="AU13">
        <f>IF(IF(OR(AE13="",$B$10=0),0,SUMIFS(DATA_TRANSPORT!$L:$L,DATA_TRANSPORT!$A:$A,$B$10-21,DATA_TRANSPORT!$E:$E,AE13))=0,"",IF(OR(AE13="",$B$10=0),0,SUMIFS(DATA_TRANSPORT!$R:$R,DATA_TRANSPORT!$A:$A,$B$10-21,DATA_TRANSPORT!$E:$E,AE13))/IF(OR(AE13="",$B$10=0),0,SUMIFS(DATA_TRANSPORT!$L:$L,DATA_TRANSPORT!$A:$A,$B$10-21,DATA_TRANSPORT!$E:$E,AE13)))</f>
        <v/>
      </c>
      <c r="AV13">
        <f>IF(AND(ISNUMBER(AJ13),AJ13&lt;UtilLow),1,0)+IF(AND(ISNUMBER(AS13),AS13&lt;UtilLow),1,0)+IF(AND(ISNUMBER(AT13),AT13&lt;UtilLow),1,0)+IF(AND(ISNUMBER(AU13),AU13&lt;UtilLow),1,0)</f>
        <v/>
      </c>
      <c r="AW13">
        <f>IF(AV13&gt;=UtilLowWeeks,AE13&amp;": seats only "&amp;TEXT(AJ13,"0%")&amp;" full, under "&amp;TEXT(UtilLow,"0%")&amp;" for "&amp;AV13&amp;" weeks running",IF(AND(ISNUMBER(AJ13),AJ13&gt;UtilHigh),AE13&amp;": demand exceeds seats ("&amp;TEXT(AJ13,"0%")&amp;" full) — consider more buses",IF(AND(ISNUMBER(AO13),AO13&gt;0),AE13&amp;": FT spend ₦"&amp;TEXT(AO13,"#,##0")&amp;" over the weekly budget",IF(AR13&gt;0,AE13&amp;": "&amp;AR13&amp;" coaster breakdown(s) this week",""))))</f>
        <v/>
      </c>
      <c r="AX13">
        <f>IF(ISNUMBER(AJ13),AJ13+ROW()/1000000000,"")</f>
        <v/>
      </c>
      <c r="AY13">
        <f>IF(ISNUMBER(AL13),AL13+ROW()/1000000,"")</f>
        <v/>
      </c>
      <c r="AZ13">
        <f>IF(AND(ISNUMBER(AO13),AO13&gt;0),AO13+ROW()/1000000,"")</f>
        <v/>
      </c>
      <c r="BA13">
        <f>IF(AF13&gt;0,AF13+ROW()/1000000,"")</f>
        <v/>
      </c>
      <c r="BB13">
        <f>IF(AW13="","",ROW())</f>
        <v/>
      </c>
      <c r="BO13">
        <f>IFERROR(SMALL(DATA_TRANSPORT!$AC:$AC,11),"")</f>
        <v/>
      </c>
      <c r="BP13">
        <f>IF(BO13="","",INDEX(DATA_TRANSPORT!$E:$E,BO13))</f>
        <v/>
      </c>
      <c r="BQ13">
        <f>IF(BO13="","",INDEX(DATA_TRANSPORT!$C:$C,BO13))</f>
        <v/>
      </c>
      <c r="BR13">
        <f>IF(BO13="","",TRIM(INDEX(DATA_TRANSPORT!$G:$G,BO13)&amp;" "&amp;IF(INDEX(DATA_TRANSPORT!$H:$H,BO13)="","","(bus "&amp;INDEX(DATA_TRANSPORT!$H:$H,BO13)&amp;")")))</f>
        <v/>
      </c>
      <c r="BS13">
        <f>IF(BO13="","",IF(INDEX(DATA_TRANSPORT!$U:$U,BO13)="Breakdown","Breakdown",IF(INDEX(DATA_TRANSPORT!$W:$W,BO13)="","Needs more buses",INDEX(DATA_TRANSPORT!$W:$W,BO13))))</f>
        <v/>
      </c>
      <c r="BT13">
        <f>IF(BO13="","",INDEX(DATA_TRANSPORT!$X:$X,BO13)&amp;"")</f>
        <v/>
      </c>
    </row>
    <row r="14">
      <c r="A14" t="inlineStr">
        <is>
          <t>Selected year</t>
        </is>
      </c>
      <c r="B14">
        <f>IF(B10=0,0,YEAR(B10))</f>
        <v/>
      </c>
      <c r="AE14">
        <f>IFERROR(INDEX(MASTER_AREAS!$B:$B,13)&amp;"","")</f>
        <v/>
      </c>
      <c r="AF14">
        <f>IF(OR(AE14="",$B$10=0),0,SUMIFS(DATA_TRANSPORT!$Q:$Q,DATA_TRANSPORT!$A:$A,$B$10,DATA_TRANSPORT!$E:$E,AE14))</f>
        <v/>
      </c>
      <c r="AG14">
        <f>IF(OR(AE14="",$B$10=0),0,SUMIFS(DATA_TRANSPORT!$I:$I,DATA_TRANSPORT!$A:$A,$B$10,DATA_TRANSPORT!$E:$E,AE14,DATA_TRANSPORT!$U:$U,"Ran"))</f>
        <v/>
      </c>
      <c r="AH14">
        <f>IF(OR(AE14="",$B$10=0),0,SUMIFS(DATA_TRANSPORT!$L:$L,DATA_TRANSPORT!$A:$A,$B$10,DATA_TRANSPORT!$E:$E,AE14))</f>
        <v/>
      </c>
      <c r="AI14">
        <f>IF(OR(AE14="",$B$10=0),0,SUMIFS(DATA_TRANSPORT!$R:$R,DATA_TRANSPORT!$A:$A,$B$10,DATA_TRANSPORT!$E:$E,AE14))</f>
        <v/>
      </c>
      <c r="AJ14">
        <f>IF(AH14=0,"",AI14/AH14)</f>
        <v/>
      </c>
      <c r="AK14">
        <f>IF(OR(AE14="",$B$10=0),0,SUMIFS(DATA_TRANSPORT!$S:$S,DATA_TRANSPORT!$A:$A,$B$10,DATA_TRANSPORT!$E:$E,AE14))+IF(OR(AE14="",$B$10=0),0,SUMIFS(DATA_TRANSPORT_COSTS!$M:$M,DATA_TRANSPORT_COSTS!$A:$A,$B$10,DATA_TRANSPORT_COSTS!$D:$D,AE14))</f>
        <v/>
      </c>
      <c r="AL14">
        <f>IF(OR(AF14=0,AK14=0),"",AK14/AF14)</f>
        <v/>
      </c>
      <c r="AM14">
        <f>IF(OR(AE14="",$B$10=0),0,SUMIFS(DATA_TRANSPORT!$S:$S,DATA_TRANSPORT!$A:$A,$B$10,DATA_TRANSPORT!$E:$E,AE14,DATA_TRANSPORT!$C:$C,"FT Procured"))</f>
        <v/>
      </c>
      <c r="AN14">
        <f>IF(OR(AE14="",$B$10=0),0,SUMIFS(DATA_TRANSPORT_BUDGET!$G:$G,DATA_TRANSPORT_BUDGET!$A:$A,$B$10,DATA_TRANSPORT_BUDGET!$D:$D,AE14))</f>
        <v/>
      </c>
      <c r="AO14">
        <f>IF(AN14=0,"",AM14-AN14)</f>
        <v/>
      </c>
      <c r="AP14">
        <f>IF(OR(AE14="",$B$10=0),0,COUNTIFS(DATA_TRANSPORT!$A:$A,$B$10,DATA_TRANSPORT!$E:$E,AE14,DATA_TRANSPORT!$C:$C,"FT Procured",DATA_TRANSPORT!$Y:$Y,"Y"))</f>
        <v/>
      </c>
      <c r="AQ14">
        <f>IF(OR(AE14="",$B$10=0),0,SUMIFS(DATA_TRANSPORT_BUDGET!$E:$E,DATA_TRANSPORT_BUDGET!$A:$A,$B$10,DATA_TRANSPORT_BUDGET!$D:$D,AE14))</f>
        <v/>
      </c>
      <c r="AR14">
        <f>IF(OR(AE14="",$B$10=0),0,COUNTIFS(DATA_TRANSPORT!$A:$A,$B$10,DATA_TRANSPORT!$E:$E,AE14,DATA_TRANSPORT!$U:$U,"Breakdown"))</f>
        <v/>
      </c>
      <c r="AS14">
        <f>IF(IF(OR(AE14="",$B$10=0),0,SUMIFS(DATA_TRANSPORT!$L:$L,DATA_TRANSPORT!$A:$A,$B$10-7,DATA_TRANSPORT!$E:$E,AE14))=0,"",IF(OR(AE14="",$B$10=0),0,SUMIFS(DATA_TRANSPORT!$R:$R,DATA_TRANSPORT!$A:$A,$B$10-7,DATA_TRANSPORT!$E:$E,AE14))/IF(OR(AE14="",$B$10=0),0,SUMIFS(DATA_TRANSPORT!$L:$L,DATA_TRANSPORT!$A:$A,$B$10-7,DATA_TRANSPORT!$E:$E,AE14)))</f>
        <v/>
      </c>
      <c r="AT14">
        <f>IF(IF(OR(AE14="",$B$10=0),0,SUMIFS(DATA_TRANSPORT!$L:$L,DATA_TRANSPORT!$A:$A,$B$10-14,DATA_TRANSPORT!$E:$E,AE14))=0,"",IF(OR(AE14="",$B$10=0),0,SUMIFS(DATA_TRANSPORT!$R:$R,DATA_TRANSPORT!$A:$A,$B$10-14,DATA_TRANSPORT!$E:$E,AE14))/IF(OR(AE14="",$B$10=0),0,SUMIFS(DATA_TRANSPORT!$L:$L,DATA_TRANSPORT!$A:$A,$B$10-14,DATA_TRANSPORT!$E:$E,AE14)))</f>
        <v/>
      </c>
      <c r="AU14">
        <f>IF(IF(OR(AE14="",$B$10=0),0,SUMIFS(DATA_TRANSPORT!$L:$L,DATA_TRANSPORT!$A:$A,$B$10-21,DATA_TRANSPORT!$E:$E,AE14))=0,"",IF(OR(AE14="",$B$10=0),0,SUMIFS(DATA_TRANSPORT!$R:$R,DATA_TRANSPORT!$A:$A,$B$10-21,DATA_TRANSPORT!$E:$E,AE14))/IF(OR(AE14="",$B$10=0),0,SUMIFS(DATA_TRANSPORT!$L:$L,DATA_TRANSPORT!$A:$A,$B$10-21,DATA_TRANSPORT!$E:$E,AE14)))</f>
        <v/>
      </c>
      <c r="AV14">
        <f>IF(AND(ISNUMBER(AJ14),AJ14&lt;UtilLow),1,0)+IF(AND(ISNUMBER(AS14),AS14&lt;UtilLow),1,0)+IF(AND(ISNUMBER(AT14),AT14&lt;UtilLow),1,0)+IF(AND(ISNUMBER(AU14),AU14&lt;UtilLow),1,0)</f>
        <v/>
      </c>
      <c r="AW14">
        <f>IF(AV14&gt;=UtilLowWeeks,AE14&amp;": seats only "&amp;TEXT(AJ14,"0%")&amp;" full, under "&amp;TEXT(UtilLow,"0%")&amp;" for "&amp;AV14&amp;" weeks running",IF(AND(ISNUMBER(AJ14),AJ14&gt;UtilHigh),AE14&amp;": demand exceeds seats ("&amp;TEXT(AJ14,"0%")&amp;" full) — consider more buses",IF(AND(ISNUMBER(AO14),AO14&gt;0),AE14&amp;": FT spend ₦"&amp;TEXT(AO14,"#,##0")&amp;" over the weekly budget",IF(AR14&gt;0,AE14&amp;": "&amp;AR14&amp;" coaster breakdown(s) this week",""))))</f>
        <v/>
      </c>
      <c r="AX14">
        <f>IF(ISNUMBER(AJ14),AJ14+ROW()/1000000000,"")</f>
        <v/>
      </c>
      <c r="AY14">
        <f>IF(ISNUMBER(AL14),AL14+ROW()/1000000,"")</f>
        <v/>
      </c>
      <c r="AZ14">
        <f>IF(AND(ISNUMBER(AO14),AO14&gt;0),AO14+ROW()/1000000,"")</f>
        <v/>
      </c>
      <c r="BA14">
        <f>IF(AF14&gt;0,AF14+ROW()/1000000,"")</f>
        <v/>
      </c>
      <c r="BB14">
        <f>IF(AW14="","",ROW())</f>
        <v/>
      </c>
      <c r="BO14">
        <f>IFERROR(SMALL(DATA_TRANSPORT!$AC:$AC,12),"")</f>
        <v/>
      </c>
      <c r="BP14">
        <f>IF(BO14="","",INDEX(DATA_TRANSPORT!$E:$E,BO14))</f>
        <v/>
      </c>
      <c r="BQ14">
        <f>IF(BO14="","",INDEX(DATA_TRANSPORT!$C:$C,BO14))</f>
        <v/>
      </c>
      <c r="BR14">
        <f>IF(BO14="","",TRIM(INDEX(DATA_TRANSPORT!$G:$G,BO14)&amp;" "&amp;IF(INDEX(DATA_TRANSPORT!$H:$H,BO14)="","","(bus "&amp;INDEX(DATA_TRANSPORT!$H:$H,BO14)&amp;")")))</f>
        <v/>
      </c>
      <c r="BS14">
        <f>IF(BO14="","",IF(INDEX(DATA_TRANSPORT!$U:$U,BO14)="Breakdown","Breakdown",IF(INDEX(DATA_TRANSPORT!$W:$W,BO14)="","Needs more buses",INDEX(DATA_TRANSPORT!$W:$W,BO14))))</f>
        <v/>
      </c>
      <c r="BT14">
        <f>IF(BO14="","",INDEX(DATA_TRANSPORT!$X:$X,BO14)&amp;"")</f>
        <v/>
      </c>
    </row>
    <row r="15">
      <c r="A15" t="inlineStr">
        <is>
          <t>Any transport data</t>
        </is>
      </c>
      <c r="B15">
        <f>B9&gt;0</f>
        <v/>
      </c>
      <c r="AE15">
        <f>IFERROR(INDEX(MASTER_AREAS!$B:$B,14)&amp;"","")</f>
        <v/>
      </c>
      <c r="AF15">
        <f>IF(OR(AE15="",$B$10=0),0,SUMIFS(DATA_TRANSPORT!$Q:$Q,DATA_TRANSPORT!$A:$A,$B$10,DATA_TRANSPORT!$E:$E,AE15))</f>
        <v/>
      </c>
      <c r="AG15">
        <f>IF(OR(AE15="",$B$10=0),0,SUMIFS(DATA_TRANSPORT!$I:$I,DATA_TRANSPORT!$A:$A,$B$10,DATA_TRANSPORT!$E:$E,AE15,DATA_TRANSPORT!$U:$U,"Ran"))</f>
        <v/>
      </c>
      <c r="AH15">
        <f>IF(OR(AE15="",$B$10=0),0,SUMIFS(DATA_TRANSPORT!$L:$L,DATA_TRANSPORT!$A:$A,$B$10,DATA_TRANSPORT!$E:$E,AE15))</f>
        <v/>
      </c>
      <c r="AI15">
        <f>IF(OR(AE15="",$B$10=0),0,SUMIFS(DATA_TRANSPORT!$R:$R,DATA_TRANSPORT!$A:$A,$B$10,DATA_TRANSPORT!$E:$E,AE15))</f>
        <v/>
      </c>
      <c r="AJ15">
        <f>IF(AH15=0,"",AI15/AH15)</f>
        <v/>
      </c>
      <c r="AK15">
        <f>IF(OR(AE15="",$B$10=0),0,SUMIFS(DATA_TRANSPORT!$S:$S,DATA_TRANSPORT!$A:$A,$B$10,DATA_TRANSPORT!$E:$E,AE15))+IF(OR(AE15="",$B$10=0),0,SUMIFS(DATA_TRANSPORT_COSTS!$M:$M,DATA_TRANSPORT_COSTS!$A:$A,$B$10,DATA_TRANSPORT_COSTS!$D:$D,AE15))</f>
        <v/>
      </c>
      <c r="AL15">
        <f>IF(OR(AF15=0,AK15=0),"",AK15/AF15)</f>
        <v/>
      </c>
      <c r="AM15">
        <f>IF(OR(AE15="",$B$10=0),0,SUMIFS(DATA_TRANSPORT!$S:$S,DATA_TRANSPORT!$A:$A,$B$10,DATA_TRANSPORT!$E:$E,AE15,DATA_TRANSPORT!$C:$C,"FT Procured"))</f>
        <v/>
      </c>
      <c r="AN15">
        <f>IF(OR(AE15="",$B$10=0),0,SUMIFS(DATA_TRANSPORT_BUDGET!$G:$G,DATA_TRANSPORT_BUDGET!$A:$A,$B$10,DATA_TRANSPORT_BUDGET!$D:$D,AE15))</f>
        <v/>
      </c>
      <c r="AO15">
        <f>IF(AN15=0,"",AM15-AN15)</f>
        <v/>
      </c>
      <c r="AP15">
        <f>IF(OR(AE15="",$B$10=0),0,COUNTIFS(DATA_TRANSPORT!$A:$A,$B$10,DATA_TRANSPORT!$E:$E,AE15,DATA_TRANSPORT!$C:$C,"FT Procured",DATA_TRANSPORT!$Y:$Y,"Y"))</f>
        <v/>
      </c>
      <c r="AQ15">
        <f>IF(OR(AE15="",$B$10=0),0,SUMIFS(DATA_TRANSPORT_BUDGET!$E:$E,DATA_TRANSPORT_BUDGET!$A:$A,$B$10,DATA_TRANSPORT_BUDGET!$D:$D,AE15))</f>
        <v/>
      </c>
      <c r="AR15">
        <f>IF(OR(AE15="",$B$10=0),0,COUNTIFS(DATA_TRANSPORT!$A:$A,$B$10,DATA_TRANSPORT!$E:$E,AE15,DATA_TRANSPORT!$U:$U,"Breakdown"))</f>
        <v/>
      </c>
      <c r="AS15">
        <f>IF(IF(OR(AE15="",$B$10=0),0,SUMIFS(DATA_TRANSPORT!$L:$L,DATA_TRANSPORT!$A:$A,$B$10-7,DATA_TRANSPORT!$E:$E,AE15))=0,"",IF(OR(AE15="",$B$10=0),0,SUMIFS(DATA_TRANSPORT!$R:$R,DATA_TRANSPORT!$A:$A,$B$10-7,DATA_TRANSPORT!$E:$E,AE15))/IF(OR(AE15="",$B$10=0),0,SUMIFS(DATA_TRANSPORT!$L:$L,DATA_TRANSPORT!$A:$A,$B$10-7,DATA_TRANSPORT!$E:$E,AE15)))</f>
        <v/>
      </c>
      <c r="AT15">
        <f>IF(IF(OR(AE15="",$B$10=0),0,SUMIFS(DATA_TRANSPORT!$L:$L,DATA_TRANSPORT!$A:$A,$B$10-14,DATA_TRANSPORT!$E:$E,AE15))=0,"",IF(OR(AE15="",$B$10=0),0,SUMIFS(DATA_TRANSPORT!$R:$R,DATA_TRANSPORT!$A:$A,$B$10-14,DATA_TRANSPORT!$E:$E,AE15))/IF(OR(AE15="",$B$10=0),0,SUMIFS(DATA_TRANSPORT!$L:$L,DATA_TRANSPORT!$A:$A,$B$10-14,DATA_TRANSPORT!$E:$E,AE15)))</f>
        <v/>
      </c>
      <c r="AU15">
        <f>IF(IF(OR(AE15="",$B$10=0),0,SUMIFS(DATA_TRANSPORT!$L:$L,DATA_TRANSPORT!$A:$A,$B$10-21,DATA_TRANSPORT!$E:$E,AE15))=0,"",IF(OR(AE15="",$B$10=0),0,SUMIFS(DATA_TRANSPORT!$R:$R,DATA_TRANSPORT!$A:$A,$B$10-21,DATA_TRANSPORT!$E:$E,AE15))/IF(OR(AE15="",$B$10=0),0,SUMIFS(DATA_TRANSPORT!$L:$L,DATA_TRANSPORT!$A:$A,$B$10-21,DATA_TRANSPORT!$E:$E,AE15)))</f>
        <v/>
      </c>
      <c r="AV15">
        <f>IF(AND(ISNUMBER(AJ15),AJ15&lt;UtilLow),1,0)+IF(AND(ISNUMBER(AS15),AS15&lt;UtilLow),1,0)+IF(AND(ISNUMBER(AT15),AT15&lt;UtilLow),1,0)+IF(AND(ISNUMBER(AU15),AU15&lt;UtilLow),1,0)</f>
        <v/>
      </c>
      <c r="AW15">
        <f>IF(AV15&gt;=UtilLowWeeks,AE15&amp;": seats only "&amp;TEXT(AJ15,"0%")&amp;" full, under "&amp;TEXT(UtilLow,"0%")&amp;" for "&amp;AV15&amp;" weeks running",IF(AND(ISNUMBER(AJ15),AJ15&gt;UtilHigh),AE15&amp;": demand exceeds seats ("&amp;TEXT(AJ15,"0%")&amp;" full) — consider more buses",IF(AND(ISNUMBER(AO15),AO15&gt;0),AE15&amp;": FT spend ₦"&amp;TEXT(AO15,"#,##0")&amp;" over the weekly budget",IF(AR15&gt;0,AE15&amp;": "&amp;AR15&amp;" coaster breakdown(s) this week",""))))</f>
        <v/>
      </c>
      <c r="AX15">
        <f>IF(ISNUMBER(AJ15),AJ15+ROW()/1000000000,"")</f>
        <v/>
      </c>
      <c r="AY15">
        <f>IF(ISNUMBER(AL15),AL15+ROW()/1000000,"")</f>
        <v/>
      </c>
      <c r="AZ15">
        <f>IF(AND(ISNUMBER(AO15),AO15&gt;0),AO15+ROW()/1000000,"")</f>
        <v/>
      </c>
      <c r="BA15">
        <f>IF(AF15&gt;0,AF15+ROW()/1000000,"")</f>
        <v/>
      </c>
      <c r="BB15">
        <f>IF(AW15="","",ROW())</f>
        <v/>
      </c>
      <c r="BO15">
        <f>IFERROR(SMALL(DATA_TRANSPORT!$AC:$AC,13),"")</f>
        <v/>
      </c>
      <c r="BP15">
        <f>IF(BO15="","",INDEX(DATA_TRANSPORT!$E:$E,BO15))</f>
        <v/>
      </c>
      <c r="BQ15">
        <f>IF(BO15="","",INDEX(DATA_TRANSPORT!$C:$C,BO15))</f>
        <v/>
      </c>
      <c r="BR15">
        <f>IF(BO15="","",TRIM(INDEX(DATA_TRANSPORT!$G:$G,BO15)&amp;" "&amp;IF(INDEX(DATA_TRANSPORT!$H:$H,BO15)="","","(bus "&amp;INDEX(DATA_TRANSPORT!$H:$H,BO15)&amp;")")))</f>
        <v/>
      </c>
      <c r="BS15">
        <f>IF(BO15="","",IF(INDEX(DATA_TRANSPORT!$U:$U,BO15)="Breakdown","Breakdown",IF(INDEX(DATA_TRANSPORT!$W:$W,BO15)="","Needs more buses",INDEX(DATA_TRANSPORT!$W:$W,BO15))))</f>
        <v/>
      </c>
      <c r="BT15">
        <f>IF(BO15="","",INDEX(DATA_TRANSPORT!$X:$X,BO15)&amp;"")</f>
        <v/>
      </c>
    </row>
    <row r="16">
      <c r="A16" t="inlineStr">
        <is>
          <t>Scope label</t>
        </is>
      </c>
      <c r="B16">
        <f>IF(B3="Global","All Areas",IF(B3="Area","Area: "&amp;IF(B4="","(none selected)",B4),"Zone: "&amp;IF(B4="","(none selected)",B4&amp;IF(B8="",""," ("&amp;B8&amp;")"))))</f>
        <v/>
      </c>
      <c r="AE16">
        <f>IFERROR(INDEX(MASTER_AREAS!$B:$B,15)&amp;"","")</f>
        <v/>
      </c>
      <c r="AF16">
        <f>IF(OR(AE16="",$B$10=0),0,SUMIFS(DATA_TRANSPORT!$Q:$Q,DATA_TRANSPORT!$A:$A,$B$10,DATA_TRANSPORT!$E:$E,AE16))</f>
        <v/>
      </c>
      <c r="AG16">
        <f>IF(OR(AE16="",$B$10=0),0,SUMIFS(DATA_TRANSPORT!$I:$I,DATA_TRANSPORT!$A:$A,$B$10,DATA_TRANSPORT!$E:$E,AE16,DATA_TRANSPORT!$U:$U,"Ran"))</f>
        <v/>
      </c>
      <c r="AH16">
        <f>IF(OR(AE16="",$B$10=0),0,SUMIFS(DATA_TRANSPORT!$L:$L,DATA_TRANSPORT!$A:$A,$B$10,DATA_TRANSPORT!$E:$E,AE16))</f>
        <v/>
      </c>
      <c r="AI16">
        <f>IF(OR(AE16="",$B$10=0),0,SUMIFS(DATA_TRANSPORT!$R:$R,DATA_TRANSPORT!$A:$A,$B$10,DATA_TRANSPORT!$E:$E,AE16))</f>
        <v/>
      </c>
      <c r="AJ16">
        <f>IF(AH16=0,"",AI16/AH16)</f>
        <v/>
      </c>
      <c r="AK16">
        <f>IF(OR(AE16="",$B$10=0),0,SUMIFS(DATA_TRANSPORT!$S:$S,DATA_TRANSPORT!$A:$A,$B$10,DATA_TRANSPORT!$E:$E,AE16))+IF(OR(AE16="",$B$10=0),0,SUMIFS(DATA_TRANSPORT_COSTS!$M:$M,DATA_TRANSPORT_COSTS!$A:$A,$B$10,DATA_TRANSPORT_COSTS!$D:$D,AE16))</f>
        <v/>
      </c>
      <c r="AL16">
        <f>IF(OR(AF16=0,AK16=0),"",AK16/AF16)</f>
        <v/>
      </c>
      <c r="AM16">
        <f>IF(OR(AE16="",$B$10=0),0,SUMIFS(DATA_TRANSPORT!$S:$S,DATA_TRANSPORT!$A:$A,$B$10,DATA_TRANSPORT!$E:$E,AE16,DATA_TRANSPORT!$C:$C,"FT Procured"))</f>
        <v/>
      </c>
      <c r="AN16">
        <f>IF(OR(AE16="",$B$10=0),0,SUMIFS(DATA_TRANSPORT_BUDGET!$G:$G,DATA_TRANSPORT_BUDGET!$A:$A,$B$10,DATA_TRANSPORT_BUDGET!$D:$D,AE16))</f>
        <v/>
      </c>
      <c r="AO16">
        <f>IF(AN16=0,"",AM16-AN16)</f>
        <v/>
      </c>
      <c r="AP16">
        <f>IF(OR(AE16="",$B$10=0),0,COUNTIFS(DATA_TRANSPORT!$A:$A,$B$10,DATA_TRANSPORT!$E:$E,AE16,DATA_TRANSPORT!$C:$C,"FT Procured",DATA_TRANSPORT!$Y:$Y,"Y"))</f>
        <v/>
      </c>
      <c r="AQ16">
        <f>IF(OR(AE16="",$B$10=0),0,SUMIFS(DATA_TRANSPORT_BUDGET!$E:$E,DATA_TRANSPORT_BUDGET!$A:$A,$B$10,DATA_TRANSPORT_BUDGET!$D:$D,AE16))</f>
        <v/>
      </c>
      <c r="AR16">
        <f>IF(OR(AE16="",$B$10=0),0,COUNTIFS(DATA_TRANSPORT!$A:$A,$B$10,DATA_TRANSPORT!$E:$E,AE16,DATA_TRANSPORT!$U:$U,"Breakdown"))</f>
        <v/>
      </c>
      <c r="AS16">
        <f>IF(IF(OR(AE16="",$B$10=0),0,SUMIFS(DATA_TRANSPORT!$L:$L,DATA_TRANSPORT!$A:$A,$B$10-7,DATA_TRANSPORT!$E:$E,AE16))=0,"",IF(OR(AE16="",$B$10=0),0,SUMIFS(DATA_TRANSPORT!$R:$R,DATA_TRANSPORT!$A:$A,$B$10-7,DATA_TRANSPORT!$E:$E,AE16))/IF(OR(AE16="",$B$10=0),0,SUMIFS(DATA_TRANSPORT!$L:$L,DATA_TRANSPORT!$A:$A,$B$10-7,DATA_TRANSPORT!$E:$E,AE16)))</f>
        <v/>
      </c>
      <c r="AT16">
        <f>IF(IF(OR(AE16="",$B$10=0),0,SUMIFS(DATA_TRANSPORT!$L:$L,DATA_TRANSPORT!$A:$A,$B$10-14,DATA_TRANSPORT!$E:$E,AE16))=0,"",IF(OR(AE16="",$B$10=0),0,SUMIFS(DATA_TRANSPORT!$R:$R,DATA_TRANSPORT!$A:$A,$B$10-14,DATA_TRANSPORT!$E:$E,AE16))/IF(OR(AE16="",$B$10=0),0,SUMIFS(DATA_TRANSPORT!$L:$L,DATA_TRANSPORT!$A:$A,$B$10-14,DATA_TRANSPORT!$E:$E,AE16)))</f>
        <v/>
      </c>
      <c r="AU16">
        <f>IF(IF(OR(AE16="",$B$10=0),0,SUMIFS(DATA_TRANSPORT!$L:$L,DATA_TRANSPORT!$A:$A,$B$10-21,DATA_TRANSPORT!$E:$E,AE16))=0,"",IF(OR(AE16="",$B$10=0),0,SUMIFS(DATA_TRANSPORT!$R:$R,DATA_TRANSPORT!$A:$A,$B$10-21,DATA_TRANSPORT!$E:$E,AE16))/IF(OR(AE16="",$B$10=0),0,SUMIFS(DATA_TRANSPORT!$L:$L,DATA_TRANSPORT!$A:$A,$B$10-21,DATA_TRANSPORT!$E:$E,AE16)))</f>
        <v/>
      </c>
      <c r="AV16">
        <f>IF(AND(ISNUMBER(AJ16),AJ16&lt;UtilLow),1,0)+IF(AND(ISNUMBER(AS16),AS16&lt;UtilLow),1,0)+IF(AND(ISNUMBER(AT16),AT16&lt;UtilLow),1,0)+IF(AND(ISNUMBER(AU16),AU16&lt;UtilLow),1,0)</f>
        <v/>
      </c>
      <c r="AW16">
        <f>IF(AV16&gt;=UtilLowWeeks,AE16&amp;": seats only "&amp;TEXT(AJ16,"0%")&amp;" full, under "&amp;TEXT(UtilLow,"0%")&amp;" for "&amp;AV16&amp;" weeks running",IF(AND(ISNUMBER(AJ16),AJ16&gt;UtilHigh),AE16&amp;": demand exceeds seats ("&amp;TEXT(AJ16,"0%")&amp;" full) — consider more buses",IF(AND(ISNUMBER(AO16),AO16&gt;0),AE16&amp;": FT spend ₦"&amp;TEXT(AO16,"#,##0")&amp;" over the weekly budget",IF(AR16&gt;0,AE16&amp;": "&amp;AR16&amp;" coaster breakdown(s) this week",""))))</f>
        <v/>
      </c>
      <c r="AX16">
        <f>IF(ISNUMBER(AJ16),AJ16+ROW()/1000000000,"")</f>
        <v/>
      </c>
      <c r="AY16">
        <f>IF(ISNUMBER(AL16),AL16+ROW()/1000000,"")</f>
        <v/>
      </c>
      <c r="AZ16">
        <f>IF(AND(ISNUMBER(AO16),AO16&gt;0),AO16+ROW()/1000000,"")</f>
        <v/>
      </c>
      <c r="BA16">
        <f>IF(AF16&gt;0,AF16+ROW()/1000000,"")</f>
        <v/>
      </c>
      <c r="BB16">
        <f>IF(AW16="","",ROW())</f>
        <v/>
      </c>
      <c r="BO16">
        <f>IFERROR(SMALL(DATA_TRANSPORT!$AC:$AC,14),"")</f>
        <v/>
      </c>
      <c r="BP16">
        <f>IF(BO16="","",INDEX(DATA_TRANSPORT!$E:$E,BO16))</f>
        <v/>
      </c>
      <c r="BQ16">
        <f>IF(BO16="","",INDEX(DATA_TRANSPORT!$C:$C,BO16))</f>
        <v/>
      </c>
      <c r="BR16">
        <f>IF(BO16="","",TRIM(INDEX(DATA_TRANSPORT!$G:$G,BO16)&amp;" "&amp;IF(INDEX(DATA_TRANSPORT!$H:$H,BO16)="","","(bus "&amp;INDEX(DATA_TRANSPORT!$H:$H,BO16)&amp;")")))</f>
        <v/>
      </c>
      <c r="BS16">
        <f>IF(BO16="","",IF(INDEX(DATA_TRANSPORT!$U:$U,BO16)="Breakdown","Breakdown",IF(INDEX(DATA_TRANSPORT!$W:$W,BO16)="","Needs more buses",INDEX(DATA_TRANSPORT!$W:$W,BO16))))</f>
        <v/>
      </c>
      <c r="BT16">
        <f>IF(BO16="","",INDEX(DATA_TRANSPORT!$X:$X,BO16)&amp;"")</f>
        <v/>
      </c>
    </row>
    <row r="17">
      <c r="A17" t="inlineStr">
        <is>
          <t>Zone scope (costs not split by zone)</t>
        </is>
      </c>
      <c r="B17">
        <f>B3="Zone"</f>
        <v/>
      </c>
      <c r="AE17">
        <f>IFERROR(INDEX(MASTER_AREAS!$B:$B,16)&amp;"","")</f>
        <v/>
      </c>
      <c r="AF17">
        <f>IF(OR(AE17="",$B$10=0),0,SUMIFS(DATA_TRANSPORT!$Q:$Q,DATA_TRANSPORT!$A:$A,$B$10,DATA_TRANSPORT!$E:$E,AE17))</f>
        <v/>
      </c>
      <c r="AG17">
        <f>IF(OR(AE17="",$B$10=0),0,SUMIFS(DATA_TRANSPORT!$I:$I,DATA_TRANSPORT!$A:$A,$B$10,DATA_TRANSPORT!$E:$E,AE17,DATA_TRANSPORT!$U:$U,"Ran"))</f>
        <v/>
      </c>
      <c r="AH17">
        <f>IF(OR(AE17="",$B$10=0),0,SUMIFS(DATA_TRANSPORT!$L:$L,DATA_TRANSPORT!$A:$A,$B$10,DATA_TRANSPORT!$E:$E,AE17))</f>
        <v/>
      </c>
      <c r="AI17">
        <f>IF(OR(AE17="",$B$10=0),0,SUMIFS(DATA_TRANSPORT!$R:$R,DATA_TRANSPORT!$A:$A,$B$10,DATA_TRANSPORT!$E:$E,AE17))</f>
        <v/>
      </c>
      <c r="AJ17">
        <f>IF(AH17=0,"",AI17/AH17)</f>
        <v/>
      </c>
      <c r="AK17">
        <f>IF(OR(AE17="",$B$10=0),0,SUMIFS(DATA_TRANSPORT!$S:$S,DATA_TRANSPORT!$A:$A,$B$10,DATA_TRANSPORT!$E:$E,AE17))+IF(OR(AE17="",$B$10=0),0,SUMIFS(DATA_TRANSPORT_COSTS!$M:$M,DATA_TRANSPORT_COSTS!$A:$A,$B$10,DATA_TRANSPORT_COSTS!$D:$D,AE17))</f>
        <v/>
      </c>
      <c r="AL17">
        <f>IF(OR(AF17=0,AK17=0),"",AK17/AF17)</f>
        <v/>
      </c>
      <c r="AM17">
        <f>IF(OR(AE17="",$B$10=0),0,SUMIFS(DATA_TRANSPORT!$S:$S,DATA_TRANSPORT!$A:$A,$B$10,DATA_TRANSPORT!$E:$E,AE17,DATA_TRANSPORT!$C:$C,"FT Procured"))</f>
        <v/>
      </c>
      <c r="AN17">
        <f>IF(OR(AE17="",$B$10=0),0,SUMIFS(DATA_TRANSPORT_BUDGET!$G:$G,DATA_TRANSPORT_BUDGET!$A:$A,$B$10,DATA_TRANSPORT_BUDGET!$D:$D,AE17))</f>
        <v/>
      </c>
      <c r="AO17">
        <f>IF(AN17=0,"",AM17-AN17)</f>
        <v/>
      </c>
      <c r="AP17">
        <f>IF(OR(AE17="",$B$10=0),0,COUNTIFS(DATA_TRANSPORT!$A:$A,$B$10,DATA_TRANSPORT!$E:$E,AE17,DATA_TRANSPORT!$C:$C,"FT Procured",DATA_TRANSPORT!$Y:$Y,"Y"))</f>
        <v/>
      </c>
      <c r="AQ17">
        <f>IF(OR(AE17="",$B$10=0),0,SUMIFS(DATA_TRANSPORT_BUDGET!$E:$E,DATA_TRANSPORT_BUDGET!$A:$A,$B$10,DATA_TRANSPORT_BUDGET!$D:$D,AE17))</f>
        <v/>
      </c>
      <c r="AR17">
        <f>IF(OR(AE17="",$B$10=0),0,COUNTIFS(DATA_TRANSPORT!$A:$A,$B$10,DATA_TRANSPORT!$E:$E,AE17,DATA_TRANSPORT!$U:$U,"Breakdown"))</f>
        <v/>
      </c>
      <c r="AS17">
        <f>IF(IF(OR(AE17="",$B$10=0),0,SUMIFS(DATA_TRANSPORT!$L:$L,DATA_TRANSPORT!$A:$A,$B$10-7,DATA_TRANSPORT!$E:$E,AE17))=0,"",IF(OR(AE17="",$B$10=0),0,SUMIFS(DATA_TRANSPORT!$R:$R,DATA_TRANSPORT!$A:$A,$B$10-7,DATA_TRANSPORT!$E:$E,AE17))/IF(OR(AE17="",$B$10=0),0,SUMIFS(DATA_TRANSPORT!$L:$L,DATA_TRANSPORT!$A:$A,$B$10-7,DATA_TRANSPORT!$E:$E,AE17)))</f>
        <v/>
      </c>
      <c r="AT17">
        <f>IF(IF(OR(AE17="",$B$10=0),0,SUMIFS(DATA_TRANSPORT!$L:$L,DATA_TRANSPORT!$A:$A,$B$10-14,DATA_TRANSPORT!$E:$E,AE17))=0,"",IF(OR(AE17="",$B$10=0),0,SUMIFS(DATA_TRANSPORT!$R:$R,DATA_TRANSPORT!$A:$A,$B$10-14,DATA_TRANSPORT!$E:$E,AE17))/IF(OR(AE17="",$B$10=0),0,SUMIFS(DATA_TRANSPORT!$L:$L,DATA_TRANSPORT!$A:$A,$B$10-14,DATA_TRANSPORT!$E:$E,AE17)))</f>
        <v/>
      </c>
      <c r="AU17">
        <f>IF(IF(OR(AE17="",$B$10=0),0,SUMIFS(DATA_TRANSPORT!$L:$L,DATA_TRANSPORT!$A:$A,$B$10-21,DATA_TRANSPORT!$E:$E,AE17))=0,"",IF(OR(AE17="",$B$10=0),0,SUMIFS(DATA_TRANSPORT!$R:$R,DATA_TRANSPORT!$A:$A,$B$10-21,DATA_TRANSPORT!$E:$E,AE17))/IF(OR(AE17="",$B$10=0),0,SUMIFS(DATA_TRANSPORT!$L:$L,DATA_TRANSPORT!$A:$A,$B$10-21,DATA_TRANSPORT!$E:$E,AE17)))</f>
        <v/>
      </c>
      <c r="AV17">
        <f>IF(AND(ISNUMBER(AJ17),AJ17&lt;UtilLow),1,0)+IF(AND(ISNUMBER(AS17),AS17&lt;UtilLow),1,0)+IF(AND(ISNUMBER(AT17),AT17&lt;UtilLow),1,0)+IF(AND(ISNUMBER(AU17),AU17&lt;UtilLow),1,0)</f>
        <v/>
      </c>
      <c r="AW17">
        <f>IF(AV17&gt;=UtilLowWeeks,AE17&amp;": seats only "&amp;TEXT(AJ17,"0%")&amp;" full, under "&amp;TEXT(UtilLow,"0%")&amp;" for "&amp;AV17&amp;" weeks running",IF(AND(ISNUMBER(AJ17),AJ17&gt;UtilHigh),AE17&amp;": demand exceeds seats ("&amp;TEXT(AJ17,"0%")&amp;" full) — consider more buses",IF(AND(ISNUMBER(AO17),AO17&gt;0),AE17&amp;": FT spend ₦"&amp;TEXT(AO17,"#,##0")&amp;" over the weekly budget",IF(AR17&gt;0,AE17&amp;": "&amp;AR17&amp;" coaster breakdown(s) this week",""))))</f>
        <v/>
      </c>
      <c r="AX17">
        <f>IF(ISNUMBER(AJ17),AJ17+ROW()/1000000000,"")</f>
        <v/>
      </c>
      <c r="AY17">
        <f>IF(ISNUMBER(AL17),AL17+ROW()/1000000,"")</f>
        <v/>
      </c>
      <c r="AZ17">
        <f>IF(AND(ISNUMBER(AO17),AO17&gt;0),AO17+ROW()/1000000,"")</f>
        <v/>
      </c>
      <c r="BA17">
        <f>IF(AF17&gt;0,AF17+ROW()/1000000,"")</f>
        <v/>
      </c>
      <c r="BB17">
        <f>IF(AW17="","",ROW())</f>
        <v/>
      </c>
      <c r="BO17">
        <f>IFERROR(SMALL(DATA_TRANSPORT!$AC:$AC,15),"")</f>
        <v/>
      </c>
      <c r="BP17">
        <f>IF(BO17="","",INDEX(DATA_TRANSPORT!$E:$E,BO17))</f>
        <v/>
      </c>
      <c r="BQ17">
        <f>IF(BO17="","",INDEX(DATA_TRANSPORT!$C:$C,BO17))</f>
        <v/>
      </c>
      <c r="BR17">
        <f>IF(BO17="","",TRIM(INDEX(DATA_TRANSPORT!$G:$G,BO17)&amp;" "&amp;IF(INDEX(DATA_TRANSPORT!$H:$H,BO17)="","","(bus "&amp;INDEX(DATA_TRANSPORT!$H:$H,BO17)&amp;")")))</f>
        <v/>
      </c>
      <c r="BS17">
        <f>IF(BO17="","",IF(INDEX(DATA_TRANSPORT!$U:$U,BO17)="Breakdown","Breakdown",IF(INDEX(DATA_TRANSPORT!$W:$W,BO17)="","Needs more buses",INDEX(DATA_TRANSPORT!$W:$W,BO17))))</f>
        <v/>
      </c>
      <c r="BT17">
        <f>IF(BO17="","",INDEX(DATA_TRANSPORT!$X:$X,BO17)&amp;"")</f>
        <v/>
      </c>
    </row>
    <row r="18">
      <c r="AE18">
        <f>IFERROR(INDEX(MASTER_AREAS!$B:$B,17)&amp;"","")</f>
        <v/>
      </c>
      <c r="AF18">
        <f>IF(OR(AE18="",$B$10=0),0,SUMIFS(DATA_TRANSPORT!$Q:$Q,DATA_TRANSPORT!$A:$A,$B$10,DATA_TRANSPORT!$E:$E,AE18))</f>
        <v/>
      </c>
      <c r="AG18">
        <f>IF(OR(AE18="",$B$10=0),0,SUMIFS(DATA_TRANSPORT!$I:$I,DATA_TRANSPORT!$A:$A,$B$10,DATA_TRANSPORT!$E:$E,AE18,DATA_TRANSPORT!$U:$U,"Ran"))</f>
        <v/>
      </c>
      <c r="AH18">
        <f>IF(OR(AE18="",$B$10=0),0,SUMIFS(DATA_TRANSPORT!$L:$L,DATA_TRANSPORT!$A:$A,$B$10,DATA_TRANSPORT!$E:$E,AE18))</f>
        <v/>
      </c>
      <c r="AI18">
        <f>IF(OR(AE18="",$B$10=0),0,SUMIFS(DATA_TRANSPORT!$R:$R,DATA_TRANSPORT!$A:$A,$B$10,DATA_TRANSPORT!$E:$E,AE18))</f>
        <v/>
      </c>
      <c r="AJ18">
        <f>IF(AH18=0,"",AI18/AH18)</f>
        <v/>
      </c>
      <c r="AK18">
        <f>IF(OR(AE18="",$B$10=0),0,SUMIFS(DATA_TRANSPORT!$S:$S,DATA_TRANSPORT!$A:$A,$B$10,DATA_TRANSPORT!$E:$E,AE18))+IF(OR(AE18="",$B$10=0),0,SUMIFS(DATA_TRANSPORT_COSTS!$M:$M,DATA_TRANSPORT_COSTS!$A:$A,$B$10,DATA_TRANSPORT_COSTS!$D:$D,AE18))</f>
        <v/>
      </c>
      <c r="AL18">
        <f>IF(OR(AF18=0,AK18=0),"",AK18/AF18)</f>
        <v/>
      </c>
      <c r="AM18">
        <f>IF(OR(AE18="",$B$10=0),0,SUMIFS(DATA_TRANSPORT!$S:$S,DATA_TRANSPORT!$A:$A,$B$10,DATA_TRANSPORT!$E:$E,AE18,DATA_TRANSPORT!$C:$C,"FT Procured"))</f>
        <v/>
      </c>
      <c r="AN18">
        <f>IF(OR(AE18="",$B$10=0),0,SUMIFS(DATA_TRANSPORT_BUDGET!$G:$G,DATA_TRANSPORT_BUDGET!$A:$A,$B$10,DATA_TRANSPORT_BUDGET!$D:$D,AE18))</f>
        <v/>
      </c>
      <c r="AO18">
        <f>IF(AN18=0,"",AM18-AN18)</f>
        <v/>
      </c>
      <c r="AP18">
        <f>IF(OR(AE18="",$B$10=0),0,COUNTIFS(DATA_TRANSPORT!$A:$A,$B$10,DATA_TRANSPORT!$E:$E,AE18,DATA_TRANSPORT!$C:$C,"FT Procured",DATA_TRANSPORT!$Y:$Y,"Y"))</f>
        <v/>
      </c>
      <c r="AQ18">
        <f>IF(OR(AE18="",$B$10=0),0,SUMIFS(DATA_TRANSPORT_BUDGET!$E:$E,DATA_TRANSPORT_BUDGET!$A:$A,$B$10,DATA_TRANSPORT_BUDGET!$D:$D,AE18))</f>
        <v/>
      </c>
      <c r="AR18">
        <f>IF(OR(AE18="",$B$10=0),0,COUNTIFS(DATA_TRANSPORT!$A:$A,$B$10,DATA_TRANSPORT!$E:$E,AE18,DATA_TRANSPORT!$U:$U,"Breakdown"))</f>
        <v/>
      </c>
      <c r="AS18">
        <f>IF(IF(OR(AE18="",$B$10=0),0,SUMIFS(DATA_TRANSPORT!$L:$L,DATA_TRANSPORT!$A:$A,$B$10-7,DATA_TRANSPORT!$E:$E,AE18))=0,"",IF(OR(AE18="",$B$10=0),0,SUMIFS(DATA_TRANSPORT!$R:$R,DATA_TRANSPORT!$A:$A,$B$10-7,DATA_TRANSPORT!$E:$E,AE18))/IF(OR(AE18="",$B$10=0),0,SUMIFS(DATA_TRANSPORT!$L:$L,DATA_TRANSPORT!$A:$A,$B$10-7,DATA_TRANSPORT!$E:$E,AE18)))</f>
        <v/>
      </c>
      <c r="AT18">
        <f>IF(IF(OR(AE18="",$B$10=0),0,SUMIFS(DATA_TRANSPORT!$L:$L,DATA_TRANSPORT!$A:$A,$B$10-14,DATA_TRANSPORT!$E:$E,AE18))=0,"",IF(OR(AE18="",$B$10=0),0,SUMIFS(DATA_TRANSPORT!$R:$R,DATA_TRANSPORT!$A:$A,$B$10-14,DATA_TRANSPORT!$E:$E,AE18))/IF(OR(AE18="",$B$10=0),0,SUMIFS(DATA_TRANSPORT!$L:$L,DATA_TRANSPORT!$A:$A,$B$10-14,DATA_TRANSPORT!$E:$E,AE18)))</f>
        <v/>
      </c>
      <c r="AU18">
        <f>IF(IF(OR(AE18="",$B$10=0),0,SUMIFS(DATA_TRANSPORT!$L:$L,DATA_TRANSPORT!$A:$A,$B$10-21,DATA_TRANSPORT!$E:$E,AE18))=0,"",IF(OR(AE18="",$B$10=0),0,SUMIFS(DATA_TRANSPORT!$R:$R,DATA_TRANSPORT!$A:$A,$B$10-21,DATA_TRANSPORT!$E:$E,AE18))/IF(OR(AE18="",$B$10=0),0,SUMIFS(DATA_TRANSPORT!$L:$L,DATA_TRANSPORT!$A:$A,$B$10-21,DATA_TRANSPORT!$E:$E,AE18)))</f>
        <v/>
      </c>
      <c r="AV18">
        <f>IF(AND(ISNUMBER(AJ18),AJ18&lt;UtilLow),1,0)+IF(AND(ISNUMBER(AS18),AS18&lt;UtilLow),1,0)+IF(AND(ISNUMBER(AT18),AT18&lt;UtilLow),1,0)+IF(AND(ISNUMBER(AU18),AU18&lt;UtilLow),1,0)</f>
        <v/>
      </c>
      <c r="AW18">
        <f>IF(AV18&gt;=UtilLowWeeks,AE18&amp;": seats only "&amp;TEXT(AJ18,"0%")&amp;" full, under "&amp;TEXT(UtilLow,"0%")&amp;" for "&amp;AV18&amp;" weeks running",IF(AND(ISNUMBER(AJ18),AJ18&gt;UtilHigh),AE18&amp;": demand exceeds seats ("&amp;TEXT(AJ18,"0%")&amp;" full) — consider more buses",IF(AND(ISNUMBER(AO18),AO18&gt;0),AE18&amp;": FT spend ₦"&amp;TEXT(AO18,"#,##0")&amp;" over the weekly budget",IF(AR18&gt;0,AE18&amp;": "&amp;AR18&amp;" coaster breakdown(s) this week",""))))</f>
        <v/>
      </c>
      <c r="AX18">
        <f>IF(ISNUMBER(AJ18),AJ18+ROW()/1000000000,"")</f>
        <v/>
      </c>
      <c r="AY18">
        <f>IF(ISNUMBER(AL18),AL18+ROW()/1000000,"")</f>
        <v/>
      </c>
      <c r="AZ18">
        <f>IF(AND(ISNUMBER(AO18),AO18&gt;0),AO18+ROW()/1000000,"")</f>
        <v/>
      </c>
      <c r="BA18">
        <f>IF(AF18&gt;0,AF18+ROW()/1000000,"")</f>
        <v/>
      </c>
      <c r="BB18">
        <f>IF(AW18="","",ROW())</f>
        <v/>
      </c>
      <c r="BO18">
        <f>IFERROR(SMALL(DATA_TRANSPORT!$AC:$AC,16),"")</f>
        <v/>
      </c>
      <c r="BP18">
        <f>IF(BO18="","",INDEX(DATA_TRANSPORT!$E:$E,BO18))</f>
        <v/>
      </c>
      <c r="BQ18">
        <f>IF(BO18="","",INDEX(DATA_TRANSPORT!$C:$C,BO18))</f>
        <v/>
      </c>
      <c r="BR18">
        <f>IF(BO18="","",TRIM(INDEX(DATA_TRANSPORT!$G:$G,BO18)&amp;" "&amp;IF(INDEX(DATA_TRANSPORT!$H:$H,BO18)="","","(bus "&amp;INDEX(DATA_TRANSPORT!$H:$H,BO18)&amp;")")))</f>
        <v/>
      </c>
      <c r="BS18">
        <f>IF(BO18="","",IF(INDEX(DATA_TRANSPORT!$U:$U,BO18)="Breakdown","Breakdown",IF(INDEX(DATA_TRANSPORT!$W:$W,BO18)="","Needs more buses",INDEX(DATA_TRANSPORT!$W:$W,BO18))))</f>
        <v/>
      </c>
      <c r="BT18">
        <f>IF(BO18="","",INDEX(DATA_TRANSPORT!$X:$X,BO18)&amp;"")</f>
        <v/>
      </c>
    </row>
    <row r="19">
      <c r="AE19">
        <f>IFERROR(INDEX(MASTER_AREAS!$B:$B,18)&amp;"","")</f>
        <v/>
      </c>
      <c r="AF19">
        <f>IF(OR(AE19="",$B$10=0),0,SUMIFS(DATA_TRANSPORT!$Q:$Q,DATA_TRANSPORT!$A:$A,$B$10,DATA_TRANSPORT!$E:$E,AE19))</f>
        <v/>
      </c>
      <c r="AG19">
        <f>IF(OR(AE19="",$B$10=0),0,SUMIFS(DATA_TRANSPORT!$I:$I,DATA_TRANSPORT!$A:$A,$B$10,DATA_TRANSPORT!$E:$E,AE19,DATA_TRANSPORT!$U:$U,"Ran"))</f>
        <v/>
      </c>
      <c r="AH19">
        <f>IF(OR(AE19="",$B$10=0),0,SUMIFS(DATA_TRANSPORT!$L:$L,DATA_TRANSPORT!$A:$A,$B$10,DATA_TRANSPORT!$E:$E,AE19))</f>
        <v/>
      </c>
      <c r="AI19">
        <f>IF(OR(AE19="",$B$10=0),0,SUMIFS(DATA_TRANSPORT!$R:$R,DATA_TRANSPORT!$A:$A,$B$10,DATA_TRANSPORT!$E:$E,AE19))</f>
        <v/>
      </c>
      <c r="AJ19">
        <f>IF(AH19=0,"",AI19/AH19)</f>
        <v/>
      </c>
      <c r="AK19">
        <f>IF(OR(AE19="",$B$10=0),0,SUMIFS(DATA_TRANSPORT!$S:$S,DATA_TRANSPORT!$A:$A,$B$10,DATA_TRANSPORT!$E:$E,AE19))+IF(OR(AE19="",$B$10=0),0,SUMIFS(DATA_TRANSPORT_COSTS!$M:$M,DATA_TRANSPORT_COSTS!$A:$A,$B$10,DATA_TRANSPORT_COSTS!$D:$D,AE19))</f>
        <v/>
      </c>
      <c r="AL19">
        <f>IF(OR(AF19=0,AK19=0),"",AK19/AF19)</f>
        <v/>
      </c>
      <c r="AM19">
        <f>IF(OR(AE19="",$B$10=0),0,SUMIFS(DATA_TRANSPORT!$S:$S,DATA_TRANSPORT!$A:$A,$B$10,DATA_TRANSPORT!$E:$E,AE19,DATA_TRANSPORT!$C:$C,"FT Procured"))</f>
        <v/>
      </c>
      <c r="AN19">
        <f>IF(OR(AE19="",$B$10=0),0,SUMIFS(DATA_TRANSPORT_BUDGET!$G:$G,DATA_TRANSPORT_BUDGET!$A:$A,$B$10,DATA_TRANSPORT_BUDGET!$D:$D,AE19))</f>
        <v/>
      </c>
      <c r="AO19">
        <f>IF(AN19=0,"",AM19-AN19)</f>
        <v/>
      </c>
      <c r="AP19">
        <f>IF(OR(AE19="",$B$10=0),0,COUNTIFS(DATA_TRANSPORT!$A:$A,$B$10,DATA_TRANSPORT!$E:$E,AE19,DATA_TRANSPORT!$C:$C,"FT Procured",DATA_TRANSPORT!$Y:$Y,"Y"))</f>
        <v/>
      </c>
      <c r="AQ19">
        <f>IF(OR(AE19="",$B$10=0),0,SUMIFS(DATA_TRANSPORT_BUDGET!$E:$E,DATA_TRANSPORT_BUDGET!$A:$A,$B$10,DATA_TRANSPORT_BUDGET!$D:$D,AE19))</f>
        <v/>
      </c>
      <c r="AR19">
        <f>IF(OR(AE19="",$B$10=0),0,COUNTIFS(DATA_TRANSPORT!$A:$A,$B$10,DATA_TRANSPORT!$E:$E,AE19,DATA_TRANSPORT!$U:$U,"Breakdown"))</f>
        <v/>
      </c>
      <c r="AS19">
        <f>IF(IF(OR(AE19="",$B$10=0),0,SUMIFS(DATA_TRANSPORT!$L:$L,DATA_TRANSPORT!$A:$A,$B$10-7,DATA_TRANSPORT!$E:$E,AE19))=0,"",IF(OR(AE19="",$B$10=0),0,SUMIFS(DATA_TRANSPORT!$R:$R,DATA_TRANSPORT!$A:$A,$B$10-7,DATA_TRANSPORT!$E:$E,AE19))/IF(OR(AE19="",$B$10=0),0,SUMIFS(DATA_TRANSPORT!$L:$L,DATA_TRANSPORT!$A:$A,$B$10-7,DATA_TRANSPORT!$E:$E,AE19)))</f>
        <v/>
      </c>
      <c r="AT19">
        <f>IF(IF(OR(AE19="",$B$10=0),0,SUMIFS(DATA_TRANSPORT!$L:$L,DATA_TRANSPORT!$A:$A,$B$10-14,DATA_TRANSPORT!$E:$E,AE19))=0,"",IF(OR(AE19="",$B$10=0),0,SUMIFS(DATA_TRANSPORT!$R:$R,DATA_TRANSPORT!$A:$A,$B$10-14,DATA_TRANSPORT!$E:$E,AE19))/IF(OR(AE19="",$B$10=0),0,SUMIFS(DATA_TRANSPORT!$L:$L,DATA_TRANSPORT!$A:$A,$B$10-14,DATA_TRANSPORT!$E:$E,AE19)))</f>
        <v/>
      </c>
      <c r="AU19">
        <f>IF(IF(OR(AE19="",$B$10=0),0,SUMIFS(DATA_TRANSPORT!$L:$L,DATA_TRANSPORT!$A:$A,$B$10-21,DATA_TRANSPORT!$E:$E,AE19))=0,"",IF(OR(AE19="",$B$10=0),0,SUMIFS(DATA_TRANSPORT!$R:$R,DATA_TRANSPORT!$A:$A,$B$10-21,DATA_TRANSPORT!$E:$E,AE19))/IF(OR(AE19="",$B$10=0),0,SUMIFS(DATA_TRANSPORT!$L:$L,DATA_TRANSPORT!$A:$A,$B$10-21,DATA_TRANSPORT!$E:$E,AE19)))</f>
        <v/>
      </c>
      <c r="AV19">
        <f>IF(AND(ISNUMBER(AJ19),AJ19&lt;UtilLow),1,0)+IF(AND(ISNUMBER(AS19),AS19&lt;UtilLow),1,0)+IF(AND(ISNUMBER(AT19),AT19&lt;UtilLow),1,0)+IF(AND(ISNUMBER(AU19),AU19&lt;UtilLow),1,0)</f>
        <v/>
      </c>
      <c r="AW19">
        <f>IF(AV19&gt;=UtilLowWeeks,AE19&amp;": seats only "&amp;TEXT(AJ19,"0%")&amp;" full, under "&amp;TEXT(UtilLow,"0%")&amp;" for "&amp;AV19&amp;" weeks running",IF(AND(ISNUMBER(AJ19),AJ19&gt;UtilHigh),AE19&amp;": demand exceeds seats ("&amp;TEXT(AJ19,"0%")&amp;" full) — consider more buses",IF(AND(ISNUMBER(AO19),AO19&gt;0),AE19&amp;": FT spend ₦"&amp;TEXT(AO19,"#,##0")&amp;" over the weekly budget",IF(AR19&gt;0,AE19&amp;": "&amp;AR19&amp;" coaster breakdown(s) this week",""))))</f>
        <v/>
      </c>
      <c r="AX19">
        <f>IF(ISNUMBER(AJ19),AJ19+ROW()/1000000000,"")</f>
        <v/>
      </c>
      <c r="AY19">
        <f>IF(ISNUMBER(AL19),AL19+ROW()/1000000,"")</f>
        <v/>
      </c>
      <c r="AZ19">
        <f>IF(AND(ISNUMBER(AO19),AO19&gt;0),AO19+ROW()/1000000,"")</f>
        <v/>
      </c>
      <c r="BA19">
        <f>IF(AF19&gt;0,AF19+ROW()/1000000,"")</f>
        <v/>
      </c>
      <c r="BB19">
        <f>IF(AW19="","",ROW())</f>
        <v/>
      </c>
      <c r="BO19">
        <f>IFERROR(SMALL(DATA_TRANSPORT!$AC:$AC,17),"")</f>
        <v/>
      </c>
      <c r="BP19">
        <f>IF(BO19="","",INDEX(DATA_TRANSPORT!$E:$E,BO19))</f>
        <v/>
      </c>
      <c r="BQ19">
        <f>IF(BO19="","",INDEX(DATA_TRANSPORT!$C:$C,BO19))</f>
        <v/>
      </c>
      <c r="BR19">
        <f>IF(BO19="","",TRIM(INDEX(DATA_TRANSPORT!$G:$G,BO19)&amp;" "&amp;IF(INDEX(DATA_TRANSPORT!$H:$H,BO19)="","","(bus "&amp;INDEX(DATA_TRANSPORT!$H:$H,BO19)&amp;")")))</f>
        <v/>
      </c>
      <c r="BS19">
        <f>IF(BO19="","",IF(INDEX(DATA_TRANSPORT!$U:$U,BO19)="Breakdown","Breakdown",IF(INDEX(DATA_TRANSPORT!$W:$W,BO19)="","Needs more buses",INDEX(DATA_TRANSPORT!$W:$W,BO19))))</f>
        <v/>
      </c>
      <c r="BT19">
        <f>IF(BO19="","",INDEX(DATA_TRANSPORT!$X:$X,BO19)&amp;"")</f>
        <v/>
      </c>
    </row>
    <row r="20">
      <c r="A20" t="inlineStr">
        <is>
          <t>k</t>
        </is>
      </c>
      <c r="B20" t="inlineStr">
        <is>
          <t>week</t>
        </is>
      </c>
      <c r="C20" t="inlineStr">
        <is>
          <t>month</t>
        </is>
      </c>
      <c r="D20" t="inlineStr">
        <is>
          <t>qtr</t>
        </is>
      </c>
      <c r="E20" t="inlineStr">
        <is>
          <t>year</t>
        </is>
      </c>
      <c r="F20" t="inlineStr">
        <is>
          <t>rows</t>
        </is>
      </c>
      <c r="G20" t="inlineStr">
        <is>
          <t>riders</t>
        </is>
      </c>
      <c r="H20" t="inlineStr">
        <is>
          <t>male</t>
        </is>
      </c>
      <c r="I20" t="inlineStr">
        <is>
          <t>female</t>
        </is>
      </c>
      <c r="J20" t="inlineStr">
        <is>
          <t>children</t>
        </is>
      </c>
      <c r="K20" t="inlineStr">
        <is>
          <t>listed</t>
        </is>
      </c>
      <c r="L20" t="inlineStr">
        <is>
          <t>ran</t>
        </is>
      </c>
      <c r="M20" t="inlineStr">
        <is>
          <t>seats</t>
        </is>
      </c>
      <c r="N20" t="inlineStr">
        <is>
          <t>rws</t>
        </is>
      </c>
      <c r="O20" t="inlineStr">
        <is>
          <t>hire</t>
        </is>
      </c>
      <c r="P20" t="inlineStr">
        <is>
          <t>fuel</t>
        </is>
      </c>
      <c r="Q20" t="inlineStr">
        <is>
          <t>spend</t>
        </is>
      </c>
      <c r="R20" t="inlineStr">
        <is>
          <t>central</t>
        </is>
      </c>
      <c r="S20" t="inlineStr">
        <is>
          <t>members</t>
        </is>
      </c>
      <c r="T20" t="inlineStr">
        <is>
          <t>ft_budget</t>
        </is>
      </c>
      <c r="U20" t="inlineStr">
        <is>
          <t>ft_cost</t>
        </is>
      </c>
      <c r="V20" t="inlineStr">
        <is>
          <t>breakdowns</t>
        </is>
      </c>
      <c r="W20" t="inlineStr">
        <is>
          <t>util</t>
        </is>
      </c>
      <c r="X20" t="inlineStr">
        <is>
          <t>has</t>
        </is>
      </c>
      <c r="Y20" t="inlineStr">
        <is>
          <t>win</t>
        </is>
      </c>
      <c r="Z20" t="inlineStr">
        <is>
          <t>mtd</t>
        </is>
      </c>
      <c r="AA20" t="inlineStr">
        <is>
          <t>qtd</t>
        </is>
      </c>
      <c r="AB20" t="inlineStr">
        <is>
          <t>ytd</t>
        </is>
      </c>
      <c r="AE20">
        <f>IFERROR(INDEX(MASTER_AREAS!$B:$B,19)&amp;"","")</f>
        <v/>
      </c>
      <c r="AF20">
        <f>IF(OR(AE20="",$B$10=0),0,SUMIFS(DATA_TRANSPORT!$Q:$Q,DATA_TRANSPORT!$A:$A,$B$10,DATA_TRANSPORT!$E:$E,AE20))</f>
        <v/>
      </c>
      <c r="AG20">
        <f>IF(OR(AE20="",$B$10=0),0,SUMIFS(DATA_TRANSPORT!$I:$I,DATA_TRANSPORT!$A:$A,$B$10,DATA_TRANSPORT!$E:$E,AE20,DATA_TRANSPORT!$U:$U,"Ran"))</f>
        <v/>
      </c>
      <c r="AH20">
        <f>IF(OR(AE20="",$B$10=0),0,SUMIFS(DATA_TRANSPORT!$L:$L,DATA_TRANSPORT!$A:$A,$B$10,DATA_TRANSPORT!$E:$E,AE20))</f>
        <v/>
      </c>
      <c r="AI20">
        <f>IF(OR(AE20="",$B$10=0),0,SUMIFS(DATA_TRANSPORT!$R:$R,DATA_TRANSPORT!$A:$A,$B$10,DATA_TRANSPORT!$E:$E,AE20))</f>
        <v/>
      </c>
      <c r="AJ20">
        <f>IF(AH20=0,"",AI20/AH20)</f>
        <v/>
      </c>
      <c r="AK20">
        <f>IF(OR(AE20="",$B$10=0),0,SUMIFS(DATA_TRANSPORT!$S:$S,DATA_TRANSPORT!$A:$A,$B$10,DATA_TRANSPORT!$E:$E,AE20))+IF(OR(AE20="",$B$10=0),0,SUMIFS(DATA_TRANSPORT_COSTS!$M:$M,DATA_TRANSPORT_COSTS!$A:$A,$B$10,DATA_TRANSPORT_COSTS!$D:$D,AE20))</f>
        <v/>
      </c>
      <c r="AL20">
        <f>IF(OR(AF20=0,AK20=0),"",AK20/AF20)</f>
        <v/>
      </c>
      <c r="AM20">
        <f>IF(OR(AE20="",$B$10=0),0,SUMIFS(DATA_TRANSPORT!$S:$S,DATA_TRANSPORT!$A:$A,$B$10,DATA_TRANSPORT!$E:$E,AE20,DATA_TRANSPORT!$C:$C,"FT Procured"))</f>
        <v/>
      </c>
      <c r="AN20">
        <f>IF(OR(AE20="",$B$10=0),0,SUMIFS(DATA_TRANSPORT_BUDGET!$G:$G,DATA_TRANSPORT_BUDGET!$A:$A,$B$10,DATA_TRANSPORT_BUDGET!$D:$D,AE20))</f>
        <v/>
      </c>
      <c r="AO20">
        <f>IF(AN20=0,"",AM20-AN20)</f>
        <v/>
      </c>
      <c r="AP20">
        <f>IF(OR(AE20="",$B$10=0),0,COUNTIFS(DATA_TRANSPORT!$A:$A,$B$10,DATA_TRANSPORT!$E:$E,AE20,DATA_TRANSPORT!$C:$C,"FT Procured",DATA_TRANSPORT!$Y:$Y,"Y"))</f>
        <v/>
      </c>
      <c r="AQ20">
        <f>IF(OR(AE20="",$B$10=0),0,SUMIFS(DATA_TRANSPORT_BUDGET!$E:$E,DATA_TRANSPORT_BUDGET!$A:$A,$B$10,DATA_TRANSPORT_BUDGET!$D:$D,AE20))</f>
        <v/>
      </c>
      <c r="AR20">
        <f>IF(OR(AE20="",$B$10=0),0,COUNTIFS(DATA_TRANSPORT!$A:$A,$B$10,DATA_TRANSPORT!$E:$E,AE20,DATA_TRANSPORT!$U:$U,"Breakdown"))</f>
        <v/>
      </c>
      <c r="AS20">
        <f>IF(IF(OR(AE20="",$B$10=0),0,SUMIFS(DATA_TRANSPORT!$L:$L,DATA_TRANSPORT!$A:$A,$B$10-7,DATA_TRANSPORT!$E:$E,AE20))=0,"",IF(OR(AE20="",$B$10=0),0,SUMIFS(DATA_TRANSPORT!$R:$R,DATA_TRANSPORT!$A:$A,$B$10-7,DATA_TRANSPORT!$E:$E,AE20))/IF(OR(AE20="",$B$10=0),0,SUMIFS(DATA_TRANSPORT!$L:$L,DATA_TRANSPORT!$A:$A,$B$10-7,DATA_TRANSPORT!$E:$E,AE20)))</f>
        <v/>
      </c>
      <c r="AT20">
        <f>IF(IF(OR(AE20="",$B$10=0),0,SUMIFS(DATA_TRANSPORT!$L:$L,DATA_TRANSPORT!$A:$A,$B$10-14,DATA_TRANSPORT!$E:$E,AE20))=0,"",IF(OR(AE20="",$B$10=0),0,SUMIFS(DATA_TRANSPORT!$R:$R,DATA_TRANSPORT!$A:$A,$B$10-14,DATA_TRANSPORT!$E:$E,AE20))/IF(OR(AE20="",$B$10=0),0,SUMIFS(DATA_TRANSPORT!$L:$L,DATA_TRANSPORT!$A:$A,$B$10-14,DATA_TRANSPORT!$E:$E,AE20)))</f>
        <v/>
      </c>
      <c r="AU20">
        <f>IF(IF(OR(AE20="",$B$10=0),0,SUMIFS(DATA_TRANSPORT!$L:$L,DATA_TRANSPORT!$A:$A,$B$10-21,DATA_TRANSPORT!$E:$E,AE20))=0,"",IF(OR(AE20="",$B$10=0),0,SUMIFS(DATA_TRANSPORT!$R:$R,DATA_TRANSPORT!$A:$A,$B$10-21,DATA_TRANSPORT!$E:$E,AE20))/IF(OR(AE20="",$B$10=0),0,SUMIFS(DATA_TRANSPORT!$L:$L,DATA_TRANSPORT!$A:$A,$B$10-21,DATA_TRANSPORT!$E:$E,AE20)))</f>
        <v/>
      </c>
      <c r="AV20">
        <f>IF(AND(ISNUMBER(AJ20),AJ20&lt;UtilLow),1,0)+IF(AND(ISNUMBER(AS20),AS20&lt;UtilLow),1,0)+IF(AND(ISNUMBER(AT20),AT20&lt;UtilLow),1,0)+IF(AND(ISNUMBER(AU20),AU20&lt;UtilLow),1,0)</f>
        <v/>
      </c>
      <c r="AW20">
        <f>IF(AV20&gt;=UtilLowWeeks,AE20&amp;": seats only "&amp;TEXT(AJ20,"0%")&amp;" full, under "&amp;TEXT(UtilLow,"0%")&amp;" for "&amp;AV20&amp;" weeks running",IF(AND(ISNUMBER(AJ20),AJ20&gt;UtilHigh),AE20&amp;": demand exceeds seats ("&amp;TEXT(AJ20,"0%")&amp;" full) — consider more buses",IF(AND(ISNUMBER(AO20),AO20&gt;0),AE20&amp;": FT spend ₦"&amp;TEXT(AO20,"#,##0")&amp;" over the weekly budget",IF(AR20&gt;0,AE20&amp;": "&amp;AR20&amp;" coaster breakdown(s) this week",""))))</f>
        <v/>
      </c>
      <c r="AX20">
        <f>IF(ISNUMBER(AJ20),AJ20+ROW()/1000000000,"")</f>
        <v/>
      </c>
      <c r="AY20">
        <f>IF(ISNUMBER(AL20),AL20+ROW()/1000000,"")</f>
        <v/>
      </c>
      <c r="AZ20">
        <f>IF(AND(ISNUMBER(AO20),AO20&gt;0),AO20+ROW()/1000000,"")</f>
        <v/>
      </c>
      <c r="BA20">
        <f>IF(AF20&gt;0,AF20+ROW()/1000000,"")</f>
        <v/>
      </c>
      <c r="BB20">
        <f>IF(AW20="","",ROW())</f>
        <v/>
      </c>
      <c r="BO20">
        <f>IFERROR(SMALL(DATA_TRANSPORT!$AC:$AC,18),"")</f>
        <v/>
      </c>
      <c r="BP20">
        <f>IF(BO20="","",INDEX(DATA_TRANSPORT!$E:$E,BO20))</f>
        <v/>
      </c>
      <c r="BQ20">
        <f>IF(BO20="","",INDEX(DATA_TRANSPORT!$C:$C,BO20))</f>
        <v/>
      </c>
      <c r="BR20">
        <f>IF(BO20="","",TRIM(INDEX(DATA_TRANSPORT!$G:$G,BO20)&amp;" "&amp;IF(INDEX(DATA_TRANSPORT!$H:$H,BO20)="","","(bus "&amp;INDEX(DATA_TRANSPORT!$H:$H,BO20)&amp;")")))</f>
        <v/>
      </c>
      <c r="BS20">
        <f>IF(BO20="","",IF(INDEX(DATA_TRANSPORT!$U:$U,BO20)="Breakdown","Breakdown",IF(INDEX(DATA_TRANSPORT!$W:$W,BO20)="","Needs more buses",INDEX(DATA_TRANSPORT!$W:$W,BO20))))</f>
        <v/>
      </c>
      <c r="BT20">
        <f>IF(BO20="","",INDEX(DATA_TRANSPORT!$X:$X,BO20)&amp;"")</f>
        <v/>
      </c>
    </row>
    <row r="21">
      <c r="A21" t="n">
        <v>0</v>
      </c>
      <c r="B21" s="170">
        <f>IF($B$10=0,"",$B$10-7*A21)</f>
        <v/>
      </c>
      <c r="C21">
        <f>IF(B21="","",MONTH(B21))</f>
        <v/>
      </c>
      <c r="D21">
        <f>IF(B21="","",ROUNDUP(MONTH(B21)/3,0))</f>
        <v/>
      </c>
      <c r="E21">
        <f>IF(B21="","",YEAR(B21))</f>
        <v/>
      </c>
      <c r="F21">
        <f>IF(B21="",0,COUNTIFS(DATA_TRANSPORT!$A:$A,B21,DATA_TRANSPORT!$E:$E,$B$6,DATA_TRANSPORT!$AB:$AB,$B$7))</f>
        <v/>
      </c>
      <c r="G21">
        <f>IF(F21=0,0,SUMIFS(DATA_TRANSPORT!$Q:$Q,DATA_TRANSPORT!$A:$A,B21,DATA_TRANSPORT!$E:$E,$B$6,DATA_TRANSPORT!$AB:$AB,$B$7))</f>
        <v/>
      </c>
      <c r="H21">
        <f>IF(F21=0,0,SUMIFS(DATA_TRANSPORT!$M:$M,DATA_TRANSPORT!$A:$A,B21,DATA_TRANSPORT!$E:$E,$B$6,DATA_TRANSPORT!$AB:$AB,$B$7))</f>
        <v/>
      </c>
      <c r="I21">
        <f>IF(F21=0,0,SUMIFS(DATA_TRANSPORT!$N:$N,DATA_TRANSPORT!$A:$A,B21,DATA_TRANSPORT!$E:$E,$B$6,DATA_TRANSPORT!$AB:$AB,$B$7))</f>
        <v/>
      </c>
      <c r="J21">
        <f>IF(F21=0,0,SUMIFS(DATA_TRANSPORT!$P:$P,DATA_TRANSPORT!$A:$A,B21,DATA_TRANSPORT!$E:$E,$B$6,DATA_TRANSPORT!$AB:$AB,$B$7))</f>
        <v/>
      </c>
      <c r="K21">
        <f>IF(F21=0,0,SUMIFS(DATA_TRANSPORT!$I:$I,DATA_TRANSPORT!$A:$A,B21,DATA_TRANSPORT!$E:$E,$B$6,DATA_TRANSPORT!$AB:$AB,$B$7))</f>
        <v/>
      </c>
      <c r="L21">
        <f>IF(F21=0,0,SUMIFS(DATA_TRANSPORT!$I:$I,DATA_TRANSPORT!$A:$A,B21,DATA_TRANSPORT!$E:$E,$B$6,DATA_TRANSPORT!$AB:$AB,$B$7,DATA_TRANSPORT!$U:$U,"Ran"))</f>
        <v/>
      </c>
      <c r="M21">
        <f>IF(F21=0,0,SUMIFS(DATA_TRANSPORT!$L:$L,DATA_TRANSPORT!$A:$A,B21,DATA_TRANSPORT!$E:$E,$B$6,DATA_TRANSPORT!$AB:$AB,$B$7))</f>
        <v/>
      </c>
      <c r="N21">
        <f>IF(F21=0,0,SUMIFS(DATA_TRANSPORT!$R:$R,DATA_TRANSPORT!$A:$A,B21,DATA_TRANSPORT!$E:$E,$B$6,DATA_TRANSPORT!$AB:$AB,$B$7))</f>
        <v/>
      </c>
      <c r="O21">
        <f>IF(F21=0,0,SUMIFS(DATA_TRANSPORT!$S:$S,DATA_TRANSPORT!$A:$A,B21,DATA_TRANSPORT!$E:$E,$B$6,DATA_TRANSPORT!$AB:$AB,$B$7))</f>
        <v/>
      </c>
      <c r="P21">
        <f>IF(OR(B21="",$B$17),0,SUMIFS(DATA_TRANSPORT_COSTS!$M:$M,DATA_TRANSPORT_COSTS!$A:$A,B21,DATA_TRANSPORT_COSTS!$D:$D,$B$6))</f>
        <v/>
      </c>
      <c r="Q21">
        <f>O21+P21</f>
        <v/>
      </c>
      <c r="R21">
        <f>P21+IF(F21=0,0,SUMIFS(DATA_TRANSPORT!$S:$S,DATA_TRANSPORT!$A:$A,B21,DATA_TRANSPORT!$E:$E,$B$6,DATA_TRANSPORT!$AB:$AB,$B$7,DATA_TRANSPORT!$T:$T,"Central"))</f>
        <v/>
      </c>
      <c r="S21">
        <f>IF(F21=0,0,SUMIFS(DATA_TRANSPORT!$S:$S,DATA_TRANSPORT!$A:$A,B21,DATA_TRANSPORT!$E:$E,$B$6,DATA_TRANSPORT!$AB:$AB,$B$7,DATA_TRANSPORT!$T:$T,"Members"))</f>
        <v/>
      </c>
      <c r="T21">
        <f>IF(OR(B21="",$B$17),0,SUMIFS(DATA_TRANSPORT_BUDGET!$G:$G,DATA_TRANSPORT_BUDGET!$A:$A,B21,DATA_TRANSPORT_BUDGET!$D:$D,$B$6))</f>
        <v/>
      </c>
      <c r="U21">
        <f>IF(F21=0,0,SUMIFS(DATA_TRANSPORT!$S:$S,DATA_TRANSPORT!$A:$A,B21,DATA_TRANSPORT!$E:$E,$B$6,DATA_TRANSPORT!$AB:$AB,$B$7,DATA_TRANSPORT!$C:$C,"FT Procured"))</f>
        <v/>
      </c>
      <c r="V21">
        <f>IF(F21=0,0,COUNTIFS(DATA_TRANSPORT!$A:$A,B21,DATA_TRANSPORT!$E:$E,$B$6,DATA_TRANSPORT!$AB:$AB,$B$7,DATA_TRANSPORT!$U:$U,"Breakdown"))</f>
        <v/>
      </c>
      <c r="W21">
        <f>IF(M21=0,0,N21/M21)</f>
        <v/>
      </c>
      <c r="X21">
        <f>IF(F21&gt;0,1,0)</f>
        <v/>
      </c>
      <c r="Y21">
        <f>IF(AND(A21&gt;=1,A21&lt;=$B$11),X21,0)</f>
        <v/>
      </c>
      <c r="Z21">
        <f>IF(AND(C21=$B$12,E21=$B$14),X21,0)</f>
        <v/>
      </c>
      <c r="AA21">
        <f>IF(AND(D21=$B$13,E21=$B$14),X21,0)</f>
        <v/>
      </c>
      <c r="AB21">
        <f>IF(E21=$B$14,X21,0)</f>
        <v/>
      </c>
      <c r="AE21">
        <f>IFERROR(INDEX(MASTER_AREAS!$B:$B,20)&amp;"","")</f>
        <v/>
      </c>
      <c r="AF21">
        <f>IF(OR(AE21="",$B$10=0),0,SUMIFS(DATA_TRANSPORT!$Q:$Q,DATA_TRANSPORT!$A:$A,$B$10,DATA_TRANSPORT!$E:$E,AE21))</f>
        <v/>
      </c>
      <c r="AG21">
        <f>IF(OR(AE21="",$B$10=0),0,SUMIFS(DATA_TRANSPORT!$I:$I,DATA_TRANSPORT!$A:$A,$B$10,DATA_TRANSPORT!$E:$E,AE21,DATA_TRANSPORT!$U:$U,"Ran"))</f>
        <v/>
      </c>
      <c r="AH21">
        <f>IF(OR(AE21="",$B$10=0),0,SUMIFS(DATA_TRANSPORT!$L:$L,DATA_TRANSPORT!$A:$A,$B$10,DATA_TRANSPORT!$E:$E,AE21))</f>
        <v/>
      </c>
      <c r="AI21">
        <f>IF(OR(AE21="",$B$10=0),0,SUMIFS(DATA_TRANSPORT!$R:$R,DATA_TRANSPORT!$A:$A,$B$10,DATA_TRANSPORT!$E:$E,AE21))</f>
        <v/>
      </c>
      <c r="AJ21">
        <f>IF(AH21=0,"",AI21/AH21)</f>
        <v/>
      </c>
      <c r="AK21">
        <f>IF(OR(AE21="",$B$10=0),0,SUMIFS(DATA_TRANSPORT!$S:$S,DATA_TRANSPORT!$A:$A,$B$10,DATA_TRANSPORT!$E:$E,AE21))+IF(OR(AE21="",$B$10=0),0,SUMIFS(DATA_TRANSPORT_COSTS!$M:$M,DATA_TRANSPORT_COSTS!$A:$A,$B$10,DATA_TRANSPORT_COSTS!$D:$D,AE21))</f>
        <v/>
      </c>
      <c r="AL21">
        <f>IF(OR(AF21=0,AK21=0),"",AK21/AF21)</f>
        <v/>
      </c>
      <c r="AM21">
        <f>IF(OR(AE21="",$B$10=0),0,SUMIFS(DATA_TRANSPORT!$S:$S,DATA_TRANSPORT!$A:$A,$B$10,DATA_TRANSPORT!$E:$E,AE21,DATA_TRANSPORT!$C:$C,"FT Procured"))</f>
        <v/>
      </c>
      <c r="AN21">
        <f>IF(OR(AE21="",$B$10=0),0,SUMIFS(DATA_TRANSPORT_BUDGET!$G:$G,DATA_TRANSPORT_BUDGET!$A:$A,$B$10,DATA_TRANSPORT_BUDGET!$D:$D,AE21))</f>
        <v/>
      </c>
      <c r="AO21">
        <f>IF(AN21=0,"",AM21-AN21)</f>
        <v/>
      </c>
      <c r="AP21">
        <f>IF(OR(AE21="",$B$10=0),0,COUNTIFS(DATA_TRANSPORT!$A:$A,$B$10,DATA_TRANSPORT!$E:$E,AE21,DATA_TRANSPORT!$C:$C,"FT Procured",DATA_TRANSPORT!$Y:$Y,"Y"))</f>
        <v/>
      </c>
      <c r="AQ21">
        <f>IF(OR(AE21="",$B$10=0),0,SUMIFS(DATA_TRANSPORT_BUDGET!$E:$E,DATA_TRANSPORT_BUDGET!$A:$A,$B$10,DATA_TRANSPORT_BUDGET!$D:$D,AE21))</f>
        <v/>
      </c>
      <c r="AR21">
        <f>IF(OR(AE21="",$B$10=0),0,COUNTIFS(DATA_TRANSPORT!$A:$A,$B$10,DATA_TRANSPORT!$E:$E,AE21,DATA_TRANSPORT!$U:$U,"Breakdown"))</f>
        <v/>
      </c>
      <c r="AS21">
        <f>IF(IF(OR(AE21="",$B$10=0),0,SUMIFS(DATA_TRANSPORT!$L:$L,DATA_TRANSPORT!$A:$A,$B$10-7,DATA_TRANSPORT!$E:$E,AE21))=0,"",IF(OR(AE21="",$B$10=0),0,SUMIFS(DATA_TRANSPORT!$R:$R,DATA_TRANSPORT!$A:$A,$B$10-7,DATA_TRANSPORT!$E:$E,AE21))/IF(OR(AE21="",$B$10=0),0,SUMIFS(DATA_TRANSPORT!$L:$L,DATA_TRANSPORT!$A:$A,$B$10-7,DATA_TRANSPORT!$E:$E,AE21)))</f>
        <v/>
      </c>
      <c r="AT21">
        <f>IF(IF(OR(AE21="",$B$10=0),0,SUMIFS(DATA_TRANSPORT!$L:$L,DATA_TRANSPORT!$A:$A,$B$10-14,DATA_TRANSPORT!$E:$E,AE21))=0,"",IF(OR(AE21="",$B$10=0),0,SUMIFS(DATA_TRANSPORT!$R:$R,DATA_TRANSPORT!$A:$A,$B$10-14,DATA_TRANSPORT!$E:$E,AE21))/IF(OR(AE21="",$B$10=0),0,SUMIFS(DATA_TRANSPORT!$L:$L,DATA_TRANSPORT!$A:$A,$B$10-14,DATA_TRANSPORT!$E:$E,AE21)))</f>
        <v/>
      </c>
      <c r="AU21">
        <f>IF(IF(OR(AE21="",$B$10=0),0,SUMIFS(DATA_TRANSPORT!$L:$L,DATA_TRANSPORT!$A:$A,$B$10-21,DATA_TRANSPORT!$E:$E,AE21))=0,"",IF(OR(AE21="",$B$10=0),0,SUMIFS(DATA_TRANSPORT!$R:$R,DATA_TRANSPORT!$A:$A,$B$10-21,DATA_TRANSPORT!$E:$E,AE21))/IF(OR(AE21="",$B$10=0),0,SUMIFS(DATA_TRANSPORT!$L:$L,DATA_TRANSPORT!$A:$A,$B$10-21,DATA_TRANSPORT!$E:$E,AE21)))</f>
        <v/>
      </c>
      <c r="AV21">
        <f>IF(AND(ISNUMBER(AJ21),AJ21&lt;UtilLow),1,0)+IF(AND(ISNUMBER(AS21),AS21&lt;UtilLow),1,0)+IF(AND(ISNUMBER(AT21),AT21&lt;UtilLow),1,0)+IF(AND(ISNUMBER(AU21),AU21&lt;UtilLow),1,0)</f>
        <v/>
      </c>
      <c r="AW21">
        <f>IF(AV21&gt;=UtilLowWeeks,AE21&amp;": seats only "&amp;TEXT(AJ21,"0%")&amp;" full, under "&amp;TEXT(UtilLow,"0%")&amp;" for "&amp;AV21&amp;" weeks running",IF(AND(ISNUMBER(AJ21),AJ21&gt;UtilHigh),AE21&amp;": demand exceeds seats ("&amp;TEXT(AJ21,"0%")&amp;" full) — consider more buses",IF(AND(ISNUMBER(AO21),AO21&gt;0),AE21&amp;": FT spend ₦"&amp;TEXT(AO21,"#,##0")&amp;" over the weekly budget",IF(AR21&gt;0,AE21&amp;": "&amp;AR21&amp;" coaster breakdown(s) this week",""))))</f>
        <v/>
      </c>
      <c r="AX21">
        <f>IF(ISNUMBER(AJ21),AJ21+ROW()/1000000000,"")</f>
        <v/>
      </c>
      <c r="AY21">
        <f>IF(ISNUMBER(AL21),AL21+ROW()/1000000,"")</f>
        <v/>
      </c>
      <c r="AZ21">
        <f>IF(AND(ISNUMBER(AO21),AO21&gt;0),AO21+ROW()/1000000,"")</f>
        <v/>
      </c>
      <c r="BA21">
        <f>IF(AF21&gt;0,AF21+ROW()/1000000,"")</f>
        <v/>
      </c>
      <c r="BB21">
        <f>IF(AW21="","",ROW())</f>
        <v/>
      </c>
      <c r="BO21">
        <f>IFERROR(SMALL(DATA_TRANSPORT!$AC:$AC,19),"")</f>
        <v/>
      </c>
      <c r="BP21">
        <f>IF(BO21="","",INDEX(DATA_TRANSPORT!$E:$E,BO21))</f>
        <v/>
      </c>
      <c r="BQ21">
        <f>IF(BO21="","",INDEX(DATA_TRANSPORT!$C:$C,BO21))</f>
        <v/>
      </c>
      <c r="BR21">
        <f>IF(BO21="","",TRIM(INDEX(DATA_TRANSPORT!$G:$G,BO21)&amp;" "&amp;IF(INDEX(DATA_TRANSPORT!$H:$H,BO21)="","","(bus "&amp;INDEX(DATA_TRANSPORT!$H:$H,BO21)&amp;")")))</f>
        <v/>
      </c>
      <c r="BS21">
        <f>IF(BO21="","",IF(INDEX(DATA_TRANSPORT!$U:$U,BO21)="Breakdown","Breakdown",IF(INDEX(DATA_TRANSPORT!$W:$W,BO21)="","Needs more buses",INDEX(DATA_TRANSPORT!$W:$W,BO21))))</f>
        <v/>
      </c>
      <c r="BT21">
        <f>IF(BO21="","",INDEX(DATA_TRANSPORT!$X:$X,BO21)&amp;"")</f>
        <v/>
      </c>
    </row>
    <row r="22">
      <c r="A22" t="n">
        <v>1</v>
      </c>
      <c r="B22" s="170">
        <f>IF($B$10=0,"",$B$10-7*A22)</f>
        <v/>
      </c>
      <c r="C22">
        <f>IF(B22="","",MONTH(B22))</f>
        <v/>
      </c>
      <c r="D22">
        <f>IF(B22="","",ROUNDUP(MONTH(B22)/3,0))</f>
        <v/>
      </c>
      <c r="E22">
        <f>IF(B22="","",YEAR(B22))</f>
        <v/>
      </c>
      <c r="F22">
        <f>IF(B22="",0,COUNTIFS(DATA_TRANSPORT!$A:$A,B22,DATA_TRANSPORT!$E:$E,$B$6,DATA_TRANSPORT!$AB:$AB,$B$7))</f>
        <v/>
      </c>
      <c r="G22">
        <f>IF(F22=0,0,SUMIFS(DATA_TRANSPORT!$Q:$Q,DATA_TRANSPORT!$A:$A,B22,DATA_TRANSPORT!$E:$E,$B$6,DATA_TRANSPORT!$AB:$AB,$B$7))</f>
        <v/>
      </c>
      <c r="H22">
        <f>IF(F22=0,0,SUMIFS(DATA_TRANSPORT!$M:$M,DATA_TRANSPORT!$A:$A,B22,DATA_TRANSPORT!$E:$E,$B$6,DATA_TRANSPORT!$AB:$AB,$B$7))</f>
        <v/>
      </c>
      <c r="I22">
        <f>IF(F22=0,0,SUMIFS(DATA_TRANSPORT!$N:$N,DATA_TRANSPORT!$A:$A,B22,DATA_TRANSPORT!$E:$E,$B$6,DATA_TRANSPORT!$AB:$AB,$B$7))</f>
        <v/>
      </c>
      <c r="J22">
        <f>IF(F22=0,0,SUMIFS(DATA_TRANSPORT!$P:$P,DATA_TRANSPORT!$A:$A,B22,DATA_TRANSPORT!$E:$E,$B$6,DATA_TRANSPORT!$AB:$AB,$B$7))</f>
        <v/>
      </c>
      <c r="K22">
        <f>IF(F22=0,0,SUMIFS(DATA_TRANSPORT!$I:$I,DATA_TRANSPORT!$A:$A,B22,DATA_TRANSPORT!$E:$E,$B$6,DATA_TRANSPORT!$AB:$AB,$B$7))</f>
        <v/>
      </c>
      <c r="L22">
        <f>IF(F22=0,0,SUMIFS(DATA_TRANSPORT!$I:$I,DATA_TRANSPORT!$A:$A,B22,DATA_TRANSPORT!$E:$E,$B$6,DATA_TRANSPORT!$AB:$AB,$B$7,DATA_TRANSPORT!$U:$U,"Ran"))</f>
        <v/>
      </c>
      <c r="M22">
        <f>IF(F22=0,0,SUMIFS(DATA_TRANSPORT!$L:$L,DATA_TRANSPORT!$A:$A,B22,DATA_TRANSPORT!$E:$E,$B$6,DATA_TRANSPORT!$AB:$AB,$B$7))</f>
        <v/>
      </c>
      <c r="N22">
        <f>IF(F22=0,0,SUMIFS(DATA_TRANSPORT!$R:$R,DATA_TRANSPORT!$A:$A,B22,DATA_TRANSPORT!$E:$E,$B$6,DATA_TRANSPORT!$AB:$AB,$B$7))</f>
        <v/>
      </c>
      <c r="O22">
        <f>IF(F22=0,0,SUMIFS(DATA_TRANSPORT!$S:$S,DATA_TRANSPORT!$A:$A,B22,DATA_TRANSPORT!$E:$E,$B$6,DATA_TRANSPORT!$AB:$AB,$B$7))</f>
        <v/>
      </c>
      <c r="P22">
        <f>IF(OR(B22="",$B$17),0,SUMIFS(DATA_TRANSPORT_COSTS!$M:$M,DATA_TRANSPORT_COSTS!$A:$A,B22,DATA_TRANSPORT_COSTS!$D:$D,$B$6))</f>
        <v/>
      </c>
      <c r="Q22">
        <f>O22+P22</f>
        <v/>
      </c>
      <c r="R22">
        <f>P22+IF(F22=0,0,SUMIFS(DATA_TRANSPORT!$S:$S,DATA_TRANSPORT!$A:$A,B22,DATA_TRANSPORT!$E:$E,$B$6,DATA_TRANSPORT!$AB:$AB,$B$7,DATA_TRANSPORT!$T:$T,"Central"))</f>
        <v/>
      </c>
      <c r="S22">
        <f>IF(F22=0,0,SUMIFS(DATA_TRANSPORT!$S:$S,DATA_TRANSPORT!$A:$A,B22,DATA_TRANSPORT!$E:$E,$B$6,DATA_TRANSPORT!$AB:$AB,$B$7,DATA_TRANSPORT!$T:$T,"Members"))</f>
        <v/>
      </c>
      <c r="T22">
        <f>IF(OR(B22="",$B$17),0,SUMIFS(DATA_TRANSPORT_BUDGET!$G:$G,DATA_TRANSPORT_BUDGET!$A:$A,B22,DATA_TRANSPORT_BUDGET!$D:$D,$B$6))</f>
        <v/>
      </c>
      <c r="U22">
        <f>IF(F22=0,0,SUMIFS(DATA_TRANSPORT!$S:$S,DATA_TRANSPORT!$A:$A,B22,DATA_TRANSPORT!$E:$E,$B$6,DATA_TRANSPORT!$AB:$AB,$B$7,DATA_TRANSPORT!$C:$C,"FT Procured"))</f>
        <v/>
      </c>
      <c r="V22">
        <f>IF(F22=0,0,COUNTIFS(DATA_TRANSPORT!$A:$A,B22,DATA_TRANSPORT!$E:$E,$B$6,DATA_TRANSPORT!$AB:$AB,$B$7,DATA_TRANSPORT!$U:$U,"Breakdown"))</f>
        <v/>
      </c>
      <c r="W22">
        <f>IF(M22=0,0,N22/M22)</f>
        <v/>
      </c>
      <c r="X22">
        <f>IF(F22&gt;0,1,0)</f>
        <v/>
      </c>
      <c r="Y22">
        <f>IF(AND(A22&gt;=1,A22&lt;=$B$11),X22,0)</f>
        <v/>
      </c>
      <c r="Z22">
        <f>IF(AND(C22=$B$12,E22=$B$14),X22,0)</f>
        <v/>
      </c>
      <c r="AA22">
        <f>IF(AND(D22=$B$13,E22=$B$14),X22,0)</f>
        <v/>
      </c>
      <c r="AB22">
        <f>IF(E22=$B$14,X22,0)</f>
        <v/>
      </c>
      <c r="AE22">
        <f>IFERROR(INDEX(MASTER_AREAS!$B:$B,21)&amp;"","")</f>
        <v/>
      </c>
      <c r="AF22">
        <f>IF(OR(AE22="",$B$10=0),0,SUMIFS(DATA_TRANSPORT!$Q:$Q,DATA_TRANSPORT!$A:$A,$B$10,DATA_TRANSPORT!$E:$E,AE22))</f>
        <v/>
      </c>
      <c r="AG22">
        <f>IF(OR(AE22="",$B$10=0),0,SUMIFS(DATA_TRANSPORT!$I:$I,DATA_TRANSPORT!$A:$A,$B$10,DATA_TRANSPORT!$E:$E,AE22,DATA_TRANSPORT!$U:$U,"Ran"))</f>
        <v/>
      </c>
      <c r="AH22">
        <f>IF(OR(AE22="",$B$10=0),0,SUMIFS(DATA_TRANSPORT!$L:$L,DATA_TRANSPORT!$A:$A,$B$10,DATA_TRANSPORT!$E:$E,AE22))</f>
        <v/>
      </c>
      <c r="AI22">
        <f>IF(OR(AE22="",$B$10=0),0,SUMIFS(DATA_TRANSPORT!$R:$R,DATA_TRANSPORT!$A:$A,$B$10,DATA_TRANSPORT!$E:$E,AE22))</f>
        <v/>
      </c>
      <c r="AJ22">
        <f>IF(AH22=0,"",AI22/AH22)</f>
        <v/>
      </c>
      <c r="AK22">
        <f>IF(OR(AE22="",$B$10=0),0,SUMIFS(DATA_TRANSPORT!$S:$S,DATA_TRANSPORT!$A:$A,$B$10,DATA_TRANSPORT!$E:$E,AE22))+IF(OR(AE22="",$B$10=0),0,SUMIFS(DATA_TRANSPORT_COSTS!$M:$M,DATA_TRANSPORT_COSTS!$A:$A,$B$10,DATA_TRANSPORT_COSTS!$D:$D,AE22))</f>
        <v/>
      </c>
      <c r="AL22">
        <f>IF(OR(AF22=0,AK22=0),"",AK22/AF22)</f>
        <v/>
      </c>
      <c r="AM22">
        <f>IF(OR(AE22="",$B$10=0),0,SUMIFS(DATA_TRANSPORT!$S:$S,DATA_TRANSPORT!$A:$A,$B$10,DATA_TRANSPORT!$E:$E,AE22,DATA_TRANSPORT!$C:$C,"FT Procured"))</f>
        <v/>
      </c>
      <c r="AN22">
        <f>IF(OR(AE22="",$B$10=0),0,SUMIFS(DATA_TRANSPORT_BUDGET!$G:$G,DATA_TRANSPORT_BUDGET!$A:$A,$B$10,DATA_TRANSPORT_BUDGET!$D:$D,AE22))</f>
        <v/>
      </c>
      <c r="AO22">
        <f>IF(AN22=0,"",AM22-AN22)</f>
        <v/>
      </c>
      <c r="AP22">
        <f>IF(OR(AE22="",$B$10=0),0,COUNTIFS(DATA_TRANSPORT!$A:$A,$B$10,DATA_TRANSPORT!$E:$E,AE22,DATA_TRANSPORT!$C:$C,"FT Procured",DATA_TRANSPORT!$Y:$Y,"Y"))</f>
        <v/>
      </c>
      <c r="AQ22">
        <f>IF(OR(AE22="",$B$10=0),0,SUMIFS(DATA_TRANSPORT_BUDGET!$E:$E,DATA_TRANSPORT_BUDGET!$A:$A,$B$10,DATA_TRANSPORT_BUDGET!$D:$D,AE22))</f>
        <v/>
      </c>
      <c r="AR22">
        <f>IF(OR(AE22="",$B$10=0),0,COUNTIFS(DATA_TRANSPORT!$A:$A,$B$10,DATA_TRANSPORT!$E:$E,AE22,DATA_TRANSPORT!$U:$U,"Breakdown"))</f>
        <v/>
      </c>
      <c r="AS22">
        <f>IF(IF(OR(AE22="",$B$10=0),0,SUMIFS(DATA_TRANSPORT!$L:$L,DATA_TRANSPORT!$A:$A,$B$10-7,DATA_TRANSPORT!$E:$E,AE22))=0,"",IF(OR(AE22="",$B$10=0),0,SUMIFS(DATA_TRANSPORT!$R:$R,DATA_TRANSPORT!$A:$A,$B$10-7,DATA_TRANSPORT!$E:$E,AE22))/IF(OR(AE22="",$B$10=0),0,SUMIFS(DATA_TRANSPORT!$L:$L,DATA_TRANSPORT!$A:$A,$B$10-7,DATA_TRANSPORT!$E:$E,AE22)))</f>
        <v/>
      </c>
      <c r="AT22">
        <f>IF(IF(OR(AE22="",$B$10=0),0,SUMIFS(DATA_TRANSPORT!$L:$L,DATA_TRANSPORT!$A:$A,$B$10-14,DATA_TRANSPORT!$E:$E,AE22))=0,"",IF(OR(AE22="",$B$10=0),0,SUMIFS(DATA_TRANSPORT!$R:$R,DATA_TRANSPORT!$A:$A,$B$10-14,DATA_TRANSPORT!$E:$E,AE22))/IF(OR(AE22="",$B$10=0),0,SUMIFS(DATA_TRANSPORT!$L:$L,DATA_TRANSPORT!$A:$A,$B$10-14,DATA_TRANSPORT!$E:$E,AE22)))</f>
        <v/>
      </c>
      <c r="AU22">
        <f>IF(IF(OR(AE22="",$B$10=0),0,SUMIFS(DATA_TRANSPORT!$L:$L,DATA_TRANSPORT!$A:$A,$B$10-21,DATA_TRANSPORT!$E:$E,AE22))=0,"",IF(OR(AE22="",$B$10=0),0,SUMIFS(DATA_TRANSPORT!$R:$R,DATA_TRANSPORT!$A:$A,$B$10-21,DATA_TRANSPORT!$E:$E,AE22))/IF(OR(AE22="",$B$10=0),0,SUMIFS(DATA_TRANSPORT!$L:$L,DATA_TRANSPORT!$A:$A,$B$10-21,DATA_TRANSPORT!$E:$E,AE22)))</f>
        <v/>
      </c>
      <c r="AV22">
        <f>IF(AND(ISNUMBER(AJ22),AJ22&lt;UtilLow),1,0)+IF(AND(ISNUMBER(AS22),AS22&lt;UtilLow),1,0)+IF(AND(ISNUMBER(AT22),AT22&lt;UtilLow),1,0)+IF(AND(ISNUMBER(AU22),AU22&lt;UtilLow),1,0)</f>
        <v/>
      </c>
      <c r="AW22">
        <f>IF(AV22&gt;=UtilLowWeeks,AE22&amp;": seats only "&amp;TEXT(AJ22,"0%")&amp;" full, under "&amp;TEXT(UtilLow,"0%")&amp;" for "&amp;AV22&amp;" weeks running",IF(AND(ISNUMBER(AJ22),AJ22&gt;UtilHigh),AE22&amp;": demand exceeds seats ("&amp;TEXT(AJ22,"0%")&amp;" full) — consider more buses",IF(AND(ISNUMBER(AO22),AO22&gt;0),AE22&amp;": FT spend ₦"&amp;TEXT(AO22,"#,##0")&amp;" over the weekly budget",IF(AR22&gt;0,AE22&amp;": "&amp;AR22&amp;" coaster breakdown(s) this week",""))))</f>
        <v/>
      </c>
      <c r="AX22">
        <f>IF(ISNUMBER(AJ22),AJ22+ROW()/1000000000,"")</f>
        <v/>
      </c>
      <c r="AY22">
        <f>IF(ISNUMBER(AL22),AL22+ROW()/1000000,"")</f>
        <v/>
      </c>
      <c r="AZ22">
        <f>IF(AND(ISNUMBER(AO22),AO22&gt;0),AO22+ROW()/1000000,"")</f>
        <v/>
      </c>
      <c r="BA22">
        <f>IF(AF22&gt;0,AF22+ROW()/1000000,"")</f>
        <v/>
      </c>
      <c r="BB22">
        <f>IF(AW22="","",ROW())</f>
        <v/>
      </c>
      <c r="BO22">
        <f>IFERROR(SMALL(DATA_TRANSPORT!$AC:$AC,20),"")</f>
        <v/>
      </c>
      <c r="BP22">
        <f>IF(BO22="","",INDEX(DATA_TRANSPORT!$E:$E,BO22))</f>
        <v/>
      </c>
      <c r="BQ22">
        <f>IF(BO22="","",INDEX(DATA_TRANSPORT!$C:$C,BO22))</f>
        <v/>
      </c>
      <c r="BR22">
        <f>IF(BO22="","",TRIM(INDEX(DATA_TRANSPORT!$G:$G,BO22)&amp;" "&amp;IF(INDEX(DATA_TRANSPORT!$H:$H,BO22)="","","(bus "&amp;INDEX(DATA_TRANSPORT!$H:$H,BO22)&amp;")")))</f>
        <v/>
      </c>
      <c r="BS22">
        <f>IF(BO22="","",IF(INDEX(DATA_TRANSPORT!$U:$U,BO22)="Breakdown","Breakdown",IF(INDEX(DATA_TRANSPORT!$W:$W,BO22)="","Needs more buses",INDEX(DATA_TRANSPORT!$W:$W,BO22))))</f>
        <v/>
      </c>
      <c r="BT22">
        <f>IF(BO22="","",INDEX(DATA_TRANSPORT!$X:$X,BO22)&amp;"")</f>
        <v/>
      </c>
    </row>
    <row r="23">
      <c r="A23" t="n">
        <v>2</v>
      </c>
      <c r="B23" s="170">
        <f>IF($B$10=0,"",$B$10-7*A23)</f>
        <v/>
      </c>
      <c r="C23">
        <f>IF(B23="","",MONTH(B23))</f>
        <v/>
      </c>
      <c r="D23">
        <f>IF(B23="","",ROUNDUP(MONTH(B23)/3,0))</f>
        <v/>
      </c>
      <c r="E23">
        <f>IF(B23="","",YEAR(B23))</f>
        <v/>
      </c>
      <c r="F23">
        <f>IF(B23="",0,COUNTIFS(DATA_TRANSPORT!$A:$A,B23,DATA_TRANSPORT!$E:$E,$B$6,DATA_TRANSPORT!$AB:$AB,$B$7))</f>
        <v/>
      </c>
      <c r="G23">
        <f>IF(F23=0,0,SUMIFS(DATA_TRANSPORT!$Q:$Q,DATA_TRANSPORT!$A:$A,B23,DATA_TRANSPORT!$E:$E,$B$6,DATA_TRANSPORT!$AB:$AB,$B$7))</f>
        <v/>
      </c>
      <c r="H23">
        <f>IF(F23=0,0,SUMIFS(DATA_TRANSPORT!$M:$M,DATA_TRANSPORT!$A:$A,B23,DATA_TRANSPORT!$E:$E,$B$6,DATA_TRANSPORT!$AB:$AB,$B$7))</f>
        <v/>
      </c>
      <c r="I23">
        <f>IF(F23=0,0,SUMIFS(DATA_TRANSPORT!$N:$N,DATA_TRANSPORT!$A:$A,B23,DATA_TRANSPORT!$E:$E,$B$6,DATA_TRANSPORT!$AB:$AB,$B$7))</f>
        <v/>
      </c>
      <c r="J23">
        <f>IF(F23=0,0,SUMIFS(DATA_TRANSPORT!$P:$P,DATA_TRANSPORT!$A:$A,B23,DATA_TRANSPORT!$E:$E,$B$6,DATA_TRANSPORT!$AB:$AB,$B$7))</f>
        <v/>
      </c>
      <c r="K23">
        <f>IF(F23=0,0,SUMIFS(DATA_TRANSPORT!$I:$I,DATA_TRANSPORT!$A:$A,B23,DATA_TRANSPORT!$E:$E,$B$6,DATA_TRANSPORT!$AB:$AB,$B$7))</f>
        <v/>
      </c>
      <c r="L23">
        <f>IF(F23=0,0,SUMIFS(DATA_TRANSPORT!$I:$I,DATA_TRANSPORT!$A:$A,B23,DATA_TRANSPORT!$E:$E,$B$6,DATA_TRANSPORT!$AB:$AB,$B$7,DATA_TRANSPORT!$U:$U,"Ran"))</f>
        <v/>
      </c>
      <c r="M23">
        <f>IF(F23=0,0,SUMIFS(DATA_TRANSPORT!$L:$L,DATA_TRANSPORT!$A:$A,B23,DATA_TRANSPORT!$E:$E,$B$6,DATA_TRANSPORT!$AB:$AB,$B$7))</f>
        <v/>
      </c>
      <c r="N23">
        <f>IF(F23=0,0,SUMIFS(DATA_TRANSPORT!$R:$R,DATA_TRANSPORT!$A:$A,B23,DATA_TRANSPORT!$E:$E,$B$6,DATA_TRANSPORT!$AB:$AB,$B$7))</f>
        <v/>
      </c>
      <c r="O23">
        <f>IF(F23=0,0,SUMIFS(DATA_TRANSPORT!$S:$S,DATA_TRANSPORT!$A:$A,B23,DATA_TRANSPORT!$E:$E,$B$6,DATA_TRANSPORT!$AB:$AB,$B$7))</f>
        <v/>
      </c>
      <c r="P23">
        <f>IF(OR(B23="",$B$17),0,SUMIFS(DATA_TRANSPORT_COSTS!$M:$M,DATA_TRANSPORT_COSTS!$A:$A,B23,DATA_TRANSPORT_COSTS!$D:$D,$B$6))</f>
        <v/>
      </c>
      <c r="Q23">
        <f>O23+P23</f>
        <v/>
      </c>
      <c r="R23">
        <f>P23+IF(F23=0,0,SUMIFS(DATA_TRANSPORT!$S:$S,DATA_TRANSPORT!$A:$A,B23,DATA_TRANSPORT!$E:$E,$B$6,DATA_TRANSPORT!$AB:$AB,$B$7,DATA_TRANSPORT!$T:$T,"Central"))</f>
        <v/>
      </c>
      <c r="S23">
        <f>IF(F23=0,0,SUMIFS(DATA_TRANSPORT!$S:$S,DATA_TRANSPORT!$A:$A,B23,DATA_TRANSPORT!$E:$E,$B$6,DATA_TRANSPORT!$AB:$AB,$B$7,DATA_TRANSPORT!$T:$T,"Members"))</f>
        <v/>
      </c>
      <c r="T23">
        <f>IF(OR(B23="",$B$17),0,SUMIFS(DATA_TRANSPORT_BUDGET!$G:$G,DATA_TRANSPORT_BUDGET!$A:$A,B23,DATA_TRANSPORT_BUDGET!$D:$D,$B$6))</f>
        <v/>
      </c>
      <c r="U23">
        <f>IF(F23=0,0,SUMIFS(DATA_TRANSPORT!$S:$S,DATA_TRANSPORT!$A:$A,B23,DATA_TRANSPORT!$E:$E,$B$6,DATA_TRANSPORT!$AB:$AB,$B$7,DATA_TRANSPORT!$C:$C,"FT Procured"))</f>
        <v/>
      </c>
      <c r="V23">
        <f>IF(F23=0,0,COUNTIFS(DATA_TRANSPORT!$A:$A,B23,DATA_TRANSPORT!$E:$E,$B$6,DATA_TRANSPORT!$AB:$AB,$B$7,DATA_TRANSPORT!$U:$U,"Breakdown"))</f>
        <v/>
      </c>
      <c r="W23">
        <f>IF(M23=0,0,N23/M23)</f>
        <v/>
      </c>
      <c r="X23">
        <f>IF(F23&gt;0,1,0)</f>
        <v/>
      </c>
      <c r="Y23">
        <f>IF(AND(A23&gt;=1,A23&lt;=$B$11),X23,0)</f>
        <v/>
      </c>
      <c r="Z23">
        <f>IF(AND(C23=$B$12,E23=$B$14),X23,0)</f>
        <v/>
      </c>
      <c r="AA23">
        <f>IF(AND(D23=$B$13,E23=$B$14),X23,0)</f>
        <v/>
      </c>
      <c r="AB23">
        <f>IF(E23=$B$14,X23,0)</f>
        <v/>
      </c>
      <c r="AE23">
        <f>IFERROR(INDEX(MASTER_AREAS!$B:$B,22)&amp;"","")</f>
        <v/>
      </c>
      <c r="AF23">
        <f>IF(OR(AE23="",$B$10=0),0,SUMIFS(DATA_TRANSPORT!$Q:$Q,DATA_TRANSPORT!$A:$A,$B$10,DATA_TRANSPORT!$E:$E,AE23))</f>
        <v/>
      </c>
      <c r="AG23">
        <f>IF(OR(AE23="",$B$10=0),0,SUMIFS(DATA_TRANSPORT!$I:$I,DATA_TRANSPORT!$A:$A,$B$10,DATA_TRANSPORT!$E:$E,AE23,DATA_TRANSPORT!$U:$U,"Ran"))</f>
        <v/>
      </c>
      <c r="AH23">
        <f>IF(OR(AE23="",$B$10=0),0,SUMIFS(DATA_TRANSPORT!$L:$L,DATA_TRANSPORT!$A:$A,$B$10,DATA_TRANSPORT!$E:$E,AE23))</f>
        <v/>
      </c>
      <c r="AI23">
        <f>IF(OR(AE23="",$B$10=0),0,SUMIFS(DATA_TRANSPORT!$R:$R,DATA_TRANSPORT!$A:$A,$B$10,DATA_TRANSPORT!$E:$E,AE23))</f>
        <v/>
      </c>
      <c r="AJ23">
        <f>IF(AH23=0,"",AI23/AH23)</f>
        <v/>
      </c>
      <c r="AK23">
        <f>IF(OR(AE23="",$B$10=0),0,SUMIFS(DATA_TRANSPORT!$S:$S,DATA_TRANSPORT!$A:$A,$B$10,DATA_TRANSPORT!$E:$E,AE23))+IF(OR(AE23="",$B$10=0),0,SUMIFS(DATA_TRANSPORT_COSTS!$M:$M,DATA_TRANSPORT_COSTS!$A:$A,$B$10,DATA_TRANSPORT_COSTS!$D:$D,AE23))</f>
        <v/>
      </c>
      <c r="AL23">
        <f>IF(OR(AF23=0,AK23=0),"",AK23/AF23)</f>
        <v/>
      </c>
      <c r="AM23">
        <f>IF(OR(AE23="",$B$10=0),0,SUMIFS(DATA_TRANSPORT!$S:$S,DATA_TRANSPORT!$A:$A,$B$10,DATA_TRANSPORT!$E:$E,AE23,DATA_TRANSPORT!$C:$C,"FT Procured"))</f>
        <v/>
      </c>
      <c r="AN23">
        <f>IF(OR(AE23="",$B$10=0),0,SUMIFS(DATA_TRANSPORT_BUDGET!$G:$G,DATA_TRANSPORT_BUDGET!$A:$A,$B$10,DATA_TRANSPORT_BUDGET!$D:$D,AE23))</f>
        <v/>
      </c>
      <c r="AO23">
        <f>IF(AN23=0,"",AM23-AN23)</f>
        <v/>
      </c>
      <c r="AP23">
        <f>IF(OR(AE23="",$B$10=0),0,COUNTIFS(DATA_TRANSPORT!$A:$A,$B$10,DATA_TRANSPORT!$E:$E,AE23,DATA_TRANSPORT!$C:$C,"FT Procured",DATA_TRANSPORT!$Y:$Y,"Y"))</f>
        <v/>
      </c>
      <c r="AQ23">
        <f>IF(OR(AE23="",$B$10=0),0,SUMIFS(DATA_TRANSPORT_BUDGET!$E:$E,DATA_TRANSPORT_BUDGET!$A:$A,$B$10,DATA_TRANSPORT_BUDGET!$D:$D,AE23))</f>
        <v/>
      </c>
      <c r="AR23">
        <f>IF(OR(AE23="",$B$10=0),0,COUNTIFS(DATA_TRANSPORT!$A:$A,$B$10,DATA_TRANSPORT!$E:$E,AE23,DATA_TRANSPORT!$U:$U,"Breakdown"))</f>
        <v/>
      </c>
      <c r="AS23">
        <f>IF(IF(OR(AE23="",$B$10=0),0,SUMIFS(DATA_TRANSPORT!$L:$L,DATA_TRANSPORT!$A:$A,$B$10-7,DATA_TRANSPORT!$E:$E,AE23))=0,"",IF(OR(AE23="",$B$10=0),0,SUMIFS(DATA_TRANSPORT!$R:$R,DATA_TRANSPORT!$A:$A,$B$10-7,DATA_TRANSPORT!$E:$E,AE23))/IF(OR(AE23="",$B$10=0),0,SUMIFS(DATA_TRANSPORT!$L:$L,DATA_TRANSPORT!$A:$A,$B$10-7,DATA_TRANSPORT!$E:$E,AE23)))</f>
        <v/>
      </c>
      <c r="AT23">
        <f>IF(IF(OR(AE23="",$B$10=0),0,SUMIFS(DATA_TRANSPORT!$L:$L,DATA_TRANSPORT!$A:$A,$B$10-14,DATA_TRANSPORT!$E:$E,AE23))=0,"",IF(OR(AE23="",$B$10=0),0,SUMIFS(DATA_TRANSPORT!$R:$R,DATA_TRANSPORT!$A:$A,$B$10-14,DATA_TRANSPORT!$E:$E,AE23))/IF(OR(AE23="",$B$10=0),0,SUMIFS(DATA_TRANSPORT!$L:$L,DATA_TRANSPORT!$A:$A,$B$10-14,DATA_TRANSPORT!$E:$E,AE23)))</f>
        <v/>
      </c>
      <c r="AU23">
        <f>IF(IF(OR(AE23="",$B$10=0),0,SUMIFS(DATA_TRANSPORT!$L:$L,DATA_TRANSPORT!$A:$A,$B$10-21,DATA_TRANSPORT!$E:$E,AE23))=0,"",IF(OR(AE23="",$B$10=0),0,SUMIFS(DATA_TRANSPORT!$R:$R,DATA_TRANSPORT!$A:$A,$B$10-21,DATA_TRANSPORT!$E:$E,AE23))/IF(OR(AE23="",$B$10=0),0,SUMIFS(DATA_TRANSPORT!$L:$L,DATA_TRANSPORT!$A:$A,$B$10-21,DATA_TRANSPORT!$E:$E,AE23)))</f>
        <v/>
      </c>
      <c r="AV23">
        <f>IF(AND(ISNUMBER(AJ23),AJ23&lt;UtilLow),1,0)+IF(AND(ISNUMBER(AS23),AS23&lt;UtilLow),1,0)+IF(AND(ISNUMBER(AT23),AT23&lt;UtilLow),1,0)+IF(AND(ISNUMBER(AU23),AU23&lt;UtilLow),1,0)</f>
        <v/>
      </c>
      <c r="AW23">
        <f>IF(AV23&gt;=UtilLowWeeks,AE23&amp;": seats only "&amp;TEXT(AJ23,"0%")&amp;" full, under "&amp;TEXT(UtilLow,"0%")&amp;" for "&amp;AV23&amp;" weeks running",IF(AND(ISNUMBER(AJ23),AJ23&gt;UtilHigh),AE23&amp;": demand exceeds seats ("&amp;TEXT(AJ23,"0%")&amp;" full) — consider more buses",IF(AND(ISNUMBER(AO23),AO23&gt;0),AE23&amp;": FT spend ₦"&amp;TEXT(AO23,"#,##0")&amp;" over the weekly budget",IF(AR23&gt;0,AE23&amp;": "&amp;AR23&amp;" coaster breakdown(s) this week",""))))</f>
        <v/>
      </c>
      <c r="AX23">
        <f>IF(ISNUMBER(AJ23),AJ23+ROW()/1000000000,"")</f>
        <v/>
      </c>
      <c r="AY23">
        <f>IF(ISNUMBER(AL23),AL23+ROW()/1000000,"")</f>
        <v/>
      </c>
      <c r="AZ23">
        <f>IF(AND(ISNUMBER(AO23),AO23&gt;0),AO23+ROW()/1000000,"")</f>
        <v/>
      </c>
      <c r="BA23">
        <f>IF(AF23&gt;0,AF23+ROW()/1000000,"")</f>
        <v/>
      </c>
      <c r="BB23">
        <f>IF(AW23="","",ROW())</f>
        <v/>
      </c>
      <c r="BO23">
        <f>IFERROR(SMALL(DATA_TRANSPORT!$AC:$AC,21),"")</f>
        <v/>
      </c>
      <c r="BP23">
        <f>IF(BO23="","",INDEX(DATA_TRANSPORT!$E:$E,BO23))</f>
        <v/>
      </c>
      <c r="BQ23">
        <f>IF(BO23="","",INDEX(DATA_TRANSPORT!$C:$C,BO23))</f>
        <v/>
      </c>
      <c r="BR23">
        <f>IF(BO23="","",TRIM(INDEX(DATA_TRANSPORT!$G:$G,BO23)&amp;" "&amp;IF(INDEX(DATA_TRANSPORT!$H:$H,BO23)="","","(bus "&amp;INDEX(DATA_TRANSPORT!$H:$H,BO23)&amp;")")))</f>
        <v/>
      </c>
      <c r="BS23">
        <f>IF(BO23="","",IF(INDEX(DATA_TRANSPORT!$U:$U,BO23)="Breakdown","Breakdown",IF(INDEX(DATA_TRANSPORT!$W:$W,BO23)="","Needs more buses",INDEX(DATA_TRANSPORT!$W:$W,BO23))))</f>
        <v/>
      </c>
      <c r="BT23">
        <f>IF(BO23="","",INDEX(DATA_TRANSPORT!$X:$X,BO23)&amp;"")</f>
        <v/>
      </c>
    </row>
    <row r="24">
      <c r="A24" t="n">
        <v>3</v>
      </c>
      <c r="B24" s="170">
        <f>IF($B$10=0,"",$B$10-7*A24)</f>
        <v/>
      </c>
      <c r="C24">
        <f>IF(B24="","",MONTH(B24))</f>
        <v/>
      </c>
      <c r="D24">
        <f>IF(B24="","",ROUNDUP(MONTH(B24)/3,0))</f>
        <v/>
      </c>
      <c r="E24">
        <f>IF(B24="","",YEAR(B24))</f>
        <v/>
      </c>
      <c r="F24">
        <f>IF(B24="",0,COUNTIFS(DATA_TRANSPORT!$A:$A,B24,DATA_TRANSPORT!$E:$E,$B$6,DATA_TRANSPORT!$AB:$AB,$B$7))</f>
        <v/>
      </c>
      <c r="G24">
        <f>IF(F24=0,0,SUMIFS(DATA_TRANSPORT!$Q:$Q,DATA_TRANSPORT!$A:$A,B24,DATA_TRANSPORT!$E:$E,$B$6,DATA_TRANSPORT!$AB:$AB,$B$7))</f>
        <v/>
      </c>
      <c r="H24">
        <f>IF(F24=0,0,SUMIFS(DATA_TRANSPORT!$M:$M,DATA_TRANSPORT!$A:$A,B24,DATA_TRANSPORT!$E:$E,$B$6,DATA_TRANSPORT!$AB:$AB,$B$7))</f>
        <v/>
      </c>
      <c r="I24">
        <f>IF(F24=0,0,SUMIFS(DATA_TRANSPORT!$N:$N,DATA_TRANSPORT!$A:$A,B24,DATA_TRANSPORT!$E:$E,$B$6,DATA_TRANSPORT!$AB:$AB,$B$7))</f>
        <v/>
      </c>
      <c r="J24">
        <f>IF(F24=0,0,SUMIFS(DATA_TRANSPORT!$P:$P,DATA_TRANSPORT!$A:$A,B24,DATA_TRANSPORT!$E:$E,$B$6,DATA_TRANSPORT!$AB:$AB,$B$7))</f>
        <v/>
      </c>
      <c r="K24">
        <f>IF(F24=0,0,SUMIFS(DATA_TRANSPORT!$I:$I,DATA_TRANSPORT!$A:$A,B24,DATA_TRANSPORT!$E:$E,$B$6,DATA_TRANSPORT!$AB:$AB,$B$7))</f>
        <v/>
      </c>
      <c r="L24">
        <f>IF(F24=0,0,SUMIFS(DATA_TRANSPORT!$I:$I,DATA_TRANSPORT!$A:$A,B24,DATA_TRANSPORT!$E:$E,$B$6,DATA_TRANSPORT!$AB:$AB,$B$7,DATA_TRANSPORT!$U:$U,"Ran"))</f>
        <v/>
      </c>
      <c r="M24">
        <f>IF(F24=0,0,SUMIFS(DATA_TRANSPORT!$L:$L,DATA_TRANSPORT!$A:$A,B24,DATA_TRANSPORT!$E:$E,$B$6,DATA_TRANSPORT!$AB:$AB,$B$7))</f>
        <v/>
      </c>
      <c r="N24">
        <f>IF(F24=0,0,SUMIFS(DATA_TRANSPORT!$R:$R,DATA_TRANSPORT!$A:$A,B24,DATA_TRANSPORT!$E:$E,$B$6,DATA_TRANSPORT!$AB:$AB,$B$7))</f>
        <v/>
      </c>
      <c r="O24">
        <f>IF(F24=0,0,SUMIFS(DATA_TRANSPORT!$S:$S,DATA_TRANSPORT!$A:$A,B24,DATA_TRANSPORT!$E:$E,$B$6,DATA_TRANSPORT!$AB:$AB,$B$7))</f>
        <v/>
      </c>
      <c r="P24">
        <f>IF(OR(B24="",$B$17),0,SUMIFS(DATA_TRANSPORT_COSTS!$M:$M,DATA_TRANSPORT_COSTS!$A:$A,B24,DATA_TRANSPORT_COSTS!$D:$D,$B$6))</f>
        <v/>
      </c>
      <c r="Q24">
        <f>O24+P24</f>
        <v/>
      </c>
      <c r="R24">
        <f>P24+IF(F24=0,0,SUMIFS(DATA_TRANSPORT!$S:$S,DATA_TRANSPORT!$A:$A,B24,DATA_TRANSPORT!$E:$E,$B$6,DATA_TRANSPORT!$AB:$AB,$B$7,DATA_TRANSPORT!$T:$T,"Central"))</f>
        <v/>
      </c>
      <c r="S24">
        <f>IF(F24=0,0,SUMIFS(DATA_TRANSPORT!$S:$S,DATA_TRANSPORT!$A:$A,B24,DATA_TRANSPORT!$E:$E,$B$6,DATA_TRANSPORT!$AB:$AB,$B$7,DATA_TRANSPORT!$T:$T,"Members"))</f>
        <v/>
      </c>
      <c r="T24">
        <f>IF(OR(B24="",$B$17),0,SUMIFS(DATA_TRANSPORT_BUDGET!$G:$G,DATA_TRANSPORT_BUDGET!$A:$A,B24,DATA_TRANSPORT_BUDGET!$D:$D,$B$6))</f>
        <v/>
      </c>
      <c r="U24">
        <f>IF(F24=0,0,SUMIFS(DATA_TRANSPORT!$S:$S,DATA_TRANSPORT!$A:$A,B24,DATA_TRANSPORT!$E:$E,$B$6,DATA_TRANSPORT!$AB:$AB,$B$7,DATA_TRANSPORT!$C:$C,"FT Procured"))</f>
        <v/>
      </c>
      <c r="V24">
        <f>IF(F24=0,0,COUNTIFS(DATA_TRANSPORT!$A:$A,B24,DATA_TRANSPORT!$E:$E,$B$6,DATA_TRANSPORT!$AB:$AB,$B$7,DATA_TRANSPORT!$U:$U,"Breakdown"))</f>
        <v/>
      </c>
      <c r="W24">
        <f>IF(M24=0,0,N24/M24)</f>
        <v/>
      </c>
      <c r="X24">
        <f>IF(F24&gt;0,1,0)</f>
        <v/>
      </c>
      <c r="Y24">
        <f>IF(AND(A24&gt;=1,A24&lt;=$B$11),X24,0)</f>
        <v/>
      </c>
      <c r="Z24">
        <f>IF(AND(C24=$B$12,E24=$B$14),X24,0)</f>
        <v/>
      </c>
      <c r="AA24">
        <f>IF(AND(D24=$B$13,E24=$B$14),X24,0)</f>
        <v/>
      </c>
      <c r="AB24">
        <f>IF(E24=$B$14,X24,0)</f>
        <v/>
      </c>
      <c r="AE24">
        <f>IFERROR(INDEX(MASTER_AREAS!$B:$B,23)&amp;"","")</f>
        <v/>
      </c>
      <c r="AF24">
        <f>IF(OR(AE24="",$B$10=0),0,SUMIFS(DATA_TRANSPORT!$Q:$Q,DATA_TRANSPORT!$A:$A,$B$10,DATA_TRANSPORT!$E:$E,AE24))</f>
        <v/>
      </c>
      <c r="AG24">
        <f>IF(OR(AE24="",$B$10=0),0,SUMIFS(DATA_TRANSPORT!$I:$I,DATA_TRANSPORT!$A:$A,$B$10,DATA_TRANSPORT!$E:$E,AE24,DATA_TRANSPORT!$U:$U,"Ran"))</f>
        <v/>
      </c>
      <c r="AH24">
        <f>IF(OR(AE24="",$B$10=0),0,SUMIFS(DATA_TRANSPORT!$L:$L,DATA_TRANSPORT!$A:$A,$B$10,DATA_TRANSPORT!$E:$E,AE24))</f>
        <v/>
      </c>
      <c r="AI24">
        <f>IF(OR(AE24="",$B$10=0),0,SUMIFS(DATA_TRANSPORT!$R:$R,DATA_TRANSPORT!$A:$A,$B$10,DATA_TRANSPORT!$E:$E,AE24))</f>
        <v/>
      </c>
      <c r="AJ24">
        <f>IF(AH24=0,"",AI24/AH24)</f>
        <v/>
      </c>
      <c r="AK24">
        <f>IF(OR(AE24="",$B$10=0),0,SUMIFS(DATA_TRANSPORT!$S:$S,DATA_TRANSPORT!$A:$A,$B$10,DATA_TRANSPORT!$E:$E,AE24))+IF(OR(AE24="",$B$10=0),0,SUMIFS(DATA_TRANSPORT_COSTS!$M:$M,DATA_TRANSPORT_COSTS!$A:$A,$B$10,DATA_TRANSPORT_COSTS!$D:$D,AE24))</f>
        <v/>
      </c>
      <c r="AL24">
        <f>IF(OR(AF24=0,AK24=0),"",AK24/AF24)</f>
        <v/>
      </c>
      <c r="AM24">
        <f>IF(OR(AE24="",$B$10=0),0,SUMIFS(DATA_TRANSPORT!$S:$S,DATA_TRANSPORT!$A:$A,$B$10,DATA_TRANSPORT!$E:$E,AE24,DATA_TRANSPORT!$C:$C,"FT Procured"))</f>
        <v/>
      </c>
      <c r="AN24">
        <f>IF(OR(AE24="",$B$10=0),0,SUMIFS(DATA_TRANSPORT_BUDGET!$G:$G,DATA_TRANSPORT_BUDGET!$A:$A,$B$10,DATA_TRANSPORT_BUDGET!$D:$D,AE24))</f>
        <v/>
      </c>
      <c r="AO24">
        <f>IF(AN24=0,"",AM24-AN24)</f>
        <v/>
      </c>
      <c r="AP24">
        <f>IF(OR(AE24="",$B$10=0),0,COUNTIFS(DATA_TRANSPORT!$A:$A,$B$10,DATA_TRANSPORT!$E:$E,AE24,DATA_TRANSPORT!$C:$C,"FT Procured",DATA_TRANSPORT!$Y:$Y,"Y"))</f>
        <v/>
      </c>
      <c r="AQ24">
        <f>IF(OR(AE24="",$B$10=0),0,SUMIFS(DATA_TRANSPORT_BUDGET!$E:$E,DATA_TRANSPORT_BUDGET!$A:$A,$B$10,DATA_TRANSPORT_BUDGET!$D:$D,AE24))</f>
        <v/>
      </c>
      <c r="AR24">
        <f>IF(OR(AE24="",$B$10=0),0,COUNTIFS(DATA_TRANSPORT!$A:$A,$B$10,DATA_TRANSPORT!$E:$E,AE24,DATA_TRANSPORT!$U:$U,"Breakdown"))</f>
        <v/>
      </c>
      <c r="AS24">
        <f>IF(IF(OR(AE24="",$B$10=0),0,SUMIFS(DATA_TRANSPORT!$L:$L,DATA_TRANSPORT!$A:$A,$B$10-7,DATA_TRANSPORT!$E:$E,AE24))=0,"",IF(OR(AE24="",$B$10=0),0,SUMIFS(DATA_TRANSPORT!$R:$R,DATA_TRANSPORT!$A:$A,$B$10-7,DATA_TRANSPORT!$E:$E,AE24))/IF(OR(AE24="",$B$10=0),0,SUMIFS(DATA_TRANSPORT!$L:$L,DATA_TRANSPORT!$A:$A,$B$10-7,DATA_TRANSPORT!$E:$E,AE24)))</f>
        <v/>
      </c>
      <c r="AT24">
        <f>IF(IF(OR(AE24="",$B$10=0),0,SUMIFS(DATA_TRANSPORT!$L:$L,DATA_TRANSPORT!$A:$A,$B$10-14,DATA_TRANSPORT!$E:$E,AE24))=0,"",IF(OR(AE24="",$B$10=0),0,SUMIFS(DATA_TRANSPORT!$R:$R,DATA_TRANSPORT!$A:$A,$B$10-14,DATA_TRANSPORT!$E:$E,AE24))/IF(OR(AE24="",$B$10=0),0,SUMIFS(DATA_TRANSPORT!$L:$L,DATA_TRANSPORT!$A:$A,$B$10-14,DATA_TRANSPORT!$E:$E,AE24)))</f>
        <v/>
      </c>
      <c r="AU24">
        <f>IF(IF(OR(AE24="",$B$10=0),0,SUMIFS(DATA_TRANSPORT!$L:$L,DATA_TRANSPORT!$A:$A,$B$10-21,DATA_TRANSPORT!$E:$E,AE24))=0,"",IF(OR(AE24="",$B$10=0),0,SUMIFS(DATA_TRANSPORT!$R:$R,DATA_TRANSPORT!$A:$A,$B$10-21,DATA_TRANSPORT!$E:$E,AE24))/IF(OR(AE24="",$B$10=0),0,SUMIFS(DATA_TRANSPORT!$L:$L,DATA_TRANSPORT!$A:$A,$B$10-21,DATA_TRANSPORT!$E:$E,AE24)))</f>
        <v/>
      </c>
      <c r="AV24">
        <f>IF(AND(ISNUMBER(AJ24),AJ24&lt;UtilLow),1,0)+IF(AND(ISNUMBER(AS24),AS24&lt;UtilLow),1,0)+IF(AND(ISNUMBER(AT24),AT24&lt;UtilLow),1,0)+IF(AND(ISNUMBER(AU24),AU24&lt;UtilLow),1,0)</f>
        <v/>
      </c>
      <c r="AW24">
        <f>IF(AV24&gt;=UtilLowWeeks,AE24&amp;": seats only "&amp;TEXT(AJ24,"0%")&amp;" full, under "&amp;TEXT(UtilLow,"0%")&amp;" for "&amp;AV24&amp;" weeks running",IF(AND(ISNUMBER(AJ24),AJ24&gt;UtilHigh),AE24&amp;": demand exceeds seats ("&amp;TEXT(AJ24,"0%")&amp;" full) — consider more buses",IF(AND(ISNUMBER(AO24),AO24&gt;0),AE24&amp;": FT spend ₦"&amp;TEXT(AO24,"#,##0")&amp;" over the weekly budget",IF(AR24&gt;0,AE24&amp;": "&amp;AR24&amp;" coaster breakdown(s) this week",""))))</f>
        <v/>
      </c>
      <c r="AX24">
        <f>IF(ISNUMBER(AJ24),AJ24+ROW()/1000000000,"")</f>
        <v/>
      </c>
      <c r="AY24">
        <f>IF(ISNUMBER(AL24),AL24+ROW()/1000000,"")</f>
        <v/>
      </c>
      <c r="AZ24">
        <f>IF(AND(ISNUMBER(AO24),AO24&gt;0),AO24+ROW()/1000000,"")</f>
        <v/>
      </c>
      <c r="BA24">
        <f>IF(AF24&gt;0,AF24+ROW()/1000000,"")</f>
        <v/>
      </c>
      <c r="BB24">
        <f>IF(AW24="","",ROW())</f>
        <v/>
      </c>
      <c r="BO24">
        <f>IFERROR(SMALL(DATA_TRANSPORT!$AC:$AC,22),"")</f>
        <v/>
      </c>
      <c r="BP24">
        <f>IF(BO24="","",INDEX(DATA_TRANSPORT!$E:$E,BO24))</f>
        <v/>
      </c>
      <c r="BQ24">
        <f>IF(BO24="","",INDEX(DATA_TRANSPORT!$C:$C,BO24))</f>
        <v/>
      </c>
      <c r="BR24">
        <f>IF(BO24="","",TRIM(INDEX(DATA_TRANSPORT!$G:$G,BO24)&amp;" "&amp;IF(INDEX(DATA_TRANSPORT!$H:$H,BO24)="","","(bus "&amp;INDEX(DATA_TRANSPORT!$H:$H,BO24)&amp;")")))</f>
        <v/>
      </c>
      <c r="BS24">
        <f>IF(BO24="","",IF(INDEX(DATA_TRANSPORT!$U:$U,BO24)="Breakdown","Breakdown",IF(INDEX(DATA_TRANSPORT!$W:$W,BO24)="","Needs more buses",INDEX(DATA_TRANSPORT!$W:$W,BO24))))</f>
        <v/>
      </c>
      <c r="BT24">
        <f>IF(BO24="","",INDEX(DATA_TRANSPORT!$X:$X,BO24)&amp;"")</f>
        <v/>
      </c>
    </row>
    <row r="25">
      <c r="A25" t="n">
        <v>4</v>
      </c>
      <c r="B25" s="170">
        <f>IF($B$10=0,"",$B$10-7*A25)</f>
        <v/>
      </c>
      <c r="C25">
        <f>IF(B25="","",MONTH(B25))</f>
        <v/>
      </c>
      <c r="D25">
        <f>IF(B25="","",ROUNDUP(MONTH(B25)/3,0))</f>
        <v/>
      </c>
      <c r="E25">
        <f>IF(B25="","",YEAR(B25))</f>
        <v/>
      </c>
      <c r="F25">
        <f>IF(B25="",0,COUNTIFS(DATA_TRANSPORT!$A:$A,B25,DATA_TRANSPORT!$E:$E,$B$6,DATA_TRANSPORT!$AB:$AB,$B$7))</f>
        <v/>
      </c>
      <c r="G25">
        <f>IF(F25=0,0,SUMIFS(DATA_TRANSPORT!$Q:$Q,DATA_TRANSPORT!$A:$A,B25,DATA_TRANSPORT!$E:$E,$B$6,DATA_TRANSPORT!$AB:$AB,$B$7))</f>
        <v/>
      </c>
      <c r="H25">
        <f>IF(F25=0,0,SUMIFS(DATA_TRANSPORT!$M:$M,DATA_TRANSPORT!$A:$A,B25,DATA_TRANSPORT!$E:$E,$B$6,DATA_TRANSPORT!$AB:$AB,$B$7))</f>
        <v/>
      </c>
      <c r="I25">
        <f>IF(F25=0,0,SUMIFS(DATA_TRANSPORT!$N:$N,DATA_TRANSPORT!$A:$A,B25,DATA_TRANSPORT!$E:$E,$B$6,DATA_TRANSPORT!$AB:$AB,$B$7))</f>
        <v/>
      </c>
      <c r="J25">
        <f>IF(F25=0,0,SUMIFS(DATA_TRANSPORT!$P:$P,DATA_TRANSPORT!$A:$A,B25,DATA_TRANSPORT!$E:$E,$B$6,DATA_TRANSPORT!$AB:$AB,$B$7))</f>
        <v/>
      </c>
      <c r="K25">
        <f>IF(F25=0,0,SUMIFS(DATA_TRANSPORT!$I:$I,DATA_TRANSPORT!$A:$A,B25,DATA_TRANSPORT!$E:$E,$B$6,DATA_TRANSPORT!$AB:$AB,$B$7))</f>
        <v/>
      </c>
      <c r="L25">
        <f>IF(F25=0,0,SUMIFS(DATA_TRANSPORT!$I:$I,DATA_TRANSPORT!$A:$A,B25,DATA_TRANSPORT!$E:$E,$B$6,DATA_TRANSPORT!$AB:$AB,$B$7,DATA_TRANSPORT!$U:$U,"Ran"))</f>
        <v/>
      </c>
      <c r="M25">
        <f>IF(F25=0,0,SUMIFS(DATA_TRANSPORT!$L:$L,DATA_TRANSPORT!$A:$A,B25,DATA_TRANSPORT!$E:$E,$B$6,DATA_TRANSPORT!$AB:$AB,$B$7))</f>
        <v/>
      </c>
      <c r="N25">
        <f>IF(F25=0,0,SUMIFS(DATA_TRANSPORT!$R:$R,DATA_TRANSPORT!$A:$A,B25,DATA_TRANSPORT!$E:$E,$B$6,DATA_TRANSPORT!$AB:$AB,$B$7))</f>
        <v/>
      </c>
      <c r="O25">
        <f>IF(F25=0,0,SUMIFS(DATA_TRANSPORT!$S:$S,DATA_TRANSPORT!$A:$A,B25,DATA_TRANSPORT!$E:$E,$B$6,DATA_TRANSPORT!$AB:$AB,$B$7))</f>
        <v/>
      </c>
      <c r="P25">
        <f>IF(OR(B25="",$B$17),0,SUMIFS(DATA_TRANSPORT_COSTS!$M:$M,DATA_TRANSPORT_COSTS!$A:$A,B25,DATA_TRANSPORT_COSTS!$D:$D,$B$6))</f>
        <v/>
      </c>
      <c r="Q25">
        <f>O25+P25</f>
        <v/>
      </c>
      <c r="R25">
        <f>P25+IF(F25=0,0,SUMIFS(DATA_TRANSPORT!$S:$S,DATA_TRANSPORT!$A:$A,B25,DATA_TRANSPORT!$E:$E,$B$6,DATA_TRANSPORT!$AB:$AB,$B$7,DATA_TRANSPORT!$T:$T,"Central"))</f>
        <v/>
      </c>
      <c r="S25">
        <f>IF(F25=0,0,SUMIFS(DATA_TRANSPORT!$S:$S,DATA_TRANSPORT!$A:$A,B25,DATA_TRANSPORT!$E:$E,$B$6,DATA_TRANSPORT!$AB:$AB,$B$7,DATA_TRANSPORT!$T:$T,"Members"))</f>
        <v/>
      </c>
      <c r="T25">
        <f>IF(OR(B25="",$B$17),0,SUMIFS(DATA_TRANSPORT_BUDGET!$G:$G,DATA_TRANSPORT_BUDGET!$A:$A,B25,DATA_TRANSPORT_BUDGET!$D:$D,$B$6))</f>
        <v/>
      </c>
      <c r="U25">
        <f>IF(F25=0,0,SUMIFS(DATA_TRANSPORT!$S:$S,DATA_TRANSPORT!$A:$A,B25,DATA_TRANSPORT!$E:$E,$B$6,DATA_TRANSPORT!$AB:$AB,$B$7,DATA_TRANSPORT!$C:$C,"FT Procured"))</f>
        <v/>
      </c>
      <c r="V25">
        <f>IF(F25=0,0,COUNTIFS(DATA_TRANSPORT!$A:$A,B25,DATA_TRANSPORT!$E:$E,$B$6,DATA_TRANSPORT!$AB:$AB,$B$7,DATA_TRANSPORT!$U:$U,"Breakdown"))</f>
        <v/>
      </c>
      <c r="W25">
        <f>IF(M25=0,0,N25/M25)</f>
        <v/>
      </c>
      <c r="X25">
        <f>IF(F25&gt;0,1,0)</f>
        <v/>
      </c>
      <c r="Y25">
        <f>IF(AND(A25&gt;=1,A25&lt;=$B$11),X25,0)</f>
        <v/>
      </c>
      <c r="Z25">
        <f>IF(AND(C25=$B$12,E25=$B$14),X25,0)</f>
        <v/>
      </c>
      <c r="AA25">
        <f>IF(AND(D25=$B$13,E25=$B$14),X25,0)</f>
        <v/>
      </c>
      <c r="AB25">
        <f>IF(E25=$B$14,X25,0)</f>
        <v/>
      </c>
      <c r="AE25">
        <f>IFERROR(INDEX(MASTER_AREAS!$B:$B,24)&amp;"","")</f>
        <v/>
      </c>
      <c r="AF25">
        <f>IF(OR(AE25="",$B$10=0),0,SUMIFS(DATA_TRANSPORT!$Q:$Q,DATA_TRANSPORT!$A:$A,$B$10,DATA_TRANSPORT!$E:$E,AE25))</f>
        <v/>
      </c>
      <c r="AG25">
        <f>IF(OR(AE25="",$B$10=0),0,SUMIFS(DATA_TRANSPORT!$I:$I,DATA_TRANSPORT!$A:$A,$B$10,DATA_TRANSPORT!$E:$E,AE25,DATA_TRANSPORT!$U:$U,"Ran"))</f>
        <v/>
      </c>
      <c r="AH25">
        <f>IF(OR(AE25="",$B$10=0),0,SUMIFS(DATA_TRANSPORT!$L:$L,DATA_TRANSPORT!$A:$A,$B$10,DATA_TRANSPORT!$E:$E,AE25))</f>
        <v/>
      </c>
      <c r="AI25">
        <f>IF(OR(AE25="",$B$10=0),0,SUMIFS(DATA_TRANSPORT!$R:$R,DATA_TRANSPORT!$A:$A,$B$10,DATA_TRANSPORT!$E:$E,AE25))</f>
        <v/>
      </c>
      <c r="AJ25">
        <f>IF(AH25=0,"",AI25/AH25)</f>
        <v/>
      </c>
      <c r="AK25">
        <f>IF(OR(AE25="",$B$10=0),0,SUMIFS(DATA_TRANSPORT!$S:$S,DATA_TRANSPORT!$A:$A,$B$10,DATA_TRANSPORT!$E:$E,AE25))+IF(OR(AE25="",$B$10=0),0,SUMIFS(DATA_TRANSPORT_COSTS!$M:$M,DATA_TRANSPORT_COSTS!$A:$A,$B$10,DATA_TRANSPORT_COSTS!$D:$D,AE25))</f>
        <v/>
      </c>
      <c r="AL25">
        <f>IF(OR(AF25=0,AK25=0),"",AK25/AF25)</f>
        <v/>
      </c>
      <c r="AM25">
        <f>IF(OR(AE25="",$B$10=0),0,SUMIFS(DATA_TRANSPORT!$S:$S,DATA_TRANSPORT!$A:$A,$B$10,DATA_TRANSPORT!$E:$E,AE25,DATA_TRANSPORT!$C:$C,"FT Procured"))</f>
        <v/>
      </c>
      <c r="AN25">
        <f>IF(OR(AE25="",$B$10=0),0,SUMIFS(DATA_TRANSPORT_BUDGET!$G:$G,DATA_TRANSPORT_BUDGET!$A:$A,$B$10,DATA_TRANSPORT_BUDGET!$D:$D,AE25))</f>
        <v/>
      </c>
      <c r="AO25">
        <f>IF(AN25=0,"",AM25-AN25)</f>
        <v/>
      </c>
      <c r="AP25">
        <f>IF(OR(AE25="",$B$10=0),0,COUNTIFS(DATA_TRANSPORT!$A:$A,$B$10,DATA_TRANSPORT!$E:$E,AE25,DATA_TRANSPORT!$C:$C,"FT Procured",DATA_TRANSPORT!$Y:$Y,"Y"))</f>
        <v/>
      </c>
      <c r="AQ25">
        <f>IF(OR(AE25="",$B$10=0),0,SUMIFS(DATA_TRANSPORT_BUDGET!$E:$E,DATA_TRANSPORT_BUDGET!$A:$A,$B$10,DATA_TRANSPORT_BUDGET!$D:$D,AE25))</f>
        <v/>
      </c>
      <c r="AR25">
        <f>IF(OR(AE25="",$B$10=0),0,COUNTIFS(DATA_TRANSPORT!$A:$A,$B$10,DATA_TRANSPORT!$E:$E,AE25,DATA_TRANSPORT!$U:$U,"Breakdown"))</f>
        <v/>
      </c>
      <c r="AS25">
        <f>IF(IF(OR(AE25="",$B$10=0),0,SUMIFS(DATA_TRANSPORT!$L:$L,DATA_TRANSPORT!$A:$A,$B$10-7,DATA_TRANSPORT!$E:$E,AE25))=0,"",IF(OR(AE25="",$B$10=0),0,SUMIFS(DATA_TRANSPORT!$R:$R,DATA_TRANSPORT!$A:$A,$B$10-7,DATA_TRANSPORT!$E:$E,AE25))/IF(OR(AE25="",$B$10=0),0,SUMIFS(DATA_TRANSPORT!$L:$L,DATA_TRANSPORT!$A:$A,$B$10-7,DATA_TRANSPORT!$E:$E,AE25)))</f>
        <v/>
      </c>
      <c r="AT25">
        <f>IF(IF(OR(AE25="",$B$10=0),0,SUMIFS(DATA_TRANSPORT!$L:$L,DATA_TRANSPORT!$A:$A,$B$10-14,DATA_TRANSPORT!$E:$E,AE25))=0,"",IF(OR(AE25="",$B$10=0),0,SUMIFS(DATA_TRANSPORT!$R:$R,DATA_TRANSPORT!$A:$A,$B$10-14,DATA_TRANSPORT!$E:$E,AE25))/IF(OR(AE25="",$B$10=0),0,SUMIFS(DATA_TRANSPORT!$L:$L,DATA_TRANSPORT!$A:$A,$B$10-14,DATA_TRANSPORT!$E:$E,AE25)))</f>
        <v/>
      </c>
      <c r="AU25">
        <f>IF(IF(OR(AE25="",$B$10=0),0,SUMIFS(DATA_TRANSPORT!$L:$L,DATA_TRANSPORT!$A:$A,$B$10-21,DATA_TRANSPORT!$E:$E,AE25))=0,"",IF(OR(AE25="",$B$10=0),0,SUMIFS(DATA_TRANSPORT!$R:$R,DATA_TRANSPORT!$A:$A,$B$10-21,DATA_TRANSPORT!$E:$E,AE25))/IF(OR(AE25="",$B$10=0),0,SUMIFS(DATA_TRANSPORT!$L:$L,DATA_TRANSPORT!$A:$A,$B$10-21,DATA_TRANSPORT!$E:$E,AE25)))</f>
        <v/>
      </c>
      <c r="AV25">
        <f>IF(AND(ISNUMBER(AJ25),AJ25&lt;UtilLow),1,0)+IF(AND(ISNUMBER(AS25),AS25&lt;UtilLow),1,0)+IF(AND(ISNUMBER(AT25),AT25&lt;UtilLow),1,0)+IF(AND(ISNUMBER(AU25),AU25&lt;UtilLow),1,0)</f>
        <v/>
      </c>
      <c r="AW25">
        <f>IF(AV25&gt;=UtilLowWeeks,AE25&amp;": seats only "&amp;TEXT(AJ25,"0%")&amp;" full, under "&amp;TEXT(UtilLow,"0%")&amp;" for "&amp;AV25&amp;" weeks running",IF(AND(ISNUMBER(AJ25),AJ25&gt;UtilHigh),AE25&amp;": demand exceeds seats ("&amp;TEXT(AJ25,"0%")&amp;" full) — consider more buses",IF(AND(ISNUMBER(AO25),AO25&gt;0),AE25&amp;": FT spend ₦"&amp;TEXT(AO25,"#,##0")&amp;" over the weekly budget",IF(AR25&gt;0,AE25&amp;": "&amp;AR25&amp;" coaster breakdown(s) this week",""))))</f>
        <v/>
      </c>
      <c r="AX25">
        <f>IF(ISNUMBER(AJ25),AJ25+ROW()/1000000000,"")</f>
        <v/>
      </c>
      <c r="AY25">
        <f>IF(ISNUMBER(AL25),AL25+ROW()/1000000,"")</f>
        <v/>
      </c>
      <c r="AZ25">
        <f>IF(AND(ISNUMBER(AO25),AO25&gt;0),AO25+ROW()/1000000,"")</f>
        <v/>
      </c>
      <c r="BA25">
        <f>IF(AF25&gt;0,AF25+ROW()/1000000,"")</f>
        <v/>
      </c>
      <c r="BB25">
        <f>IF(AW25="","",ROW())</f>
        <v/>
      </c>
      <c r="BO25">
        <f>IFERROR(SMALL(DATA_TRANSPORT!$AC:$AC,23),"")</f>
        <v/>
      </c>
      <c r="BP25">
        <f>IF(BO25="","",INDEX(DATA_TRANSPORT!$E:$E,BO25))</f>
        <v/>
      </c>
      <c r="BQ25">
        <f>IF(BO25="","",INDEX(DATA_TRANSPORT!$C:$C,BO25))</f>
        <v/>
      </c>
      <c r="BR25">
        <f>IF(BO25="","",TRIM(INDEX(DATA_TRANSPORT!$G:$G,BO25)&amp;" "&amp;IF(INDEX(DATA_TRANSPORT!$H:$H,BO25)="","","(bus "&amp;INDEX(DATA_TRANSPORT!$H:$H,BO25)&amp;")")))</f>
        <v/>
      </c>
      <c r="BS25">
        <f>IF(BO25="","",IF(INDEX(DATA_TRANSPORT!$U:$U,BO25)="Breakdown","Breakdown",IF(INDEX(DATA_TRANSPORT!$W:$W,BO25)="","Needs more buses",INDEX(DATA_TRANSPORT!$W:$W,BO25))))</f>
        <v/>
      </c>
      <c r="BT25">
        <f>IF(BO25="","",INDEX(DATA_TRANSPORT!$X:$X,BO25)&amp;"")</f>
        <v/>
      </c>
    </row>
    <row r="26">
      <c r="A26" t="n">
        <v>5</v>
      </c>
      <c r="B26" s="170">
        <f>IF($B$10=0,"",$B$10-7*A26)</f>
        <v/>
      </c>
      <c r="C26">
        <f>IF(B26="","",MONTH(B26))</f>
        <v/>
      </c>
      <c r="D26">
        <f>IF(B26="","",ROUNDUP(MONTH(B26)/3,0))</f>
        <v/>
      </c>
      <c r="E26">
        <f>IF(B26="","",YEAR(B26))</f>
        <v/>
      </c>
      <c r="F26">
        <f>IF(B26="",0,COUNTIFS(DATA_TRANSPORT!$A:$A,B26,DATA_TRANSPORT!$E:$E,$B$6,DATA_TRANSPORT!$AB:$AB,$B$7))</f>
        <v/>
      </c>
      <c r="G26">
        <f>IF(F26=0,0,SUMIFS(DATA_TRANSPORT!$Q:$Q,DATA_TRANSPORT!$A:$A,B26,DATA_TRANSPORT!$E:$E,$B$6,DATA_TRANSPORT!$AB:$AB,$B$7))</f>
        <v/>
      </c>
      <c r="H26">
        <f>IF(F26=0,0,SUMIFS(DATA_TRANSPORT!$M:$M,DATA_TRANSPORT!$A:$A,B26,DATA_TRANSPORT!$E:$E,$B$6,DATA_TRANSPORT!$AB:$AB,$B$7))</f>
        <v/>
      </c>
      <c r="I26">
        <f>IF(F26=0,0,SUMIFS(DATA_TRANSPORT!$N:$N,DATA_TRANSPORT!$A:$A,B26,DATA_TRANSPORT!$E:$E,$B$6,DATA_TRANSPORT!$AB:$AB,$B$7))</f>
        <v/>
      </c>
      <c r="J26">
        <f>IF(F26=0,0,SUMIFS(DATA_TRANSPORT!$P:$P,DATA_TRANSPORT!$A:$A,B26,DATA_TRANSPORT!$E:$E,$B$6,DATA_TRANSPORT!$AB:$AB,$B$7))</f>
        <v/>
      </c>
      <c r="K26">
        <f>IF(F26=0,0,SUMIFS(DATA_TRANSPORT!$I:$I,DATA_TRANSPORT!$A:$A,B26,DATA_TRANSPORT!$E:$E,$B$6,DATA_TRANSPORT!$AB:$AB,$B$7))</f>
        <v/>
      </c>
      <c r="L26">
        <f>IF(F26=0,0,SUMIFS(DATA_TRANSPORT!$I:$I,DATA_TRANSPORT!$A:$A,B26,DATA_TRANSPORT!$E:$E,$B$6,DATA_TRANSPORT!$AB:$AB,$B$7,DATA_TRANSPORT!$U:$U,"Ran"))</f>
        <v/>
      </c>
      <c r="M26">
        <f>IF(F26=0,0,SUMIFS(DATA_TRANSPORT!$L:$L,DATA_TRANSPORT!$A:$A,B26,DATA_TRANSPORT!$E:$E,$B$6,DATA_TRANSPORT!$AB:$AB,$B$7))</f>
        <v/>
      </c>
      <c r="N26">
        <f>IF(F26=0,0,SUMIFS(DATA_TRANSPORT!$R:$R,DATA_TRANSPORT!$A:$A,B26,DATA_TRANSPORT!$E:$E,$B$6,DATA_TRANSPORT!$AB:$AB,$B$7))</f>
        <v/>
      </c>
      <c r="O26">
        <f>IF(F26=0,0,SUMIFS(DATA_TRANSPORT!$S:$S,DATA_TRANSPORT!$A:$A,B26,DATA_TRANSPORT!$E:$E,$B$6,DATA_TRANSPORT!$AB:$AB,$B$7))</f>
        <v/>
      </c>
      <c r="P26">
        <f>IF(OR(B26="",$B$17),0,SUMIFS(DATA_TRANSPORT_COSTS!$M:$M,DATA_TRANSPORT_COSTS!$A:$A,B26,DATA_TRANSPORT_COSTS!$D:$D,$B$6))</f>
        <v/>
      </c>
      <c r="Q26">
        <f>O26+P26</f>
        <v/>
      </c>
      <c r="R26">
        <f>P26+IF(F26=0,0,SUMIFS(DATA_TRANSPORT!$S:$S,DATA_TRANSPORT!$A:$A,B26,DATA_TRANSPORT!$E:$E,$B$6,DATA_TRANSPORT!$AB:$AB,$B$7,DATA_TRANSPORT!$T:$T,"Central"))</f>
        <v/>
      </c>
      <c r="S26">
        <f>IF(F26=0,0,SUMIFS(DATA_TRANSPORT!$S:$S,DATA_TRANSPORT!$A:$A,B26,DATA_TRANSPORT!$E:$E,$B$6,DATA_TRANSPORT!$AB:$AB,$B$7,DATA_TRANSPORT!$T:$T,"Members"))</f>
        <v/>
      </c>
      <c r="T26">
        <f>IF(OR(B26="",$B$17),0,SUMIFS(DATA_TRANSPORT_BUDGET!$G:$G,DATA_TRANSPORT_BUDGET!$A:$A,B26,DATA_TRANSPORT_BUDGET!$D:$D,$B$6))</f>
        <v/>
      </c>
      <c r="U26">
        <f>IF(F26=0,0,SUMIFS(DATA_TRANSPORT!$S:$S,DATA_TRANSPORT!$A:$A,B26,DATA_TRANSPORT!$E:$E,$B$6,DATA_TRANSPORT!$AB:$AB,$B$7,DATA_TRANSPORT!$C:$C,"FT Procured"))</f>
        <v/>
      </c>
      <c r="V26">
        <f>IF(F26=0,0,COUNTIFS(DATA_TRANSPORT!$A:$A,B26,DATA_TRANSPORT!$E:$E,$B$6,DATA_TRANSPORT!$AB:$AB,$B$7,DATA_TRANSPORT!$U:$U,"Breakdown"))</f>
        <v/>
      </c>
      <c r="W26">
        <f>IF(M26=0,0,N26/M26)</f>
        <v/>
      </c>
      <c r="X26">
        <f>IF(F26&gt;0,1,0)</f>
        <v/>
      </c>
      <c r="Y26">
        <f>IF(AND(A26&gt;=1,A26&lt;=$B$11),X26,0)</f>
        <v/>
      </c>
      <c r="Z26">
        <f>IF(AND(C26=$B$12,E26=$B$14),X26,0)</f>
        <v/>
      </c>
      <c r="AA26">
        <f>IF(AND(D26=$B$13,E26=$B$14),X26,0)</f>
        <v/>
      </c>
      <c r="AB26">
        <f>IF(E26=$B$14,X26,0)</f>
        <v/>
      </c>
      <c r="AE26">
        <f>IFERROR(INDEX(MASTER_AREAS!$B:$B,25)&amp;"","")</f>
        <v/>
      </c>
      <c r="AF26">
        <f>IF(OR(AE26="",$B$10=0),0,SUMIFS(DATA_TRANSPORT!$Q:$Q,DATA_TRANSPORT!$A:$A,$B$10,DATA_TRANSPORT!$E:$E,AE26))</f>
        <v/>
      </c>
      <c r="AG26">
        <f>IF(OR(AE26="",$B$10=0),0,SUMIFS(DATA_TRANSPORT!$I:$I,DATA_TRANSPORT!$A:$A,$B$10,DATA_TRANSPORT!$E:$E,AE26,DATA_TRANSPORT!$U:$U,"Ran"))</f>
        <v/>
      </c>
      <c r="AH26">
        <f>IF(OR(AE26="",$B$10=0),0,SUMIFS(DATA_TRANSPORT!$L:$L,DATA_TRANSPORT!$A:$A,$B$10,DATA_TRANSPORT!$E:$E,AE26))</f>
        <v/>
      </c>
      <c r="AI26">
        <f>IF(OR(AE26="",$B$10=0),0,SUMIFS(DATA_TRANSPORT!$R:$R,DATA_TRANSPORT!$A:$A,$B$10,DATA_TRANSPORT!$E:$E,AE26))</f>
        <v/>
      </c>
      <c r="AJ26">
        <f>IF(AH26=0,"",AI26/AH26)</f>
        <v/>
      </c>
      <c r="AK26">
        <f>IF(OR(AE26="",$B$10=0),0,SUMIFS(DATA_TRANSPORT!$S:$S,DATA_TRANSPORT!$A:$A,$B$10,DATA_TRANSPORT!$E:$E,AE26))+IF(OR(AE26="",$B$10=0),0,SUMIFS(DATA_TRANSPORT_COSTS!$M:$M,DATA_TRANSPORT_COSTS!$A:$A,$B$10,DATA_TRANSPORT_COSTS!$D:$D,AE26))</f>
        <v/>
      </c>
      <c r="AL26">
        <f>IF(OR(AF26=0,AK26=0),"",AK26/AF26)</f>
        <v/>
      </c>
      <c r="AM26">
        <f>IF(OR(AE26="",$B$10=0),0,SUMIFS(DATA_TRANSPORT!$S:$S,DATA_TRANSPORT!$A:$A,$B$10,DATA_TRANSPORT!$E:$E,AE26,DATA_TRANSPORT!$C:$C,"FT Procured"))</f>
        <v/>
      </c>
      <c r="AN26">
        <f>IF(OR(AE26="",$B$10=0),0,SUMIFS(DATA_TRANSPORT_BUDGET!$G:$G,DATA_TRANSPORT_BUDGET!$A:$A,$B$10,DATA_TRANSPORT_BUDGET!$D:$D,AE26))</f>
        <v/>
      </c>
      <c r="AO26">
        <f>IF(AN26=0,"",AM26-AN26)</f>
        <v/>
      </c>
      <c r="AP26">
        <f>IF(OR(AE26="",$B$10=0),0,COUNTIFS(DATA_TRANSPORT!$A:$A,$B$10,DATA_TRANSPORT!$E:$E,AE26,DATA_TRANSPORT!$C:$C,"FT Procured",DATA_TRANSPORT!$Y:$Y,"Y"))</f>
        <v/>
      </c>
      <c r="AQ26">
        <f>IF(OR(AE26="",$B$10=0),0,SUMIFS(DATA_TRANSPORT_BUDGET!$E:$E,DATA_TRANSPORT_BUDGET!$A:$A,$B$10,DATA_TRANSPORT_BUDGET!$D:$D,AE26))</f>
        <v/>
      </c>
      <c r="AR26">
        <f>IF(OR(AE26="",$B$10=0),0,COUNTIFS(DATA_TRANSPORT!$A:$A,$B$10,DATA_TRANSPORT!$E:$E,AE26,DATA_TRANSPORT!$U:$U,"Breakdown"))</f>
        <v/>
      </c>
      <c r="AS26">
        <f>IF(IF(OR(AE26="",$B$10=0),0,SUMIFS(DATA_TRANSPORT!$L:$L,DATA_TRANSPORT!$A:$A,$B$10-7,DATA_TRANSPORT!$E:$E,AE26))=0,"",IF(OR(AE26="",$B$10=0),0,SUMIFS(DATA_TRANSPORT!$R:$R,DATA_TRANSPORT!$A:$A,$B$10-7,DATA_TRANSPORT!$E:$E,AE26))/IF(OR(AE26="",$B$10=0),0,SUMIFS(DATA_TRANSPORT!$L:$L,DATA_TRANSPORT!$A:$A,$B$10-7,DATA_TRANSPORT!$E:$E,AE26)))</f>
        <v/>
      </c>
      <c r="AT26">
        <f>IF(IF(OR(AE26="",$B$10=0),0,SUMIFS(DATA_TRANSPORT!$L:$L,DATA_TRANSPORT!$A:$A,$B$10-14,DATA_TRANSPORT!$E:$E,AE26))=0,"",IF(OR(AE26="",$B$10=0),0,SUMIFS(DATA_TRANSPORT!$R:$R,DATA_TRANSPORT!$A:$A,$B$10-14,DATA_TRANSPORT!$E:$E,AE26))/IF(OR(AE26="",$B$10=0),0,SUMIFS(DATA_TRANSPORT!$L:$L,DATA_TRANSPORT!$A:$A,$B$10-14,DATA_TRANSPORT!$E:$E,AE26)))</f>
        <v/>
      </c>
      <c r="AU26">
        <f>IF(IF(OR(AE26="",$B$10=0),0,SUMIFS(DATA_TRANSPORT!$L:$L,DATA_TRANSPORT!$A:$A,$B$10-21,DATA_TRANSPORT!$E:$E,AE26))=0,"",IF(OR(AE26="",$B$10=0),0,SUMIFS(DATA_TRANSPORT!$R:$R,DATA_TRANSPORT!$A:$A,$B$10-21,DATA_TRANSPORT!$E:$E,AE26))/IF(OR(AE26="",$B$10=0),0,SUMIFS(DATA_TRANSPORT!$L:$L,DATA_TRANSPORT!$A:$A,$B$10-21,DATA_TRANSPORT!$E:$E,AE26)))</f>
        <v/>
      </c>
      <c r="AV26">
        <f>IF(AND(ISNUMBER(AJ26),AJ26&lt;UtilLow),1,0)+IF(AND(ISNUMBER(AS26),AS26&lt;UtilLow),1,0)+IF(AND(ISNUMBER(AT26),AT26&lt;UtilLow),1,0)+IF(AND(ISNUMBER(AU26),AU26&lt;UtilLow),1,0)</f>
        <v/>
      </c>
      <c r="AW26">
        <f>IF(AV26&gt;=UtilLowWeeks,AE26&amp;": seats only "&amp;TEXT(AJ26,"0%")&amp;" full, under "&amp;TEXT(UtilLow,"0%")&amp;" for "&amp;AV26&amp;" weeks running",IF(AND(ISNUMBER(AJ26),AJ26&gt;UtilHigh),AE26&amp;": demand exceeds seats ("&amp;TEXT(AJ26,"0%")&amp;" full) — consider more buses",IF(AND(ISNUMBER(AO26),AO26&gt;0),AE26&amp;": FT spend ₦"&amp;TEXT(AO26,"#,##0")&amp;" over the weekly budget",IF(AR26&gt;0,AE26&amp;": "&amp;AR26&amp;" coaster breakdown(s) this week",""))))</f>
        <v/>
      </c>
      <c r="AX26">
        <f>IF(ISNUMBER(AJ26),AJ26+ROW()/1000000000,"")</f>
        <v/>
      </c>
      <c r="AY26">
        <f>IF(ISNUMBER(AL26),AL26+ROW()/1000000,"")</f>
        <v/>
      </c>
      <c r="AZ26">
        <f>IF(AND(ISNUMBER(AO26),AO26&gt;0),AO26+ROW()/1000000,"")</f>
        <v/>
      </c>
      <c r="BA26">
        <f>IF(AF26&gt;0,AF26+ROW()/1000000,"")</f>
        <v/>
      </c>
      <c r="BB26">
        <f>IF(AW26="","",ROW())</f>
        <v/>
      </c>
      <c r="BO26">
        <f>IFERROR(SMALL(DATA_TRANSPORT!$AC:$AC,24),"")</f>
        <v/>
      </c>
      <c r="BP26">
        <f>IF(BO26="","",INDEX(DATA_TRANSPORT!$E:$E,BO26))</f>
        <v/>
      </c>
      <c r="BQ26">
        <f>IF(BO26="","",INDEX(DATA_TRANSPORT!$C:$C,BO26))</f>
        <v/>
      </c>
      <c r="BR26">
        <f>IF(BO26="","",TRIM(INDEX(DATA_TRANSPORT!$G:$G,BO26)&amp;" "&amp;IF(INDEX(DATA_TRANSPORT!$H:$H,BO26)="","","(bus "&amp;INDEX(DATA_TRANSPORT!$H:$H,BO26)&amp;")")))</f>
        <v/>
      </c>
      <c r="BS26">
        <f>IF(BO26="","",IF(INDEX(DATA_TRANSPORT!$U:$U,BO26)="Breakdown","Breakdown",IF(INDEX(DATA_TRANSPORT!$W:$W,BO26)="","Needs more buses",INDEX(DATA_TRANSPORT!$W:$W,BO26))))</f>
        <v/>
      </c>
      <c r="BT26">
        <f>IF(BO26="","",INDEX(DATA_TRANSPORT!$X:$X,BO26)&amp;"")</f>
        <v/>
      </c>
    </row>
    <row r="27">
      <c r="A27" t="n">
        <v>6</v>
      </c>
      <c r="B27" s="170">
        <f>IF($B$10=0,"",$B$10-7*A27)</f>
        <v/>
      </c>
      <c r="C27">
        <f>IF(B27="","",MONTH(B27))</f>
        <v/>
      </c>
      <c r="D27">
        <f>IF(B27="","",ROUNDUP(MONTH(B27)/3,0))</f>
        <v/>
      </c>
      <c r="E27">
        <f>IF(B27="","",YEAR(B27))</f>
        <v/>
      </c>
      <c r="F27">
        <f>IF(B27="",0,COUNTIFS(DATA_TRANSPORT!$A:$A,B27,DATA_TRANSPORT!$E:$E,$B$6,DATA_TRANSPORT!$AB:$AB,$B$7))</f>
        <v/>
      </c>
      <c r="G27">
        <f>IF(F27=0,0,SUMIFS(DATA_TRANSPORT!$Q:$Q,DATA_TRANSPORT!$A:$A,B27,DATA_TRANSPORT!$E:$E,$B$6,DATA_TRANSPORT!$AB:$AB,$B$7))</f>
        <v/>
      </c>
      <c r="H27">
        <f>IF(F27=0,0,SUMIFS(DATA_TRANSPORT!$M:$M,DATA_TRANSPORT!$A:$A,B27,DATA_TRANSPORT!$E:$E,$B$6,DATA_TRANSPORT!$AB:$AB,$B$7))</f>
        <v/>
      </c>
      <c r="I27">
        <f>IF(F27=0,0,SUMIFS(DATA_TRANSPORT!$N:$N,DATA_TRANSPORT!$A:$A,B27,DATA_TRANSPORT!$E:$E,$B$6,DATA_TRANSPORT!$AB:$AB,$B$7))</f>
        <v/>
      </c>
      <c r="J27">
        <f>IF(F27=0,0,SUMIFS(DATA_TRANSPORT!$P:$P,DATA_TRANSPORT!$A:$A,B27,DATA_TRANSPORT!$E:$E,$B$6,DATA_TRANSPORT!$AB:$AB,$B$7))</f>
        <v/>
      </c>
      <c r="K27">
        <f>IF(F27=0,0,SUMIFS(DATA_TRANSPORT!$I:$I,DATA_TRANSPORT!$A:$A,B27,DATA_TRANSPORT!$E:$E,$B$6,DATA_TRANSPORT!$AB:$AB,$B$7))</f>
        <v/>
      </c>
      <c r="L27">
        <f>IF(F27=0,0,SUMIFS(DATA_TRANSPORT!$I:$I,DATA_TRANSPORT!$A:$A,B27,DATA_TRANSPORT!$E:$E,$B$6,DATA_TRANSPORT!$AB:$AB,$B$7,DATA_TRANSPORT!$U:$U,"Ran"))</f>
        <v/>
      </c>
      <c r="M27">
        <f>IF(F27=0,0,SUMIFS(DATA_TRANSPORT!$L:$L,DATA_TRANSPORT!$A:$A,B27,DATA_TRANSPORT!$E:$E,$B$6,DATA_TRANSPORT!$AB:$AB,$B$7))</f>
        <v/>
      </c>
      <c r="N27">
        <f>IF(F27=0,0,SUMIFS(DATA_TRANSPORT!$R:$R,DATA_TRANSPORT!$A:$A,B27,DATA_TRANSPORT!$E:$E,$B$6,DATA_TRANSPORT!$AB:$AB,$B$7))</f>
        <v/>
      </c>
      <c r="O27">
        <f>IF(F27=0,0,SUMIFS(DATA_TRANSPORT!$S:$S,DATA_TRANSPORT!$A:$A,B27,DATA_TRANSPORT!$E:$E,$B$6,DATA_TRANSPORT!$AB:$AB,$B$7))</f>
        <v/>
      </c>
      <c r="P27">
        <f>IF(OR(B27="",$B$17),0,SUMIFS(DATA_TRANSPORT_COSTS!$M:$M,DATA_TRANSPORT_COSTS!$A:$A,B27,DATA_TRANSPORT_COSTS!$D:$D,$B$6))</f>
        <v/>
      </c>
      <c r="Q27">
        <f>O27+P27</f>
        <v/>
      </c>
      <c r="R27">
        <f>P27+IF(F27=0,0,SUMIFS(DATA_TRANSPORT!$S:$S,DATA_TRANSPORT!$A:$A,B27,DATA_TRANSPORT!$E:$E,$B$6,DATA_TRANSPORT!$AB:$AB,$B$7,DATA_TRANSPORT!$T:$T,"Central"))</f>
        <v/>
      </c>
      <c r="S27">
        <f>IF(F27=0,0,SUMIFS(DATA_TRANSPORT!$S:$S,DATA_TRANSPORT!$A:$A,B27,DATA_TRANSPORT!$E:$E,$B$6,DATA_TRANSPORT!$AB:$AB,$B$7,DATA_TRANSPORT!$T:$T,"Members"))</f>
        <v/>
      </c>
      <c r="T27">
        <f>IF(OR(B27="",$B$17),0,SUMIFS(DATA_TRANSPORT_BUDGET!$G:$G,DATA_TRANSPORT_BUDGET!$A:$A,B27,DATA_TRANSPORT_BUDGET!$D:$D,$B$6))</f>
        <v/>
      </c>
      <c r="U27">
        <f>IF(F27=0,0,SUMIFS(DATA_TRANSPORT!$S:$S,DATA_TRANSPORT!$A:$A,B27,DATA_TRANSPORT!$E:$E,$B$6,DATA_TRANSPORT!$AB:$AB,$B$7,DATA_TRANSPORT!$C:$C,"FT Procured"))</f>
        <v/>
      </c>
      <c r="V27">
        <f>IF(F27=0,0,COUNTIFS(DATA_TRANSPORT!$A:$A,B27,DATA_TRANSPORT!$E:$E,$B$6,DATA_TRANSPORT!$AB:$AB,$B$7,DATA_TRANSPORT!$U:$U,"Breakdown"))</f>
        <v/>
      </c>
      <c r="W27">
        <f>IF(M27=0,0,N27/M27)</f>
        <v/>
      </c>
      <c r="X27">
        <f>IF(F27&gt;0,1,0)</f>
        <v/>
      </c>
      <c r="Y27">
        <f>IF(AND(A27&gt;=1,A27&lt;=$B$11),X27,0)</f>
        <v/>
      </c>
      <c r="Z27">
        <f>IF(AND(C27=$B$12,E27=$B$14),X27,0)</f>
        <v/>
      </c>
      <c r="AA27">
        <f>IF(AND(D27=$B$13,E27=$B$14),X27,0)</f>
        <v/>
      </c>
      <c r="AB27">
        <f>IF(E27=$B$14,X27,0)</f>
        <v/>
      </c>
      <c r="AE27">
        <f>IFERROR(INDEX(MASTER_AREAS!$B:$B,26)&amp;"","")</f>
        <v/>
      </c>
      <c r="AF27">
        <f>IF(OR(AE27="",$B$10=0),0,SUMIFS(DATA_TRANSPORT!$Q:$Q,DATA_TRANSPORT!$A:$A,$B$10,DATA_TRANSPORT!$E:$E,AE27))</f>
        <v/>
      </c>
      <c r="AG27">
        <f>IF(OR(AE27="",$B$10=0),0,SUMIFS(DATA_TRANSPORT!$I:$I,DATA_TRANSPORT!$A:$A,$B$10,DATA_TRANSPORT!$E:$E,AE27,DATA_TRANSPORT!$U:$U,"Ran"))</f>
        <v/>
      </c>
      <c r="AH27">
        <f>IF(OR(AE27="",$B$10=0),0,SUMIFS(DATA_TRANSPORT!$L:$L,DATA_TRANSPORT!$A:$A,$B$10,DATA_TRANSPORT!$E:$E,AE27))</f>
        <v/>
      </c>
      <c r="AI27">
        <f>IF(OR(AE27="",$B$10=0),0,SUMIFS(DATA_TRANSPORT!$R:$R,DATA_TRANSPORT!$A:$A,$B$10,DATA_TRANSPORT!$E:$E,AE27))</f>
        <v/>
      </c>
      <c r="AJ27">
        <f>IF(AH27=0,"",AI27/AH27)</f>
        <v/>
      </c>
      <c r="AK27">
        <f>IF(OR(AE27="",$B$10=0),0,SUMIFS(DATA_TRANSPORT!$S:$S,DATA_TRANSPORT!$A:$A,$B$10,DATA_TRANSPORT!$E:$E,AE27))+IF(OR(AE27="",$B$10=0),0,SUMIFS(DATA_TRANSPORT_COSTS!$M:$M,DATA_TRANSPORT_COSTS!$A:$A,$B$10,DATA_TRANSPORT_COSTS!$D:$D,AE27))</f>
        <v/>
      </c>
      <c r="AL27">
        <f>IF(OR(AF27=0,AK27=0),"",AK27/AF27)</f>
        <v/>
      </c>
      <c r="AM27">
        <f>IF(OR(AE27="",$B$10=0),0,SUMIFS(DATA_TRANSPORT!$S:$S,DATA_TRANSPORT!$A:$A,$B$10,DATA_TRANSPORT!$E:$E,AE27,DATA_TRANSPORT!$C:$C,"FT Procured"))</f>
        <v/>
      </c>
      <c r="AN27">
        <f>IF(OR(AE27="",$B$10=0),0,SUMIFS(DATA_TRANSPORT_BUDGET!$G:$G,DATA_TRANSPORT_BUDGET!$A:$A,$B$10,DATA_TRANSPORT_BUDGET!$D:$D,AE27))</f>
        <v/>
      </c>
      <c r="AO27">
        <f>IF(AN27=0,"",AM27-AN27)</f>
        <v/>
      </c>
      <c r="AP27">
        <f>IF(OR(AE27="",$B$10=0),0,COUNTIFS(DATA_TRANSPORT!$A:$A,$B$10,DATA_TRANSPORT!$E:$E,AE27,DATA_TRANSPORT!$C:$C,"FT Procured",DATA_TRANSPORT!$Y:$Y,"Y"))</f>
        <v/>
      </c>
      <c r="AQ27">
        <f>IF(OR(AE27="",$B$10=0),0,SUMIFS(DATA_TRANSPORT_BUDGET!$E:$E,DATA_TRANSPORT_BUDGET!$A:$A,$B$10,DATA_TRANSPORT_BUDGET!$D:$D,AE27))</f>
        <v/>
      </c>
      <c r="AR27">
        <f>IF(OR(AE27="",$B$10=0),0,COUNTIFS(DATA_TRANSPORT!$A:$A,$B$10,DATA_TRANSPORT!$E:$E,AE27,DATA_TRANSPORT!$U:$U,"Breakdown"))</f>
        <v/>
      </c>
      <c r="AS27">
        <f>IF(IF(OR(AE27="",$B$10=0),0,SUMIFS(DATA_TRANSPORT!$L:$L,DATA_TRANSPORT!$A:$A,$B$10-7,DATA_TRANSPORT!$E:$E,AE27))=0,"",IF(OR(AE27="",$B$10=0),0,SUMIFS(DATA_TRANSPORT!$R:$R,DATA_TRANSPORT!$A:$A,$B$10-7,DATA_TRANSPORT!$E:$E,AE27))/IF(OR(AE27="",$B$10=0),0,SUMIFS(DATA_TRANSPORT!$L:$L,DATA_TRANSPORT!$A:$A,$B$10-7,DATA_TRANSPORT!$E:$E,AE27)))</f>
        <v/>
      </c>
      <c r="AT27">
        <f>IF(IF(OR(AE27="",$B$10=0),0,SUMIFS(DATA_TRANSPORT!$L:$L,DATA_TRANSPORT!$A:$A,$B$10-14,DATA_TRANSPORT!$E:$E,AE27))=0,"",IF(OR(AE27="",$B$10=0),0,SUMIFS(DATA_TRANSPORT!$R:$R,DATA_TRANSPORT!$A:$A,$B$10-14,DATA_TRANSPORT!$E:$E,AE27))/IF(OR(AE27="",$B$10=0),0,SUMIFS(DATA_TRANSPORT!$L:$L,DATA_TRANSPORT!$A:$A,$B$10-14,DATA_TRANSPORT!$E:$E,AE27)))</f>
        <v/>
      </c>
      <c r="AU27">
        <f>IF(IF(OR(AE27="",$B$10=0),0,SUMIFS(DATA_TRANSPORT!$L:$L,DATA_TRANSPORT!$A:$A,$B$10-21,DATA_TRANSPORT!$E:$E,AE27))=0,"",IF(OR(AE27="",$B$10=0),0,SUMIFS(DATA_TRANSPORT!$R:$R,DATA_TRANSPORT!$A:$A,$B$10-21,DATA_TRANSPORT!$E:$E,AE27))/IF(OR(AE27="",$B$10=0),0,SUMIFS(DATA_TRANSPORT!$L:$L,DATA_TRANSPORT!$A:$A,$B$10-21,DATA_TRANSPORT!$E:$E,AE27)))</f>
        <v/>
      </c>
      <c r="AV27">
        <f>IF(AND(ISNUMBER(AJ27),AJ27&lt;UtilLow),1,0)+IF(AND(ISNUMBER(AS27),AS27&lt;UtilLow),1,0)+IF(AND(ISNUMBER(AT27),AT27&lt;UtilLow),1,0)+IF(AND(ISNUMBER(AU27),AU27&lt;UtilLow),1,0)</f>
        <v/>
      </c>
      <c r="AW27">
        <f>IF(AV27&gt;=UtilLowWeeks,AE27&amp;": seats only "&amp;TEXT(AJ27,"0%")&amp;" full, under "&amp;TEXT(UtilLow,"0%")&amp;" for "&amp;AV27&amp;" weeks running",IF(AND(ISNUMBER(AJ27),AJ27&gt;UtilHigh),AE27&amp;": demand exceeds seats ("&amp;TEXT(AJ27,"0%")&amp;" full) — consider more buses",IF(AND(ISNUMBER(AO27),AO27&gt;0),AE27&amp;": FT spend ₦"&amp;TEXT(AO27,"#,##0")&amp;" over the weekly budget",IF(AR27&gt;0,AE27&amp;": "&amp;AR27&amp;" coaster breakdown(s) this week",""))))</f>
        <v/>
      </c>
      <c r="AX27">
        <f>IF(ISNUMBER(AJ27),AJ27+ROW()/1000000000,"")</f>
        <v/>
      </c>
      <c r="AY27">
        <f>IF(ISNUMBER(AL27),AL27+ROW()/1000000,"")</f>
        <v/>
      </c>
      <c r="AZ27">
        <f>IF(AND(ISNUMBER(AO27),AO27&gt;0),AO27+ROW()/1000000,"")</f>
        <v/>
      </c>
      <c r="BA27">
        <f>IF(AF27&gt;0,AF27+ROW()/1000000,"")</f>
        <v/>
      </c>
      <c r="BB27">
        <f>IF(AW27="","",ROW())</f>
        <v/>
      </c>
      <c r="BO27">
        <f>IFERROR(SMALL(DATA_TRANSPORT!$AC:$AC,25),"")</f>
        <v/>
      </c>
      <c r="BP27">
        <f>IF(BO27="","",INDEX(DATA_TRANSPORT!$E:$E,BO27))</f>
        <v/>
      </c>
      <c r="BQ27">
        <f>IF(BO27="","",INDEX(DATA_TRANSPORT!$C:$C,BO27))</f>
        <v/>
      </c>
      <c r="BR27">
        <f>IF(BO27="","",TRIM(INDEX(DATA_TRANSPORT!$G:$G,BO27)&amp;" "&amp;IF(INDEX(DATA_TRANSPORT!$H:$H,BO27)="","","(bus "&amp;INDEX(DATA_TRANSPORT!$H:$H,BO27)&amp;")")))</f>
        <v/>
      </c>
      <c r="BS27">
        <f>IF(BO27="","",IF(INDEX(DATA_TRANSPORT!$U:$U,BO27)="Breakdown","Breakdown",IF(INDEX(DATA_TRANSPORT!$W:$W,BO27)="","Needs more buses",INDEX(DATA_TRANSPORT!$W:$W,BO27))))</f>
        <v/>
      </c>
      <c r="BT27">
        <f>IF(BO27="","",INDEX(DATA_TRANSPORT!$X:$X,BO27)&amp;"")</f>
        <v/>
      </c>
    </row>
    <row r="28">
      <c r="A28" t="n">
        <v>7</v>
      </c>
      <c r="B28" s="170">
        <f>IF($B$10=0,"",$B$10-7*A28)</f>
        <v/>
      </c>
      <c r="C28">
        <f>IF(B28="","",MONTH(B28))</f>
        <v/>
      </c>
      <c r="D28">
        <f>IF(B28="","",ROUNDUP(MONTH(B28)/3,0))</f>
        <v/>
      </c>
      <c r="E28">
        <f>IF(B28="","",YEAR(B28))</f>
        <v/>
      </c>
      <c r="F28">
        <f>IF(B28="",0,COUNTIFS(DATA_TRANSPORT!$A:$A,B28,DATA_TRANSPORT!$E:$E,$B$6,DATA_TRANSPORT!$AB:$AB,$B$7))</f>
        <v/>
      </c>
      <c r="G28">
        <f>IF(F28=0,0,SUMIFS(DATA_TRANSPORT!$Q:$Q,DATA_TRANSPORT!$A:$A,B28,DATA_TRANSPORT!$E:$E,$B$6,DATA_TRANSPORT!$AB:$AB,$B$7))</f>
        <v/>
      </c>
      <c r="H28">
        <f>IF(F28=0,0,SUMIFS(DATA_TRANSPORT!$M:$M,DATA_TRANSPORT!$A:$A,B28,DATA_TRANSPORT!$E:$E,$B$6,DATA_TRANSPORT!$AB:$AB,$B$7))</f>
        <v/>
      </c>
      <c r="I28">
        <f>IF(F28=0,0,SUMIFS(DATA_TRANSPORT!$N:$N,DATA_TRANSPORT!$A:$A,B28,DATA_TRANSPORT!$E:$E,$B$6,DATA_TRANSPORT!$AB:$AB,$B$7))</f>
        <v/>
      </c>
      <c r="J28">
        <f>IF(F28=0,0,SUMIFS(DATA_TRANSPORT!$P:$P,DATA_TRANSPORT!$A:$A,B28,DATA_TRANSPORT!$E:$E,$B$6,DATA_TRANSPORT!$AB:$AB,$B$7))</f>
        <v/>
      </c>
      <c r="K28">
        <f>IF(F28=0,0,SUMIFS(DATA_TRANSPORT!$I:$I,DATA_TRANSPORT!$A:$A,B28,DATA_TRANSPORT!$E:$E,$B$6,DATA_TRANSPORT!$AB:$AB,$B$7))</f>
        <v/>
      </c>
      <c r="L28">
        <f>IF(F28=0,0,SUMIFS(DATA_TRANSPORT!$I:$I,DATA_TRANSPORT!$A:$A,B28,DATA_TRANSPORT!$E:$E,$B$6,DATA_TRANSPORT!$AB:$AB,$B$7,DATA_TRANSPORT!$U:$U,"Ran"))</f>
        <v/>
      </c>
      <c r="M28">
        <f>IF(F28=0,0,SUMIFS(DATA_TRANSPORT!$L:$L,DATA_TRANSPORT!$A:$A,B28,DATA_TRANSPORT!$E:$E,$B$6,DATA_TRANSPORT!$AB:$AB,$B$7))</f>
        <v/>
      </c>
      <c r="N28">
        <f>IF(F28=0,0,SUMIFS(DATA_TRANSPORT!$R:$R,DATA_TRANSPORT!$A:$A,B28,DATA_TRANSPORT!$E:$E,$B$6,DATA_TRANSPORT!$AB:$AB,$B$7))</f>
        <v/>
      </c>
      <c r="O28">
        <f>IF(F28=0,0,SUMIFS(DATA_TRANSPORT!$S:$S,DATA_TRANSPORT!$A:$A,B28,DATA_TRANSPORT!$E:$E,$B$6,DATA_TRANSPORT!$AB:$AB,$B$7))</f>
        <v/>
      </c>
      <c r="P28">
        <f>IF(OR(B28="",$B$17),0,SUMIFS(DATA_TRANSPORT_COSTS!$M:$M,DATA_TRANSPORT_COSTS!$A:$A,B28,DATA_TRANSPORT_COSTS!$D:$D,$B$6))</f>
        <v/>
      </c>
      <c r="Q28">
        <f>O28+P28</f>
        <v/>
      </c>
      <c r="R28">
        <f>P28+IF(F28=0,0,SUMIFS(DATA_TRANSPORT!$S:$S,DATA_TRANSPORT!$A:$A,B28,DATA_TRANSPORT!$E:$E,$B$6,DATA_TRANSPORT!$AB:$AB,$B$7,DATA_TRANSPORT!$T:$T,"Central"))</f>
        <v/>
      </c>
      <c r="S28">
        <f>IF(F28=0,0,SUMIFS(DATA_TRANSPORT!$S:$S,DATA_TRANSPORT!$A:$A,B28,DATA_TRANSPORT!$E:$E,$B$6,DATA_TRANSPORT!$AB:$AB,$B$7,DATA_TRANSPORT!$T:$T,"Members"))</f>
        <v/>
      </c>
      <c r="T28">
        <f>IF(OR(B28="",$B$17),0,SUMIFS(DATA_TRANSPORT_BUDGET!$G:$G,DATA_TRANSPORT_BUDGET!$A:$A,B28,DATA_TRANSPORT_BUDGET!$D:$D,$B$6))</f>
        <v/>
      </c>
      <c r="U28">
        <f>IF(F28=0,0,SUMIFS(DATA_TRANSPORT!$S:$S,DATA_TRANSPORT!$A:$A,B28,DATA_TRANSPORT!$E:$E,$B$6,DATA_TRANSPORT!$AB:$AB,$B$7,DATA_TRANSPORT!$C:$C,"FT Procured"))</f>
        <v/>
      </c>
      <c r="V28">
        <f>IF(F28=0,0,COUNTIFS(DATA_TRANSPORT!$A:$A,B28,DATA_TRANSPORT!$E:$E,$B$6,DATA_TRANSPORT!$AB:$AB,$B$7,DATA_TRANSPORT!$U:$U,"Breakdown"))</f>
        <v/>
      </c>
      <c r="W28">
        <f>IF(M28=0,0,N28/M28)</f>
        <v/>
      </c>
      <c r="X28">
        <f>IF(F28&gt;0,1,0)</f>
        <v/>
      </c>
      <c r="Y28">
        <f>IF(AND(A28&gt;=1,A28&lt;=$B$11),X28,0)</f>
        <v/>
      </c>
      <c r="Z28">
        <f>IF(AND(C28=$B$12,E28=$B$14),X28,0)</f>
        <v/>
      </c>
      <c r="AA28">
        <f>IF(AND(D28=$B$13,E28=$B$14),X28,0)</f>
        <v/>
      </c>
      <c r="AB28">
        <f>IF(E28=$B$14,X28,0)</f>
        <v/>
      </c>
      <c r="AE28">
        <f>IFERROR(INDEX(MASTER_AREAS!$B:$B,27)&amp;"","")</f>
        <v/>
      </c>
      <c r="AF28">
        <f>IF(OR(AE28="",$B$10=0),0,SUMIFS(DATA_TRANSPORT!$Q:$Q,DATA_TRANSPORT!$A:$A,$B$10,DATA_TRANSPORT!$E:$E,AE28))</f>
        <v/>
      </c>
      <c r="AG28">
        <f>IF(OR(AE28="",$B$10=0),0,SUMIFS(DATA_TRANSPORT!$I:$I,DATA_TRANSPORT!$A:$A,$B$10,DATA_TRANSPORT!$E:$E,AE28,DATA_TRANSPORT!$U:$U,"Ran"))</f>
        <v/>
      </c>
      <c r="AH28">
        <f>IF(OR(AE28="",$B$10=0),0,SUMIFS(DATA_TRANSPORT!$L:$L,DATA_TRANSPORT!$A:$A,$B$10,DATA_TRANSPORT!$E:$E,AE28))</f>
        <v/>
      </c>
      <c r="AI28">
        <f>IF(OR(AE28="",$B$10=0),0,SUMIFS(DATA_TRANSPORT!$R:$R,DATA_TRANSPORT!$A:$A,$B$10,DATA_TRANSPORT!$E:$E,AE28))</f>
        <v/>
      </c>
      <c r="AJ28">
        <f>IF(AH28=0,"",AI28/AH28)</f>
        <v/>
      </c>
      <c r="AK28">
        <f>IF(OR(AE28="",$B$10=0),0,SUMIFS(DATA_TRANSPORT!$S:$S,DATA_TRANSPORT!$A:$A,$B$10,DATA_TRANSPORT!$E:$E,AE28))+IF(OR(AE28="",$B$10=0),0,SUMIFS(DATA_TRANSPORT_COSTS!$M:$M,DATA_TRANSPORT_COSTS!$A:$A,$B$10,DATA_TRANSPORT_COSTS!$D:$D,AE28))</f>
        <v/>
      </c>
      <c r="AL28">
        <f>IF(OR(AF28=0,AK28=0),"",AK28/AF28)</f>
        <v/>
      </c>
      <c r="AM28">
        <f>IF(OR(AE28="",$B$10=0),0,SUMIFS(DATA_TRANSPORT!$S:$S,DATA_TRANSPORT!$A:$A,$B$10,DATA_TRANSPORT!$E:$E,AE28,DATA_TRANSPORT!$C:$C,"FT Procured"))</f>
        <v/>
      </c>
      <c r="AN28">
        <f>IF(OR(AE28="",$B$10=0),0,SUMIFS(DATA_TRANSPORT_BUDGET!$G:$G,DATA_TRANSPORT_BUDGET!$A:$A,$B$10,DATA_TRANSPORT_BUDGET!$D:$D,AE28))</f>
        <v/>
      </c>
      <c r="AO28">
        <f>IF(AN28=0,"",AM28-AN28)</f>
        <v/>
      </c>
      <c r="AP28">
        <f>IF(OR(AE28="",$B$10=0),0,COUNTIFS(DATA_TRANSPORT!$A:$A,$B$10,DATA_TRANSPORT!$E:$E,AE28,DATA_TRANSPORT!$C:$C,"FT Procured",DATA_TRANSPORT!$Y:$Y,"Y"))</f>
        <v/>
      </c>
      <c r="AQ28">
        <f>IF(OR(AE28="",$B$10=0),0,SUMIFS(DATA_TRANSPORT_BUDGET!$E:$E,DATA_TRANSPORT_BUDGET!$A:$A,$B$10,DATA_TRANSPORT_BUDGET!$D:$D,AE28))</f>
        <v/>
      </c>
      <c r="AR28">
        <f>IF(OR(AE28="",$B$10=0),0,COUNTIFS(DATA_TRANSPORT!$A:$A,$B$10,DATA_TRANSPORT!$E:$E,AE28,DATA_TRANSPORT!$U:$U,"Breakdown"))</f>
        <v/>
      </c>
      <c r="AS28">
        <f>IF(IF(OR(AE28="",$B$10=0),0,SUMIFS(DATA_TRANSPORT!$L:$L,DATA_TRANSPORT!$A:$A,$B$10-7,DATA_TRANSPORT!$E:$E,AE28))=0,"",IF(OR(AE28="",$B$10=0),0,SUMIFS(DATA_TRANSPORT!$R:$R,DATA_TRANSPORT!$A:$A,$B$10-7,DATA_TRANSPORT!$E:$E,AE28))/IF(OR(AE28="",$B$10=0),0,SUMIFS(DATA_TRANSPORT!$L:$L,DATA_TRANSPORT!$A:$A,$B$10-7,DATA_TRANSPORT!$E:$E,AE28)))</f>
        <v/>
      </c>
      <c r="AT28">
        <f>IF(IF(OR(AE28="",$B$10=0),0,SUMIFS(DATA_TRANSPORT!$L:$L,DATA_TRANSPORT!$A:$A,$B$10-14,DATA_TRANSPORT!$E:$E,AE28))=0,"",IF(OR(AE28="",$B$10=0),0,SUMIFS(DATA_TRANSPORT!$R:$R,DATA_TRANSPORT!$A:$A,$B$10-14,DATA_TRANSPORT!$E:$E,AE28))/IF(OR(AE28="",$B$10=0),0,SUMIFS(DATA_TRANSPORT!$L:$L,DATA_TRANSPORT!$A:$A,$B$10-14,DATA_TRANSPORT!$E:$E,AE28)))</f>
        <v/>
      </c>
      <c r="AU28">
        <f>IF(IF(OR(AE28="",$B$10=0),0,SUMIFS(DATA_TRANSPORT!$L:$L,DATA_TRANSPORT!$A:$A,$B$10-21,DATA_TRANSPORT!$E:$E,AE28))=0,"",IF(OR(AE28="",$B$10=0),0,SUMIFS(DATA_TRANSPORT!$R:$R,DATA_TRANSPORT!$A:$A,$B$10-21,DATA_TRANSPORT!$E:$E,AE28))/IF(OR(AE28="",$B$10=0),0,SUMIFS(DATA_TRANSPORT!$L:$L,DATA_TRANSPORT!$A:$A,$B$10-21,DATA_TRANSPORT!$E:$E,AE28)))</f>
        <v/>
      </c>
      <c r="AV28">
        <f>IF(AND(ISNUMBER(AJ28),AJ28&lt;UtilLow),1,0)+IF(AND(ISNUMBER(AS28),AS28&lt;UtilLow),1,0)+IF(AND(ISNUMBER(AT28),AT28&lt;UtilLow),1,0)+IF(AND(ISNUMBER(AU28),AU28&lt;UtilLow),1,0)</f>
        <v/>
      </c>
      <c r="AW28">
        <f>IF(AV28&gt;=UtilLowWeeks,AE28&amp;": seats only "&amp;TEXT(AJ28,"0%")&amp;" full, under "&amp;TEXT(UtilLow,"0%")&amp;" for "&amp;AV28&amp;" weeks running",IF(AND(ISNUMBER(AJ28),AJ28&gt;UtilHigh),AE28&amp;": demand exceeds seats ("&amp;TEXT(AJ28,"0%")&amp;" full) — consider more buses",IF(AND(ISNUMBER(AO28),AO28&gt;0),AE28&amp;": FT spend ₦"&amp;TEXT(AO28,"#,##0")&amp;" over the weekly budget",IF(AR28&gt;0,AE28&amp;": "&amp;AR28&amp;" coaster breakdown(s) this week",""))))</f>
        <v/>
      </c>
      <c r="AX28">
        <f>IF(ISNUMBER(AJ28),AJ28+ROW()/1000000000,"")</f>
        <v/>
      </c>
      <c r="AY28">
        <f>IF(ISNUMBER(AL28),AL28+ROW()/1000000,"")</f>
        <v/>
      </c>
      <c r="AZ28">
        <f>IF(AND(ISNUMBER(AO28),AO28&gt;0),AO28+ROW()/1000000,"")</f>
        <v/>
      </c>
      <c r="BA28">
        <f>IF(AF28&gt;0,AF28+ROW()/1000000,"")</f>
        <v/>
      </c>
      <c r="BB28">
        <f>IF(AW28="","",ROW())</f>
        <v/>
      </c>
      <c r="BO28">
        <f>IFERROR(SMALL(DATA_TRANSPORT!$AC:$AC,26),"")</f>
        <v/>
      </c>
      <c r="BP28">
        <f>IF(BO28="","",INDEX(DATA_TRANSPORT!$E:$E,BO28))</f>
        <v/>
      </c>
      <c r="BQ28">
        <f>IF(BO28="","",INDEX(DATA_TRANSPORT!$C:$C,BO28))</f>
        <v/>
      </c>
      <c r="BR28">
        <f>IF(BO28="","",TRIM(INDEX(DATA_TRANSPORT!$G:$G,BO28)&amp;" "&amp;IF(INDEX(DATA_TRANSPORT!$H:$H,BO28)="","","(bus "&amp;INDEX(DATA_TRANSPORT!$H:$H,BO28)&amp;")")))</f>
        <v/>
      </c>
      <c r="BS28">
        <f>IF(BO28="","",IF(INDEX(DATA_TRANSPORT!$U:$U,BO28)="Breakdown","Breakdown",IF(INDEX(DATA_TRANSPORT!$W:$W,BO28)="","Needs more buses",INDEX(DATA_TRANSPORT!$W:$W,BO28))))</f>
        <v/>
      </c>
      <c r="BT28">
        <f>IF(BO28="","",INDEX(DATA_TRANSPORT!$X:$X,BO28)&amp;"")</f>
        <v/>
      </c>
    </row>
    <row r="29">
      <c r="A29" t="n">
        <v>8</v>
      </c>
      <c r="B29" s="170">
        <f>IF($B$10=0,"",$B$10-7*A29)</f>
        <v/>
      </c>
      <c r="C29">
        <f>IF(B29="","",MONTH(B29))</f>
        <v/>
      </c>
      <c r="D29">
        <f>IF(B29="","",ROUNDUP(MONTH(B29)/3,0))</f>
        <v/>
      </c>
      <c r="E29">
        <f>IF(B29="","",YEAR(B29))</f>
        <v/>
      </c>
      <c r="F29">
        <f>IF(B29="",0,COUNTIFS(DATA_TRANSPORT!$A:$A,B29,DATA_TRANSPORT!$E:$E,$B$6,DATA_TRANSPORT!$AB:$AB,$B$7))</f>
        <v/>
      </c>
      <c r="G29">
        <f>IF(F29=0,0,SUMIFS(DATA_TRANSPORT!$Q:$Q,DATA_TRANSPORT!$A:$A,B29,DATA_TRANSPORT!$E:$E,$B$6,DATA_TRANSPORT!$AB:$AB,$B$7))</f>
        <v/>
      </c>
      <c r="H29">
        <f>IF(F29=0,0,SUMIFS(DATA_TRANSPORT!$M:$M,DATA_TRANSPORT!$A:$A,B29,DATA_TRANSPORT!$E:$E,$B$6,DATA_TRANSPORT!$AB:$AB,$B$7))</f>
        <v/>
      </c>
      <c r="I29">
        <f>IF(F29=0,0,SUMIFS(DATA_TRANSPORT!$N:$N,DATA_TRANSPORT!$A:$A,B29,DATA_TRANSPORT!$E:$E,$B$6,DATA_TRANSPORT!$AB:$AB,$B$7))</f>
        <v/>
      </c>
      <c r="J29">
        <f>IF(F29=0,0,SUMIFS(DATA_TRANSPORT!$P:$P,DATA_TRANSPORT!$A:$A,B29,DATA_TRANSPORT!$E:$E,$B$6,DATA_TRANSPORT!$AB:$AB,$B$7))</f>
        <v/>
      </c>
      <c r="K29">
        <f>IF(F29=0,0,SUMIFS(DATA_TRANSPORT!$I:$I,DATA_TRANSPORT!$A:$A,B29,DATA_TRANSPORT!$E:$E,$B$6,DATA_TRANSPORT!$AB:$AB,$B$7))</f>
        <v/>
      </c>
      <c r="L29">
        <f>IF(F29=0,0,SUMIFS(DATA_TRANSPORT!$I:$I,DATA_TRANSPORT!$A:$A,B29,DATA_TRANSPORT!$E:$E,$B$6,DATA_TRANSPORT!$AB:$AB,$B$7,DATA_TRANSPORT!$U:$U,"Ran"))</f>
        <v/>
      </c>
      <c r="M29">
        <f>IF(F29=0,0,SUMIFS(DATA_TRANSPORT!$L:$L,DATA_TRANSPORT!$A:$A,B29,DATA_TRANSPORT!$E:$E,$B$6,DATA_TRANSPORT!$AB:$AB,$B$7))</f>
        <v/>
      </c>
      <c r="N29">
        <f>IF(F29=0,0,SUMIFS(DATA_TRANSPORT!$R:$R,DATA_TRANSPORT!$A:$A,B29,DATA_TRANSPORT!$E:$E,$B$6,DATA_TRANSPORT!$AB:$AB,$B$7))</f>
        <v/>
      </c>
      <c r="O29">
        <f>IF(F29=0,0,SUMIFS(DATA_TRANSPORT!$S:$S,DATA_TRANSPORT!$A:$A,B29,DATA_TRANSPORT!$E:$E,$B$6,DATA_TRANSPORT!$AB:$AB,$B$7))</f>
        <v/>
      </c>
      <c r="P29">
        <f>IF(OR(B29="",$B$17),0,SUMIFS(DATA_TRANSPORT_COSTS!$M:$M,DATA_TRANSPORT_COSTS!$A:$A,B29,DATA_TRANSPORT_COSTS!$D:$D,$B$6))</f>
        <v/>
      </c>
      <c r="Q29">
        <f>O29+P29</f>
        <v/>
      </c>
      <c r="R29">
        <f>P29+IF(F29=0,0,SUMIFS(DATA_TRANSPORT!$S:$S,DATA_TRANSPORT!$A:$A,B29,DATA_TRANSPORT!$E:$E,$B$6,DATA_TRANSPORT!$AB:$AB,$B$7,DATA_TRANSPORT!$T:$T,"Central"))</f>
        <v/>
      </c>
      <c r="S29">
        <f>IF(F29=0,0,SUMIFS(DATA_TRANSPORT!$S:$S,DATA_TRANSPORT!$A:$A,B29,DATA_TRANSPORT!$E:$E,$B$6,DATA_TRANSPORT!$AB:$AB,$B$7,DATA_TRANSPORT!$T:$T,"Members"))</f>
        <v/>
      </c>
      <c r="T29">
        <f>IF(OR(B29="",$B$17),0,SUMIFS(DATA_TRANSPORT_BUDGET!$G:$G,DATA_TRANSPORT_BUDGET!$A:$A,B29,DATA_TRANSPORT_BUDGET!$D:$D,$B$6))</f>
        <v/>
      </c>
      <c r="U29">
        <f>IF(F29=0,0,SUMIFS(DATA_TRANSPORT!$S:$S,DATA_TRANSPORT!$A:$A,B29,DATA_TRANSPORT!$E:$E,$B$6,DATA_TRANSPORT!$AB:$AB,$B$7,DATA_TRANSPORT!$C:$C,"FT Procured"))</f>
        <v/>
      </c>
      <c r="V29">
        <f>IF(F29=0,0,COUNTIFS(DATA_TRANSPORT!$A:$A,B29,DATA_TRANSPORT!$E:$E,$B$6,DATA_TRANSPORT!$AB:$AB,$B$7,DATA_TRANSPORT!$U:$U,"Breakdown"))</f>
        <v/>
      </c>
      <c r="W29">
        <f>IF(M29=0,0,N29/M29)</f>
        <v/>
      </c>
      <c r="X29">
        <f>IF(F29&gt;0,1,0)</f>
        <v/>
      </c>
      <c r="Y29">
        <f>IF(AND(A29&gt;=1,A29&lt;=$B$11),X29,0)</f>
        <v/>
      </c>
      <c r="Z29">
        <f>IF(AND(C29=$B$12,E29=$B$14),X29,0)</f>
        <v/>
      </c>
      <c r="AA29">
        <f>IF(AND(D29=$B$13,E29=$B$14),X29,0)</f>
        <v/>
      </c>
      <c r="AB29">
        <f>IF(E29=$B$14,X29,0)</f>
        <v/>
      </c>
      <c r="AE29">
        <f>IFERROR(INDEX(MASTER_AREAS!$B:$B,28)&amp;"","")</f>
        <v/>
      </c>
      <c r="AF29">
        <f>IF(OR(AE29="",$B$10=0),0,SUMIFS(DATA_TRANSPORT!$Q:$Q,DATA_TRANSPORT!$A:$A,$B$10,DATA_TRANSPORT!$E:$E,AE29))</f>
        <v/>
      </c>
      <c r="AG29">
        <f>IF(OR(AE29="",$B$10=0),0,SUMIFS(DATA_TRANSPORT!$I:$I,DATA_TRANSPORT!$A:$A,$B$10,DATA_TRANSPORT!$E:$E,AE29,DATA_TRANSPORT!$U:$U,"Ran"))</f>
        <v/>
      </c>
      <c r="AH29">
        <f>IF(OR(AE29="",$B$10=0),0,SUMIFS(DATA_TRANSPORT!$L:$L,DATA_TRANSPORT!$A:$A,$B$10,DATA_TRANSPORT!$E:$E,AE29))</f>
        <v/>
      </c>
      <c r="AI29">
        <f>IF(OR(AE29="",$B$10=0),0,SUMIFS(DATA_TRANSPORT!$R:$R,DATA_TRANSPORT!$A:$A,$B$10,DATA_TRANSPORT!$E:$E,AE29))</f>
        <v/>
      </c>
      <c r="AJ29">
        <f>IF(AH29=0,"",AI29/AH29)</f>
        <v/>
      </c>
      <c r="AK29">
        <f>IF(OR(AE29="",$B$10=0),0,SUMIFS(DATA_TRANSPORT!$S:$S,DATA_TRANSPORT!$A:$A,$B$10,DATA_TRANSPORT!$E:$E,AE29))+IF(OR(AE29="",$B$10=0),0,SUMIFS(DATA_TRANSPORT_COSTS!$M:$M,DATA_TRANSPORT_COSTS!$A:$A,$B$10,DATA_TRANSPORT_COSTS!$D:$D,AE29))</f>
        <v/>
      </c>
      <c r="AL29">
        <f>IF(OR(AF29=0,AK29=0),"",AK29/AF29)</f>
        <v/>
      </c>
      <c r="AM29">
        <f>IF(OR(AE29="",$B$10=0),0,SUMIFS(DATA_TRANSPORT!$S:$S,DATA_TRANSPORT!$A:$A,$B$10,DATA_TRANSPORT!$E:$E,AE29,DATA_TRANSPORT!$C:$C,"FT Procured"))</f>
        <v/>
      </c>
      <c r="AN29">
        <f>IF(OR(AE29="",$B$10=0),0,SUMIFS(DATA_TRANSPORT_BUDGET!$G:$G,DATA_TRANSPORT_BUDGET!$A:$A,$B$10,DATA_TRANSPORT_BUDGET!$D:$D,AE29))</f>
        <v/>
      </c>
      <c r="AO29">
        <f>IF(AN29=0,"",AM29-AN29)</f>
        <v/>
      </c>
      <c r="AP29">
        <f>IF(OR(AE29="",$B$10=0),0,COUNTIFS(DATA_TRANSPORT!$A:$A,$B$10,DATA_TRANSPORT!$E:$E,AE29,DATA_TRANSPORT!$C:$C,"FT Procured",DATA_TRANSPORT!$Y:$Y,"Y"))</f>
        <v/>
      </c>
      <c r="AQ29">
        <f>IF(OR(AE29="",$B$10=0),0,SUMIFS(DATA_TRANSPORT_BUDGET!$E:$E,DATA_TRANSPORT_BUDGET!$A:$A,$B$10,DATA_TRANSPORT_BUDGET!$D:$D,AE29))</f>
        <v/>
      </c>
      <c r="AR29">
        <f>IF(OR(AE29="",$B$10=0),0,COUNTIFS(DATA_TRANSPORT!$A:$A,$B$10,DATA_TRANSPORT!$E:$E,AE29,DATA_TRANSPORT!$U:$U,"Breakdown"))</f>
        <v/>
      </c>
      <c r="AS29">
        <f>IF(IF(OR(AE29="",$B$10=0),0,SUMIFS(DATA_TRANSPORT!$L:$L,DATA_TRANSPORT!$A:$A,$B$10-7,DATA_TRANSPORT!$E:$E,AE29))=0,"",IF(OR(AE29="",$B$10=0),0,SUMIFS(DATA_TRANSPORT!$R:$R,DATA_TRANSPORT!$A:$A,$B$10-7,DATA_TRANSPORT!$E:$E,AE29))/IF(OR(AE29="",$B$10=0),0,SUMIFS(DATA_TRANSPORT!$L:$L,DATA_TRANSPORT!$A:$A,$B$10-7,DATA_TRANSPORT!$E:$E,AE29)))</f>
        <v/>
      </c>
      <c r="AT29">
        <f>IF(IF(OR(AE29="",$B$10=0),0,SUMIFS(DATA_TRANSPORT!$L:$L,DATA_TRANSPORT!$A:$A,$B$10-14,DATA_TRANSPORT!$E:$E,AE29))=0,"",IF(OR(AE29="",$B$10=0),0,SUMIFS(DATA_TRANSPORT!$R:$R,DATA_TRANSPORT!$A:$A,$B$10-14,DATA_TRANSPORT!$E:$E,AE29))/IF(OR(AE29="",$B$10=0),0,SUMIFS(DATA_TRANSPORT!$L:$L,DATA_TRANSPORT!$A:$A,$B$10-14,DATA_TRANSPORT!$E:$E,AE29)))</f>
        <v/>
      </c>
      <c r="AU29">
        <f>IF(IF(OR(AE29="",$B$10=0),0,SUMIFS(DATA_TRANSPORT!$L:$L,DATA_TRANSPORT!$A:$A,$B$10-21,DATA_TRANSPORT!$E:$E,AE29))=0,"",IF(OR(AE29="",$B$10=0),0,SUMIFS(DATA_TRANSPORT!$R:$R,DATA_TRANSPORT!$A:$A,$B$10-21,DATA_TRANSPORT!$E:$E,AE29))/IF(OR(AE29="",$B$10=0),0,SUMIFS(DATA_TRANSPORT!$L:$L,DATA_TRANSPORT!$A:$A,$B$10-21,DATA_TRANSPORT!$E:$E,AE29)))</f>
        <v/>
      </c>
      <c r="AV29">
        <f>IF(AND(ISNUMBER(AJ29),AJ29&lt;UtilLow),1,0)+IF(AND(ISNUMBER(AS29),AS29&lt;UtilLow),1,0)+IF(AND(ISNUMBER(AT29),AT29&lt;UtilLow),1,0)+IF(AND(ISNUMBER(AU29),AU29&lt;UtilLow),1,0)</f>
        <v/>
      </c>
      <c r="AW29">
        <f>IF(AV29&gt;=UtilLowWeeks,AE29&amp;": seats only "&amp;TEXT(AJ29,"0%")&amp;" full, under "&amp;TEXT(UtilLow,"0%")&amp;" for "&amp;AV29&amp;" weeks running",IF(AND(ISNUMBER(AJ29),AJ29&gt;UtilHigh),AE29&amp;": demand exceeds seats ("&amp;TEXT(AJ29,"0%")&amp;" full) — consider more buses",IF(AND(ISNUMBER(AO29),AO29&gt;0),AE29&amp;": FT spend ₦"&amp;TEXT(AO29,"#,##0")&amp;" over the weekly budget",IF(AR29&gt;0,AE29&amp;": "&amp;AR29&amp;" coaster breakdown(s) this week",""))))</f>
        <v/>
      </c>
      <c r="AX29">
        <f>IF(ISNUMBER(AJ29),AJ29+ROW()/1000000000,"")</f>
        <v/>
      </c>
      <c r="AY29">
        <f>IF(ISNUMBER(AL29),AL29+ROW()/1000000,"")</f>
        <v/>
      </c>
      <c r="AZ29">
        <f>IF(AND(ISNUMBER(AO29),AO29&gt;0),AO29+ROW()/1000000,"")</f>
        <v/>
      </c>
      <c r="BA29">
        <f>IF(AF29&gt;0,AF29+ROW()/1000000,"")</f>
        <v/>
      </c>
      <c r="BB29">
        <f>IF(AW29="","",ROW())</f>
        <v/>
      </c>
      <c r="BO29">
        <f>IFERROR(SMALL(DATA_TRANSPORT!$AC:$AC,27),"")</f>
        <v/>
      </c>
      <c r="BP29">
        <f>IF(BO29="","",INDEX(DATA_TRANSPORT!$E:$E,BO29))</f>
        <v/>
      </c>
      <c r="BQ29">
        <f>IF(BO29="","",INDEX(DATA_TRANSPORT!$C:$C,BO29))</f>
        <v/>
      </c>
      <c r="BR29">
        <f>IF(BO29="","",TRIM(INDEX(DATA_TRANSPORT!$G:$G,BO29)&amp;" "&amp;IF(INDEX(DATA_TRANSPORT!$H:$H,BO29)="","","(bus "&amp;INDEX(DATA_TRANSPORT!$H:$H,BO29)&amp;")")))</f>
        <v/>
      </c>
      <c r="BS29">
        <f>IF(BO29="","",IF(INDEX(DATA_TRANSPORT!$U:$U,BO29)="Breakdown","Breakdown",IF(INDEX(DATA_TRANSPORT!$W:$W,BO29)="","Needs more buses",INDEX(DATA_TRANSPORT!$W:$W,BO29))))</f>
        <v/>
      </c>
      <c r="BT29">
        <f>IF(BO29="","",INDEX(DATA_TRANSPORT!$X:$X,BO29)&amp;"")</f>
        <v/>
      </c>
    </row>
    <row r="30">
      <c r="A30" t="n">
        <v>9</v>
      </c>
      <c r="B30" s="170">
        <f>IF($B$10=0,"",$B$10-7*A30)</f>
        <v/>
      </c>
      <c r="C30">
        <f>IF(B30="","",MONTH(B30))</f>
        <v/>
      </c>
      <c r="D30">
        <f>IF(B30="","",ROUNDUP(MONTH(B30)/3,0))</f>
        <v/>
      </c>
      <c r="E30">
        <f>IF(B30="","",YEAR(B30))</f>
        <v/>
      </c>
      <c r="F30">
        <f>IF(B30="",0,COUNTIFS(DATA_TRANSPORT!$A:$A,B30,DATA_TRANSPORT!$E:$E,$B$6,DATA_TRANSPORT!$AB:$AB,$B$7))</f>
        <v/>
      </c>
      <c r="G30">
        <f>IF(F30=0,0,SUMIFS(DATA_TRANSPORT!$Q:$Q,DATA_TRANSPORT!$A:$A,B30,DATA_TRANSPORT!$E:$E,$B$6,DATA_TRANSPORT!$AB:$AB,$B$7))</f>
        <v/>
      </c>
      <c r="H30">
        <f>IF(F30=0,0,SUMIFS(DATA_TRANSPORT!$M:$M,DATA_TRANSPORT!$A:$A,B30,DATA_TRANSPORT!$E:$E,$B$6,DATA_TRANSPORT!$AB:$AB,$B$7))</f>
        <v/>
      </c>
      <c r="I30">
        <f>IF(F30=0,0,SUMIFS(DATA_TRANSPORT!$N:$N,DATA_TRANSPORT!$A:$A,B30,DATA_TRANSPORT!$E:$E,$B$6,DATA_TRANSPORT!$AB:$AB,$B$7))</f>
        <v/>
      </c>
      <c r="J30">
        <f>IF(F30=0,0,SUMIFS(DATA_TRANSPORT!$P:$P,DATA_TRANSPORT!$A:$A,B30,DATA_TRANSPORT!$E:$E,$B$6,DATA_TRANSPORT!$AB:$AB,$B$7))</f>
        <v/>
      </c>
      <c r="K30">
        <f>IF(F30=0,0,SUMIFS(DATA_TRANSPORT!$I:$I,DATA_TRANSPORT!$A:$A,B30,DATA_TRANSPORT!$E:$E,$B$6,DATA_TRANSPORT!$AB:$AB,$B$7))</f>
        <v/>
      </c>
      <c r="L30">
        <f>IF(F30=0,0,SUMIFS(DATA_TRANSPORT!$I:$I,DATA_TRANSPORT!$A:$A,B30,DATA_TRANSPORT!$E:$E,$B$6,DATA_TRANSPORT!$AB:$AB,$B$7,DATA_TRANSPORT!$U:$U,"Ran"))</f>
        <v/>
      </c>
      <c r="M30">
        <f>IF(F30=0,0,SUMIFS(DATA_TRANSPORT!$L:$L,DATA_TRANSPORT!$A:$A,B30,DATA_TRANSPORT!$E:$E,$B$6,DATA_TRANSPORT!$AB:$AB,$B$7))</f>
        <v/>
      </c>
      <c r="N30">
        <f>IF(F30=0,0,SUMIFS(DATA_TRANSPORT!$R:$R,DATA_TRANSPORT!$A:$A,B30,DATA_TRANSPORT!$E:$E,$B$6,DATA_TRANSPORT!$AB:$AB,$B$7))</f>
        <v/>
      </c>
      <c r="O30">
        <f>IF(F30=0,0,SUMIFS(DATA_TRANSPORT!$S:$S,DATA_TRANSPORT!$A:$A,B30,DATA_TRANSPORT!$E:$E,$B$6,DATA_TRANSPORT!$AB:$AB,$B$7))</f>
        <v/>
      </c>
      <c r="P30">
        <f>IF(OR(B30="",$B$17),0,SUMIFS(DATA_TRANSPORT_COSTS!$M:$M,DATA_TRANSPORT_COSTS!$A:$A,B30,DATA_TRANSPORT_COSTS!$D:$D,$B$6))</f>
        <v/>
      </c>
      <c r="Q30">
        <f>O30+P30</f>
        <v/>
      </c>
      <c r="R30">
        <f>P30+IF(F30=0,0,SUMIFS(DATA_TRANSPORT!$S:$S,DATA_TRANSPORT!$A:$A,B30,DATA_TRANSPORT!$E:$E,$B$6,DATA_TRANSPORT!$AB:$AB,$B$7,DATA_TRANSPORT!$T:$T,"Central"))</f>
        <v/>
      </c>
      <c r="S30">
        <f>IF(F30=0,0,SUMIFS(DATA_TRANSPORT!$S:$S,DATA_TRANSPORT!$A:$A,B30,DATA_TRANSPORT!$E:$E,$B$6,DATA_TRANSPORT!$AB:$AB,$B$7,DATA_TRANSPORT!$T:$T,"Members"))</f>
        <v/>
      </c>
      <c r="T30">
        <f>IF(OR(B30="",$B$17),0,SUMIFS(DATA_TRANSPORT_BUDGET!$G:$G,DATA_TRANSPORT_BUDGET!$A:$A,B30,DATA_TRANSPORT_BUDGET!$D:$D,$B$6))</f>
        <v/>
      </c>
      <c r="U30">
        <f>IF(F30=0,0,SUMIFS(DATA_TRANSPORT!$S:$S,DATA_TRANSPORT!$A:$A,B30,DATA_TRANSPORT!$E:$E,$B$6,DATA_TRANSPORT!$AB:$AB,$B$7,DATA_TRANSPORT!$C:$C,"FT Procured"))</f>
        <v/>
      </c>
      <c r="V30">
        <f>IF(F30=0,0,COUNTIFS(DATA_TRANSPORT!$A:$A,B30,DATA_TRANSPORT!$E:$E,$B$6,DATA_TRANSPORT!$AB:$AB,$B$7,DATA_TRANSPORT!$U:$U,"Breakdown"))</f>
        <v/>
      </c>
      <c r="W30">
        <f>IF(M30=0,0,N30/M30)</f>
        <v/>
      </c>
      <c r="X30">
        <f>IF(F30&gt;0,1,0)</f>
        <v/>
      </c>
      <c r="Y30">
        <f>IF(AND(A30&gt;=1,A30&lt;=$B$11),X30,0)</f>
        <v/>
      </c>
      <c r="Z30">
        <f>IF(AND(C30=$B$12,E30=$B$14),X30,0)</f>
        <v/>
      </c>
      <c r="AA30">
        <f>IF(AND(D30=$B$13,E30=$B$14),X30,0)</f>
        <v/>
      </c>
      <c r="AB30">
        <f>IF(E30=$B$14,X30,0)</f>
        <v/>
      </c>
      <c r="AE30">
        <f>IFERROR(INDEX(MASTER_AREAS!$B:$B,29)&amp;"","")</f>
        <v/>
      </c>
      <c r="AF30">
        <f>IF(OR(AE30="",$B$10=0),0,SUMIFS(DATA_TRANSPORT!$Q:$Q,DATA_TRANSPORT!$A:$A,$B$10,DATA_TRANSPORT!$E:$E,AE30))</f>
        <v/>
      </c>
      <c r="AG30">
        <f>IF(OR(AE30="",$B$10=0),0,SUMIFS(DATA_TRANSPORT!$I:$I,DATA_TRANSPORT!$A:$A,$B$10,DATA_TRANSPORT!$E:$E,AE30,DATA_TRANSPORT!$U:$U,"Ran"))</f>
        <v/>
      </c>
      <c r="AH30">
        <f>IF(OR(AE30="",$B$10=0),0,SUMIFS(DATA_TRANSPORT!$L:$L,DATA_TRANSPORT!$A:$A,$B$10,DATA_TRANSPORT!$E:$E,AE30))</f>
        <v/>
      </c>
      <c r="AI30">
        <f>IF(OR(AE30="",$B$10=0),0,SUMIFS(DATA_TRANSPORT!$R:$R,DATA_TRANSPORT!$A:$A,$B$10,DATA_TRANSPORT!$E:$E,AE30))</f>
        <v/>
      </c>
      <c r="AJ30">
        <f>IF(AH30=0,"",AI30/AH30)</f>
        <v/>
      </c>
      <c r="AK30">
        <f>IF(OR(AE30="",$B$10=0),0,SUMIFS(DATA_TRANSPORT!$S:$S,DATA_TRANSPORT!$A:$A,$B$10,DATA_TRANSPORT!$E:$E,AE30))+IF(OR(AE30="",$B$10=0),0,SUMIFS(DATA_TRANSPORT_COSTS!$M:$M,DATA_TRANSPORT_COSTS!$A:$A,$B$10,DATA_TRANSPORT_COSTS!$D:$D,AE30))</f>
        <v/>
      </c>
      <c r="AL30">
        <f>IF(OR(AF30=0,AK30=0),"",AK30/AF30)</f>
        <v/>
      </c>
      <c r="AM30">
        <f>IF(OR(AE30="",$B$10=0),0,SUMIFS(DATA_TRANSPORT!$S:$S,DATA_TRANSPORT!$A:$A,$B$10,DATA_TRANSPORT!$E:$E,AE30,DATA_TRANSPORT!$C:$C,"FT Procured"))</f>
        <v/>
      </c>
      <c r="AN30">
        <f>IF(OR(AE30="",$B$10=0),0,SUMIFS(DATA_TRANSPORT_BUDGET!$G:$G,DATA_TRANSPORT_BUDGET!$A:$A,$B$10,DATA_TRANSPORT_BUDGET!$D:$D,AE30))</f>
        <v/>
      </c>
      <c r="AO30">
        <f>IF(AN30=0,"",AM30-AN30)</f>
        <v/>
      </c>
      <c r="AP30">
        <f>IF(OR(AE30="",$B$10=0),0,COUNTIFS(DATA_TRANSPORT!$A:$A,$B$10,DATA_TRANSPORT!$E:$E,AE30,DATA_TRANSPORT!$C:$C,"FT Procured",DATA_TRANSPORT!$Y:$Y,"Y"))</f>
        <v/>
      </c>
      <c r="AQ30">
        <f>IF(OR(AE30="",$B$10=0),0,SUMIFS(DATA_TRANSPORT_BUDGET!$E:$E,DATA_TRANSPORT_BUDGET!$A:$A,$B$10,DATA_TRANSPORT_BUDGET!$D:$D,AE30))</f>
        <v/>
      </c>
      <c r="AR30">
        <f>IF(OR(AE30="",$B$10=0),0,COUNTIFS(DATA_TRANSPORT!$A:$A,$B$10,DATA_TRANSPORT!$E:$E,AE30,DATA_TRANSPORT!$U:$U,"Breakdown"))</f>
        <v/>
      </c>
      <c r="AS30">
        <f>IF(IF(OR(AE30="",$B$10=0),0,SUMIFS(DATA_TRANSPORT!$L:$L,DATA_TRANSPORT!$A:$A,$B$10-7,DATA_TRANSPORT!$E:$E,AE30))=0,"",IF(OR(AE30="",$B$10=0),0,SUMIFS(DATA_TRANSPORT!$R:$R,DATA_TRANSPORT!$A:$A,$B$10-7,DATA_TRANSPORT!$E:$E,AE30))/IF(OR(AE30="",$B$10=0),0,SUMIFS(DATA_TRANSPORT!$L:$L,DATA_TRANSPORT!$A:$A,$B$10-7,DATA_TRANSPORT!$E:$E,AE30)))</f>
        <v/>
      </c>
      <c r="AT30">
        <f>IF(IF(OR(AE30="",$B$10=0),0,SUMIFS(DATA_TRANSPORT!$L:$L,DATA_TRANSPORT!$A:$A,$B$10-14,DATA_TRANSPORT!$E:$E,AE30))=0,"",IF(OR(AE30="",$B$10=0),0,SUMIFS(DATA_TRANSPORT!$R:$R,DATA_TRANSPORT!$A:$A,$B$10-14,DATA_TRANSPORT!$E:$E,AE30))/IF(OR(AE30="",$B$10=0),0,SUMIFS(DATA_TRANSPORT!$L:$L,DATA_TRANSPORT!$A:$A,$B$10-14,DATA_TRANSPORT!$E:$E,AE30)))</f>
        <v/>
      </c>
      <c r="AU30">
        <f>IF(IF(OR(AE30="",$B$10=0),0,SUMIFS(DATA_TRANSPORT!$L:$L,DATA_TRANSPORT!$A:$A,$B$10-21,DATA_TRANSPORT!$E:$E,AE30))=0,"",IF(OR(AE30="",$B$10=0),0,SUMIFS(DATA_TRANSPORT!$R:$R,DATA_TRANSPORT!$A:$A,$B$10-21,DATA_TRANSPORT!$E:$E,AE30))/IF(OR(AE30="",$B$10=0),0,SUMIFS(DATA_TRANSPORT!$L:$L,DATA_TRANSPORT!$A:$A,$B$10-21,DATA_TRANSPORT!$E:$E,AE30)))</f>
        <v/>
      </c>
      <c r="AV30">
        <f>IF(AND(ISNUMBER(AJ30),AJ30&lt;UtilLow),1,0)+IF(AND(ISNUMBER(AS30),AS30&lt;UtilLow),1,0)+IF(AND(ISNUMBER(AT30),AT30&lt;UtilLow),1,0)+IF(AND(ISNUMBER(AU30),AU30&lt;UtilLow),1,0)</f>
        <v/>
      </c>
      <c r="AW30">
        <f>IF(AV30&gt;=UtilLowWeeks,AE30&amp;": seats only "&amp;TEXT(AJ30,"0%")&amp;" full, under "&amp;TEXT(UtilLow,"0%")&amp;" for "&amp;AV30&amp;" weeks running",IF(AND(ISNUMBER(AJ30),AJ30&gt;UtilHigh),AE30&amp;": demand exceeds seats ("&amp;TEXT(AJ30,"0%")&amp;" full) — consider more buses",IF(AND(ISNUMBER(AO30),AO30&gt;0),AE30&amp;": FT spend ₦"&amp;TEXT(AO30,"#,##0")&amp;" over the weekly budget",IF(AR30&gt;0,AE30&amp;": "&amp;AR30&amp;" coaster breakdown(s) this week",""))))</f>
        <v/>
      </c>
      <c r="AX30">
        <f>IF(ISNUMBER(AJ30),AJ30+ROW()/1000000000,"")</f>
        <v/>
      </c>
      <c r="AY30">
        <f>IF(ISNUMBER(AL30),AL30+ROW()/1000000,"")</f>
        <v/>
      </c>
      <c r="AZ30">
        <f>IF(AND(ISNUMBER(AO30),AO30&gt;0),AO30+ROW()/1000000,"")</f>
        <v/>
      </c>
      <c r="BA30">
        <f>IF(AF30&gt;0,AF30+ROW()/1000000,"")</f>
        <v/>
      </c>
      <c r="BB30">
        <f>IF(AW30="","",ROW())</f>
        <v/>
      </c>
      <c r="BO30">
        <f>IFERROR(SMALL(DATA_TRANSPORT!$AC:$AC,28),"")</f>
        <v/>
      </c>
      <c r="BP30">
        <f>IF(BO30="","",INDEX(DATA_TRANSPORT!$E:$E,BO30))</f>
        <v/>
      </c>
      <c r="BQ30">
        <f>IF(BO30="","",INDEX(DATA_TRANSPORT!$C:$C,BO30))</f>
        <v/>
      </c>
      <c r="BR30">
        <f>IF(BO30="","",TRIM(INDEX(DATA_TRANSPORT!$G:$G,BO30)&amp;" "&amp;IF(INDEX(DATA_TRANSPORT!$H:$H,BO30)="","","(bus "&amp;INDEX(DATA_TRANSPORT!$H:$H,BO30)&amp;")")))</f>
        <v/>
      </c>
      <c r="BS30">
        <f>IF(BO30="","",IF(INDEX(DATA_TRANSPORT!$U:$U,BO30)="Breakdown","Breakdown",IF(INDEX(DATA_TRANSPORT!$W:$W,BO30)="","Needs more buses",INDEX(DATA_TRANSPORT!$W:$W,BO30))))</f>
        <v/>
      </c>
      <c r="BT30">
        <f>IF(BO30="","",INDEX(DATA_TRANSPORT!$X:$X,BO30)&amp;"")</f>
        <v/>
      </c>
    </row>
    <row r="31">
      <c r="A31" t="n">
        <v>10</v>
      </c>
      <c r="B31" s="170">
        <f>IF($B$10=0,"",$B$10-7*A31)</f>
        <v/>
      </c>
      <c r="C31">
        <f>IF(B31="","",MONTH(B31))</f>
        <v/>
      </c>
      <c r="D31">
        <f>IF(B31="","",ROUNDUP(MONTH(B31)/3,0))</f>
        <v/>
      </c>
      <c r="E31">
        <f>IF(B31="","",YEAR(B31))</f>
        <v/>
      </c>
      <c r="F31">
        <f>IF(B31="",0,COUNTIFS(DATA_TRANSPORT!$A:$A,B31,DATA_TRANSPORT!$E:$E,$B$6,DATA_TRANSPORT!$AB:$AB,$B$7))</f>
        <v/>
      </c>
      <c r="G31">
        <f>IF(F31=0,0,SUMIFS(DATA_TRANSPORT!$Q:$Q,DATA_TRANSPORT!$A:$A,B31,DATA_TRANSPORT!$E:$E,$B$6,DATA_TRANSPORT!$AB:$AB,$B$7))</f>
        <v/>
      </c>
      <c r="H31">
        <f>IF(F31=0,0,SUMIFS(DATA_TRANSPORT!$M:$M,DATA_TRANSPORT!$A:$A,B31,DATA_TRANSPORT!$E:$E,$B$6,DATA_TRANSPORT!$AB:$AB,$B$7))</f>
        <v/>
      </c>
      <c r="I31">
        <f>IF(F31=0,0,SUMIFS(DATA_TRANSPORT!$N:$N,DATA_TRANSPORT!$A:$A,B31,DATA_TRANSPORT!$E:$E,$B$6,DATA_TRANSPORT!$AB:$AB,$B$7))</f>
        <v/>
      </c>
      <c r="J31">
        <f>IF(F31=0,0,SUMIFS(DATA_TRANSPORT!$P:$P,DATA_TRANSPORT!$A:$A,B31,DATA_TRANSPORT!$E:$E,$B$6,DATA_TRANSPORT!$AB:$AB,$B$7))</f>
        <v/>
      </c>
      <c r="K31">
        <f>IF(F31=0,0,SUMIFS(DATA_TRANSPORT!$I:$I,DATA_TRANSPORT!$A:$A,B31,DATA_TRANSPORT!$E:$E,$B$6,DATA_TRANSPORT!$AB:$AB,$B$7))</f>
        <v/>
      </c>
      <c r="L31">
        <f>IF(F31=0,0,SUMIFS(DATA_TRANSPORT!$I:$I,DATA_TRANSPORT!$A:$A,B31,DATA_TRANSPORT!$E:$E,$B$6,DATA_TRANSPORT!$AB:$AB,$B$7,DATA_TRANSPORT!$U:$U,"Ran"))</f>
        <v/>
      </c>
      <c r="M31">
        <f>IF(F31=0,0,SUMIFS(DATA_TRANSPORT!$L:$L,DATA_TRANSPORT!$A:$A,B31,DATA_TRANSPORT!$E:$E,$B$6,DATA_TRANSPORT!$AB:$AB,$B$7))</f>
        <v/>
      </c>
      <c r="N31">
        <f>IF(F31=0,0,SUMIFS(DATA_TRANSPORT!$R:$R,DATA_TRANSPORT!$A:$A,B31,DATA_TRANSPORT!$E:$E,$B$6,DATA_TRANSPORT!$AB:$AB,$B$7))</f>
        <v/>
      </c>
      <c r="O31">
        <f>IF(F31=0,0,SUMIFS(DATA_TRANSPORT!$S:$S,DATA_TRANSPORT!$A:$A,B31,DATA_TRANSPORT!$E:$E,$B$6,DATA_TRANSPORT!$AB:$AB,$B$7))</f>
        <v/>
      </c>
      <c r="P31">
        <f>IF(OR(B31="",$B$17),0,SUMIFS(DATA_TRANSPORT_COSTS!$M:$M,DATA_TRANSPORT_COSTS!$A:$A,B31,DATA_TRANSPORT_COSTS!$D:$D,$B$6))</f>
        <v/>
      </c>
      <c r="Q31">
        <f>O31+P31</f>
        <v/>
      </c>
      <c r="R31">
        <f>P31+IF(F31=0,0,SUMIFS(DATA_TRANSPORT!$S:$S,DATA_TRANSPORT!$A:$A,B31,DATA_TRANSPORT!$E:$E,$B$6,DATA_TRANSPORT!$AB:$AB,$B$7,DATA_TRANSPORT!$T:$T,"Central"))</f>
        <v/>
      </c>
      <c r="S31">
        <f>IF(F31=0,0,SUMIFS(DATA_TRANSPORT!$S:$S,DATA_TRANSPORT!$A:$A,B31,DATA_TRANSPORT!$E:$E,$B$6,DATA_TRANSPORT!$AB:$AB,$B$7,DATA_TRANSPORT!$T:$T,"Members"))</f>
        <v/>
      </c>
      <c r="T31">
        <f>IF(OR(B31="",$B$17),0,SUMIFS(DATA_TRANSPORT_BUDGET!$G:$G,DATA_TRANSPORT_BUDGET!$A:$A,B31,DATA_TRANSPORT_BUDGET!$D:$D,$B$6))</f>
        <v/>
      </c>
      <c r="U31">
        <f>IF(F31=0,0,SUMIFS(DATA_TRANSPORT!$S:$S,DATA_TRANSPORT!$A:$A,B31,DATA_TRANSPORT!$E:$E,$B$6,DATA_TRANSPORT!$AB:$AB,$B$7,DATA_TRANSPORT!$C:$C,"FT Procured"))</f>
        <v/>
      </c>
      <c r="V31">
        <f>IF(F31=0,0,COUNTIFS(DATA_TRANSPORT!$A:$A,B31,DATA_TRANSPORT!$E:$E,$B$6,DATA_TRANSPORT!$AB:$AB,$B$7,DATA_TRANSPORT!$U:$U,"Breakdown"))</f>
        <v/>
      </c>
      <c r="W31">
        <f>IF(M31=0,0,N31/M31)</f>
        <v/>
      </c>
      <c r="X31">
        <f>IF(F31&gt;0,1,0)</f>
        <v/>
      </c>
      <c r="Y31">
        <f>IF(AND(A31&gt;=1,A31&lt;=$B$11),X31,0)</f>
        <v/>
      </c>
      <c r="Z31">
        <f>IF(AND(C31=$B$12,E31=$B$14),X31,0)</f>
        <v/>
      </c>
      <c r="AA31">
        <f>IF(AND(D31=$B$13,E31=$B$14),X31,0)</f>
        <v/>
      </c>
      <c r="AB31">
        <f>IF(E31=$B$14,X31,0)</f>
        <v/>
      </c>
      <c r="AE31">
        <f>IFERROR(INDEX(MASTER_AREAS!$B:$B,30)&amp;"","")</f>
        <v/>
      </c>
      <c r="AF31">
        <f>IF(OR(AE31="",$B$10=0),0,SUMIFS(DATA_TRANSPORT!$Q:$Q,DATA_TRANSPORT!$A:$A,$B$10,DATA_TRANSPORT!$E:$E,AE31))</f>
        <v/>
      </c>
      <c r="AG31">
        <f>IF(OR(AE31="",$B$10=0),0,SUMIFS(DATA_TRANSPORT!$I:$I,DATA_TRANSPORT!$A:$A,$B$10,DATA_TRANSPORT!$E:$E,AE31,DATA_TRANSPORT!$U:$U,"Ran"))</f>
        <v/>
      </c>
      <c r="AH31">
        <f>IF(OR(AE31="",$B$10=0),0,SUMIFS(DATA_TRANSPORT!$L:$L,DATA_TRANSPORT!$A:$A,$B$10,DATA_TRANSPORT!$E:$E,AE31))</f>
        <v/>
      </c>
      <c r="AI31">
        <f>IF(OR(AE31="",$B$10=0),0,SUMIFS(DATA_TRANSPORT!$R:$R,DATA_TRANSPORT!$A:$A,$B$10,DATA_TRANSPORT!$E:$E,AE31))</f>
        <v/>
      </c>
      <c r="AJ31">
        <f>IF(AH31=0,"",AI31/AH31)</f>
        <v/>
      </c>
      <c r="AK31">
        <f>IF(OR(AE31="",$B$10=0),0,SUMIFS(DATA_TRANSPORT!$S:$S,DATA_TRANSPORT!$A:$A,$B$10,DATA_TRANSPORT!$E:$E,AE31))+IF(OR(AE31="",$B$10=0),0,SUMIFS(DATA_TRANSPORT_COSTS!$M:$M,DATA_TRANSPORT_COSTS!$A:$A,$B$10,DATA_TRANSPORT_COSTS!$D:$D,AE31))</f>
        <v/>
      </c>
      <c r="AL31">
        <f>IF(OR(AF31=0,AK31=0),"",AK31/AF31)</f>
        <v/>
      </c>
      <c r="AM31">
        <f>IF(OR(AE31="",$B$10=0),0,SUMIFS(DATA_TRANSPORT!$S:$S,DATA_TRANSPORT!$A:$A,$B$10,DATA_TRANSPORT!$E:$E,AE31,DATA_TRANSPORT!$C:$C,"FT Procured"))</f>
        <v/>
      </c>
      <c r="AN31">
        <f>IF(OR(AE31="",$B$10=0),0,SUMIFS(DATA_TRANSPORT_BUDGET!$G:$G,DATA_TRANSPORT_BUDGET!$A:$A,$B$10,DATA_TRANSPORT_BUDGET!$D:$D,AE31))</f>
        <v/>
      </c>
      <c r="AO31">
        <f>IF(AN31=0,"",AM31-AN31)</f>
        <v/>
      </c>
      <c r="AP31">
        <f>IF(OR(AE31="",$B$10=0),0,COUNTIFS(DATA_TRANSPORT!$A:$A,$B$10,DATA_TRANSPORT!$E:$E,AE31,DATA_TRANSPORT!$C:$C,"FT Procured",DATA_TRANSPORT!$Y:$Y,"Y"))</f>
        <v/>
      </c>
      <c r="AQ31">
        <f>IF(OR(AE31="",$B$10=0),0,SUMIFS(DATA_TRANSPORT_BUDGET!$E:$E,DATA_TRANSPORT_BUDGET!$A:$A,$B$10,DATA_TRANSPORT_BUDGET!$D:$D,AE31))</f>
        <v/>
      </c>
      <c r="AR31">
        <f>IF(OR(AE31="",$B$10=0),0,COUNTIFS(DATA_TRANSPORT!$A:$A,$B$10,DATA_TRANSPORT!$E:$E,AE31,DATA_TRANSPORT!$U:$U,"Breakdown"))</f>
        <v/>
      </c>
      <c r="AS31">
        <f>IF(IF(OR(AE31="",$B$10=0),0,SUMIFS(DATA_TRANSPORT!$L:$L,DATA_TRANSPORT!$A:$A,$B$10-7,DATA_TRANSPORT!$E:$E,AE31))=0,"",IF(OR(AE31="",$B$10=0),0,SUMIFS(DATA_TRANSPORT!$R:$R,DATA_TRANSPORT!$A:$A,$B$10-7,DATA_TRANSPORT!$E:$E,AE31))/IF(OR(AE31="",$B$10=0),0,SUMIFS(DATA_TRANSPORT!$L:$L,DATA_TRANSPORT!$A:$A,$B$10-7,DATA_TRANSPORT!$E:$E,AE31)))</f>
        <v/>
      </c>
      <c r="AT31">
        <f>IF(IF(OR(AE31="",$B$10=0),0,SUMIFS(DATA_TRANSPORT!$L:$L,DATA_TRANSPORT!$A:$A,$B$10-14,DATA_TRANSPORT!$E:$E,AE31))=0,"",IF(OR(AE31="",$B$10=0),0,SUMIFS(DATA_TRANSPORT!$R:$R,DATA_TRANSPORT!$A:$A,$B$10-14,DATA_TRANSPORT!$E:$E,AE31))/IF(OR(AE31="",$B$10=0),0,SUMIFS(DATA_TRANSPORT!$L:$L,DATA_TRANSPORT!$A:$A,$B$10-14,DATA_TRANSPORT!$E:$E,AE31)))</f>
        <v/>
      </c>
      <c r="AU31">
        <f>IF(IF(OR(AE31="",$B$10=0),0,SUMIFS(DATA_TRANSPORT!$L:$L,DATA_TRANSPORT!$A:$A,$B$10-21,DATA_TRANSPORT!$E:$E,AE31))=0,"",IF(OR(AE31="",$B$10=0),0,SUMIFS(DATA_TRANSPORT!$R:$R,DATA_TRANSPORT!$A:$A,$B$10-21,DATA_TRANSPORT!$E:$E,AE31))/IF(OR(AE31="",$B$10=0),0,SUMIFS(DATA_TRANSPORT!$L:$L,DATA_TRANSPORT!$A:$A,$B$10-21,DATA_TRANSPORT!$E:$E,AE31)))</f>
        <v/>
      </c>
      <c r="AV31">
        <f>IF(AND(ISNUMBER(AJ31),AJ31&lt;UtilLow),1,0)+IF(AND(ISNUMBER(AS31),AS31&lt;UtilLow),1,0)+IF(AND(ISNUMBER(AT31),AT31&lt;UtilLow),1,0)+IF(AND(ISNUMBER(AU31),AU31&lt;UtilLow),1,0)</f>
        <v/>
      </c>
      <c r="AW31">
        <f>IF(AV31&gt;=UtilLowWeeks,AE31&amp;": seats only "&amp;TEXT(AJ31,"0%")&amp;" full, under "&amp;TEXT(UtilLow,"0%")&amp;" for "&amp;AV31&amp;" weeks running",IF(AND(ISNUMBER(AJ31),AJ31&gt;UtilHigh),AE31&amp;": demand exceeds seats ("&amp;TEXT(AJ31,"0%")&amp;" full) — consider more buses",IF(AND(ISNUMBER(AO31),AO31&gt;0),AE31&amp;": FT spend ₦"&amp;TEXT(AO31,"#,##0")&amp;" over the weekly budget",IF(AR31&gt;0,AE31&amp;": "&amp;AR31&amp;" coaster breakdown(s) this week",""))))</f>
        <v/>
      </c>
      <c r="AX31">
        <f>IF(ISNUMBER(AJ31),AJ31+ROW()/1000000000,"")</f>
        <v/>
      </c>
      <c r="AY31">
        <f>IF(ISNUMBER(AL31),AL31+ROW()/1000000,"")</f>
        <v/>
      </c>
      <c r="AZ31">
        <f>IF(AND(ISNUMBER(AO31),AO31&gt;0),AO31+ROW()/1000000,"")</f>
        <v/>
      </c>
      <c r="BA31">
        <f>IF(AF31&gt;0,AF31+ROW()/1000000,"")</f>
        <v/>
      </c>
      <c r="BB31">
        <f>IF(AW31="","",ROW())</f>
        <v/>
      </c>
      <c r="BO31">
        <f>IFERROR(SMALL(DATA_TRANSPORT!$AC:$AC,29),"")</f>
        <v/>
      </c>
      <c r="BP31">
        <f>IF(BO31="","",INDEX(DATA_TRANSPORT!$E:$E,BO31))</f>
        <v/>
      </c>
      <c r="BQ31">
        <f>IF(BO31="","",INDEX(DATA_TRANSPORT!$C:$C,BO31))</f>
        <v/>
      </c>
      <c r="BR31">
        <f>IF(BO31="","",TRIM(INDEX(DATA_TRANSPORT!$G:$G,BO31)&amp;" "&amp;IF(INDEX(DATA_TRANSPORT!$H:$H,BO31)="","","(bus "&amp;INDEX(DATA_TRANSPORT!$H:$H,BO31)&amp;")")))</f>
        <v/>
      </c>
      <c r="BS31">
        <f>IF(BO31="","",IF(INDEX(DATA_TRANSPORT!$U:$U,BO31)="Breakdown","Breakdown",IF(INDEX(DATA_TRANSPORT!$W:$W,BO31)="","Needs more buses",INDEX(DATA_TRANSPORT!$W:$W,BO31))))</f>
        <v/>
      </c>
      <c r="BT31">
        <f>IF(BO31="","",INDEX(DATA_TRANSPORT!$X:$X,BO31)&amp;"")</f>
        <v/>
      </c>
    </row>
    <row r="32">
      <c r="A32" t="n">
        <v>11</v>
      </c>
      <c r="B32" s="170">
        <f>IF($B$10=0,"",$B$10-7*A32)</f>
        <v/>
      </c>
      <c r="C32">
        <f>IF(B32="","",MONTH(B32))</f>
        <v/>
      </c>
      <c r="D32">
        <f>IF(B32="","",ROUNDUP(MONTH(B32)/3,0))</f>
        <v/>
      </c>
      <c r="E32">
        <f>IF(B32="","",YEAR(B32))</f>
        <v/>
      </c>
      <c r="F32">
        <f>IF(B32="",0,COUNTIFS(DATA_TRANSPORT!$A:$A,B32,DATA_TRANSPORT!$E:$E,$B$6,DATA_TRANSPORT!$AB:$AB,$B$7))</f>
        <v/>
      </c>
      <c r="G32">
        <f>IF(F32=0,0,SUMIFS(DATA_TRANSPORT!$Q:$Q,DATA_TRANSPORT!$A:$A,B32,DATA_TRANSPORT!$E:$E,$B$6,DATA_TRANSPORT!$AB:$AB,$B$7))</f>
        <v/>
      </c>
      <c r="H32">
        <f>IF(F32=0,0,SUMIFS(DATA_TRANSPORT!$M:$M,DATA_TRANSPORT!$A:$A,B32,DATA_TRANSPORT!$E:$E,$B$6,DATA_TRANSPORT!$AB:$AB,$B$7))</f>
        <v/>
      </c>
      <c r="I32">
        <f>IF(F32=0,0,SUMIFS(DATA_TRANSPORT!$N:$N,DATA_TRANSPORT!$A:$A,B32,DATA_TRANSPORT!$E:$E,$B$6,DATA_TRANSPORT!$AB:$AB,$B$7))</f>
        <v/>
      </c>
      <c r="J32">
        <f>IF(F32=0,0,SUMIFS(DATA_TRANSPORT!$P:$P,DATA_TRANSPORT!$A:$A,B32,DATA_TRANSPORT!$E:$E,$B$6,DATA_TRANSPORT!$AB:$AB,$B$7))</f>
        <v/>
      </c>
      <c r="K32">
        <f>IF(F32=0,0,SUMIFS(DATA_TRANSPORT!$I:$I,DATA_TRANSPORT!$A:$A,B32,DATA_TRANSPORT!$E:$E,$B$6,DATA_TRANSPORT!$AB:$AB,$B$7))</f>
        <v/>
      </c>
      <c r="L32">
        <f>IF(F32=0,0,SUMIFS(DATA_TRANSPORT!$I:$I,DATA_TRANSPORT!$A:$A,B32,DATA_TRANSPORT!$E:$E,$B$6,DATA_TRANSPORT!$AB:$AB,$B$7,DATA_TRANSPORT!$U:$U,"Ran"))</f>
        <v/>
      </c>
      <c r="M32">
        <f>IF(F32=0,0,SUMIFS(DATA_TRANSPORT!$L:$L,DATA_TRANSPORT!$A:$A,B32,DATA_TRANSPORT!$E:$E,$B$6,DATA_TRANSPORT!$AB:$AB,$B$7))</f>
        <v/>
      </c>
      <c r="N32">
        <f>IF(F32=0,0,SUMIFS(DATA_TRANSPORT!$R:$R,DATA_TRANSPORT!$A:$A,B32,DATA_TRANSPORT!$E:$E,$B$6,DATA_TRANSPORT!$AB:$AB,$B$7))</f>
        <v/>
      </c>
      <c r="O32">
        <f>IF(F32=0,0,SUMIFS(DATA_TRANSPORT!$S:$S,DATA_TRANSPORT!$A:$A,B32,DATA_TRANSPORT!$E:$E,$B$6,DATA_TRANSPORT!$AB:$AB,$B$7))</f>
        <v/>
      </c>
      <c r="P32">
        <f>IF(OR(B32="",$B$17),0,SUMIFS(DATA_TRANSPORT_COSTS!$M:$M,DATA_TRANSPORT_COSTS!$A:$A,B32,DATA_TRANSPORT_COSTS!$D:$D,$B$6))</f>
        <v/>
      </c>
      <c r="Q32">
        <f>O32+P32</f>
        <v/>
      </c>
      <c r="R32">
        <f>P32+IF(F32=0,0,SUMIFS(DATA_TRANSPORT!$S:$S,DATA_TRANSPORT!$A:$A,B32,DATA_TRANSPORT!$E:$E,$B$6,DATA_TRANSPORT!$AB:$AB,$B$7,DATA_TRANSPORT!$T:$T,"Central"))</f>
        <v/>
      </c>
      <c r="S32">
        <f>IF(F32=0,0,SUMIFS(DATA_TRANSPORT!$S:$S,DATA_TRANSPORT!$A:$A,B32,DATA_TRANSPORT!$E:$E,$B$6,DATA_TRANSPORT!$AB:$AB,$B$7,DATA_TRANSPORT!$T:$T,"Members"))</f>
        <v/>
      </c>
      <c r="T32">
        <f>IF(OR(B32="",$B$17),0,SUMIFS(DATA_TRANSPORT_BUDGET!$G:$G,DATA_TRANSPORT_BUDGET!$A:$A,B32,DATA_TRANSPORT_BUDGET!$D:$D,$B$6))</f>
        <v/>
      </c>
      <c r="U32">
        <f>IF(F32=0,0,SUMIFS(DATA_TRANSPORT!$S:$S,DATA_TRANSPORT!$A:$A,B32,DATA_TRANSPORT!$E:$E,$B$6,DATA_TRANSPORT!$AB:$AB,$B$7,DATA_TRANSPORT!$C:$C,"FT Procured"))</f>
        <v/>
      </c>
      <c r="V32">
        <f>IF(F32=0,0,COUNTIFS(DATA_TRANSPORT!$A:$A,B32,DATA_TRANSPORT!$E:$E,$B$6,DATA_TRANSPORT!$AB:$AB,$B$7,DATA_TRANSPORT!$U:$U,"Breakdown"))</f>
        <v/>
      </c>
      <c r="W32">
        <f>IF(M32=0,0,N32/M32)</f>
        <v/>
      </c>
      <c r="X32">
        <f>IF(F32&gt;0,1,0)</f>
        <v/>
      </c>
      <c r="Y32">
        <f>IF(AND(A32&gt;=1,A32&lt;=$B$11),X32,0)</f>
        <v/>
      </c>
      <c r="Z32">
        <f>IF(AND(C32=$B$12,E32=$B$14),X32,0)</f>
        <v/>
      </c>
      <c r="AA32">
        <f>IF(AND(D32=$B$13,E32=$B$14),X32,0)</f>
        <v/>
      </c>
      <c r="AB32">
        <f>IF(E32=$B$14,X32,0)</f>
        <v/>
      </c>
      <c r="AE32">
        <f>IFERROR(INDEX(MASTER_AREAS!$B:$B,31)&amp;"","")</f>
        <v/>
      </c>
      <c r="AF32">
        <f>IF(OR(AE32="",$B$10=0),0,SUMIFS(DATA_TRANSPORT!$Q:$Q,DATA_TRANSPORT!$A:$A,$B$10,DATA_TRANSPORT!$E:$E,AE32))</f>
        <v/>
      </c>
      <c r="AG32">
        <f>IF(OR(AE32="",$B$10=0),0,SUMIFS(DATA_TRANSPORT!$I:$I,DATA_TRANSPORT!$A:$A,$B$10,DATA_TRANSPORT!$E:$E,AE32,DATA_TRANSPORT!$U:$U,"Ran"))</f>
        <v/>
      </c>
      <c r="AH32">
        <f>IF(OR(AE32="",$B$10=0),0,SUMIFS(DATA_TRANSPORT!$L:$L,DATA_TRANSPORT!$A:$A,$B$10,DATA_TRANSPORT!$E:$E,AE32))</f>
        <v/>
      </c>
      <c r="AI32">
        <f>IF(OR(AE32="",$B$10=0),0,SUMIFS(DATA_TRANSPORT!$R:$R,DATA_TRANSPORT!$A:$A,$B$10,DATA_TRANSPORT!$E:$E,AE32))</f>
        <v/>
      </c>
      <c r="AJ32">
        <f>IF(AH32=0,"",AI32/AH32)</f>
        <v/>
      </c>
      <c r="AK32">
        <f>IF(OR(AE32="",$B$10=0),0,SUMIFS(DATA_TRANSPORT!$S:$S,DATA_TRANSPORT!$A:$A,$B$10,DATA_TRANSPORT!$E:$E,AE32))+IF(OR(AE32="",$B$10=0),0,SUMIFS(DATA_TRANSPORT_COSTS!$M:$M,DATA_TRANSPORT_COSTS!$A:$A,$B$10,DATA_TRANSPORT_COSTS!$D:$D,AE32))</f>
        <v/>
      </c>
      <c r="AL32">
        <f>IF(OR(AF32=0,AK32=0),"",AK32/AF32)</f>
        <v/>
      </c>
      <c r="AM32">
        <f>IF(OR(AE32="",$B$10=0),0,SUMIFS(DATA_TRANSPORT!$S:$S,DATA_TRANSPORT!$A:$A,$B$10,DATA_TRANSPORT!$E:$E,AE32,DATA_TRANSPORT!$C:$C,"FT Procured"))</f>
        <v/>
      </c>
      <c r="AN32">
        <f>IF(OR(AE32="",$B$10=0),0,SUMIFS(DATA_TRANSPORT_BUDGET!$G:$G,DATA_TRANSPORT_BUDGET!$A:$A,$B$10,DATA_TRANSPORT_BUDGET!$D:$D,AE32))</f>
        <v/>
      </c>
      <c r="AO32">
        <f>IF(AN32=0,"",AM32-AN32)</f>
        <v/>
      </c>
      <c r="AP32">
        <f>IF(OR(AE32="",$B$10=0),0,COUNTIFS(DATA_TRANSPORT!$A:$A,$B$10,DATA_TRANSPORT!$E:$E,AE32,DATA_TRANSPORT!$C:$C,"FT Procured",DATA_TRANSPORT!$Y:$Y,"Y"))</f>
        <v/>
      </c>
      <c r="AQ32">
        <f>IF(OR(AE32="",$B$10=0),0,SUMIFS(DATA_TRANSPORT_BUDGET!$E:$E,DATA_TRANSPORT_BUDGET!$A:$A,$B$10,DATA_TRANSPORT_BUDGET!$D:$D,AE32))</f>
        <v/>
      </c>
      <c r="AR32">
        <f>IF(OR(AE32="",$B$10=0),0,COUNTIFS(DATA_TRANSPORT!$A:$A,$B$10,DATA_TRANSPORT!$E:$E,AE32,DATA_TRANSPORT!$U:$U,"Breakdown"))</f>
        <v/>
      </c>
      <c r="AS32">
        <f>IF(IF(OR(AE32="",$B$10=0),0,SUMIFS(DATA_TRANSPORT!$L:$L,DATA_TRANSPORT!$A:$A,$B$10-7,DATA_TRANSPORT!$E:$E,AE32))=0,"",IF(OR(AE32="",$B$10=0),0,SUMIFS(DATA_TRANSPORT!$R:$R,DATA_TRANSPORT!$A:$A,$B$10-7,DATA_TRANSPORT!$E:$E,AE32))/IF(OR(AE32="",$B$10=0),0,SUMIFS(DATA_TRANSPORT!$L:$L,DATA_TRANSPORT!$A:$A,$B$10-7,DATA_TRANSPORT!$E:$E,AE32)))</f>
        <v/>
      </c>
      <c r="AT32">
        <f>IF(IF(OR(AE32="",$B$10=0),0,SUMIFS(DATA_TRANSPORT!$L:$L,DATA_TRANSPORT!$A:$A,$B$10-14,DATA_TRANSPORT!$E:$E,AE32))=0,"",IF(OR(AE32="",$B$10=0),0,SUMIFS(DATA_TRANSPORT!$R:$R,DATA_TRANSPORT!$A:$A,$B$10-14,DATA_TRANSPORT!$E:$E,AE32))/IF(OR(AE32="",$B$10=0),0,SUMIFS(DATA_TRANSPORT!$L:$L,DATA_TRANSPORT!$A:$A,$B$10-14,DATA_TRANSPORT!$E:$E,AE32)))</f>
        <v/>
      </c>
      <c r="AU32">
        <f>IF(IF(OR(AE32="",$B$10=0),0,SUMIFS(DATA_TRANSPORT!$L:$L,DATA_TRANSPORT!$A:$A,$B$10-21,DATA_TRANSPORT!$E:$E,AE32))=0,"",IF(OR(AE32="",$B$10=0),0,SUMIFS(DATA_TRANSPORT!$R:$R,DATA_TRANSPORT!$A:$A,$B$10-21,DATA_TRANSPORT!$E:$E,AE32))/IF(OR(AE32="",$B$10=0),0,SUMIFS(DATA_TRANSPORT!$L:$L,DATA_TRANSPORT!$A:$A,$B$10-21,DATA_TRANSPORT!$E:$E,AE32)))</f>
        <v/>
      </c>
      <c r="AV32">
        <f>IF(AND(ISNUMBER(AJ32),AJ32&lt;UtilLow),1,0)+IF(AND(ISNUMBER(AS32),AS32&lt;UtilLow),1,0)+IF(AND(ISNUMBER(AT32),AT32&lt;UtilLow),1,0)+IF(AND(ISNUMBER(AU32),AU32&lt;UtilLow),1,0)</f>
        <v/>
      </c>
      <c r="AW32">
        <f>IF(AV32&gt;=UtilLowWeeks,AE32&amp;": seats only "&amp;TEXT(AJ32,"0%")&amp;" full, under "&amp;TEXT(UtilLow,"0%")&amp;" for "&amp;AV32&amp;" weeks running",IF(AND(ISNUMBER(AJ32),AJ32&gt;UtilHigh),AE32&amp;": demand exceeds seats ("&amp;TEXT(AJ32,"0%")&amp;" full) — consider more buses",IF(AND(ISNUMBER(AO32),AO32&gt;0),AE32&amp;": FT spend ₦"&amp;TEXT(AO32,"#,##0")&amp;" over the weekly budget",IF(AR32&gt;0,AE32&amp;": "&amp;AR32&amp;" coaster breakdown(s) this week",""))))</f>
        <v/>
      </c>
      <c r="AX32">
        <f>IF(ISNUMBER(AJ32),AJ32+ROW()/1000000000,"")</f>
        <v/>
      </c>
      <c r="AY32">
        <f>IF(ISNUMBER(AL32),AL32+ROW()/1000000,"")</f>
        <v/>
      </c>
      <c r="AZ32">
        <f>IF(AND(ISNUMBER(AO32),AO32&gt;0),AO32+ROW()/1000000,"")</f>
        <v/>
      </c>
      <c r="BA32">
        <f>IF(AF32&gt;0,AF32+ROW()/1000000,"")</f>
        <v/>
      </c>
      <c r="BB32">
        <f>IF(AW32="","",ROW())</f>
        <v/>
      </c>
      <c r="BO32">
        <f>IFERROR(SMALL(DATA_TRANSPORT!$AC:$AC,30),"")</f>
        <v/>
      </c>
      <c r="BP32">
        <f>IF(BO32="","",INDEX(DATA_TRANSPORT!$E:$E,BO32))</f>
        <v/>
      </c>
      <c r="BQ32">
        <f>IF(BO32="","",INDEX(DATA_TRANSPORT!$C:$C,BO32))</f>
        <v/>
      </c>
      <c r="BR32">
        <f>IF(BO32="","",TRIM(INDEX(DATA_TRANSPORT!$G:$G,BO32)&amp;" "&amp;IF(INDEX(DATA_TRANSPORT!$H:$H,BO32)="","","(bus "&amp;INDEX(DATA_TRANSPORT!$H:$H,BO32)&amp;")")))</f>
        <v/>
      </c>
      <c r="BS32">
        <f>IF(BO32="","",IF(INDEX(DATA_TRANSPORT!$U:$U,BO32)="Breakdown","Breakdown",IF(INDEX(DATA_TRANSPORT!$W:$W,BO32)="","Needs more buses",INDEX(DATA_TRANSPORT!$W:$W,BO32))))</f>
        <v/>
      </c>
      <c r="BT32">
        <f>IF(BO32="","",INDEX(DATA_TRANSPORT!$X:$X,BO32)&amp;"")</f>
        <v/>
      </c>
    </row>
    <row r="33">
      <c r="A33" t="n">
        <v>12</v>
      </c>
      <c r="B33" s="170">
        <f>IF($B$10=0,"",$B$10-7*A33)</f>
        <v/>
      </c>
      <c r="C33">
        <f>IF(B33="","",MONTH(B33))</f>
        <v/>
      </c>
      <c r="D33">
        <f>IF(B33="","",ROUNDUP(MONTH(B33)/3,0))</f>
        <v/>
      </c>
      <c r="E33">
        <f>IF(B33="","",YEAR(B33))</f>
        <v/>
      </c>
      <c r="F33">
        <f>IF(B33="",0,COUNTIFS(DATA_TRANSPORT!$A:$A,B33,DATA_TRANSPORT!$E:$E,$B$6,DATA_TRANSPORT!$AB:$AB,$B$7))</f>
        <v/>
      </c>
      <c r="G33">
        <f>IF(F33=0,0,SUMIFS(DATA_TRANSPORT!$Q:$Q,DATA_TRANSPORT!$A:$A,B33,DATA_TRANSPORT!$E:$E,$B$6,DATA_TRANSPORT!$AB:$AB,$B$7))</f>
        <v/>
      </c>
      <c r="H33">
        <f>IF(F33=0,0,SUMIFS(DATA_TRANSPORT!$M:$M,DATA_TRANSPORT!$A:$A,B33,DATA_TRANSPORT!$E:$E,$B$6,DATA_TRANSPORT!$AB:$AB,$B$7))</f>
        <v/>
      </c>
      <c r="I33">
        <f>IF(F33=0,0,SUMIFS(DATA_TRANSPORT!$N:$N,DATA_TRANSPORT!$A:$A,B33,DATA_TRANSPORT!$E:$E,$B$6,DATA_TRANSPORT!$AB:$AB,$B$7))</f>
        <v/>
      </c>
      <c r="J33">
        <f>IF(F33=0,0,SUMIFS(DATA_TRANSPORT!$P:$P,DATA_TRANSPORT!$A:$A,B33,DATA_TRANSPORT!$E:$E,$B$6,DATA_TRANSPORT!$AB:$AB,$B$7))</f>
        <v/>
      </c>
      <c r="K33">
        <f>IF(F33=0,0,SUMIFS(DATA_TRANSPORT!$I:$I,DATA_TRANSPORT!$A:$A,B33,DATA_TRANSPORT!$E:$E,$B$6,DATA_TRANSPORT!$AB:$AB,$B$7))</f>
        <v/>
      </c>
      <c r="L33">
        <f>IF(F33=0,0,SUMIFS(DATA_TRANSPORT!$I:$I,DATA_TRANSPORT!$A:$A,B33,DATA_TRANSPORT!$E:$E,$B$6,DATA_TRANSPORT!$AB:$AB,$B$7,DATA_TRANSPORT!$U:$U,"Ran"))</f>
        <v/>
      </c>
      <c r="M33">
        <f>IF(F33=0,0,SUMIFS(DATA_TRANSPORT!$L:$L,DATA_TRANSPORT!$A:$A,B33,DATA_TRANSPORT!$E:$E,$B$6,DATA_TRANSPORT!$AB:$AB,$B$7))</f>
        <v/>
      </c>
      <c r="N33">
        <f>IF(F33=0,0,SUMIFS(DATA_TRANSPORT!$R:$R,DATA_TRANSPORT!$A:$A,B33,DATA_TRANSPORT!$E:$E,$B$6,DATA_TRANSPORT!$AB:$AB,$B$7))</f>
        <v/>
      </c>
      <c r="O33">
        <f>IF(F33=0,0,SUMIFS(DATA_TRANSPORT!$S:$S,DATA_TRANSPORT!$A:$A,B33,DATA_TRANSPORT!$E:$E,$B$6,DATA_TRANSPORT!$AB:$AB,$B$7))</f>
        <v/>
      </c>
      <c r="P33">
        <f>IF(OR(B33="",$B$17),0,SUMIFS(DATA_TRANSPORT_COSTS!$M:$M,DATA_TRANSPORT_COSTS!$A:$A,B33,DATA_TRANSPORT_COSTS!$D:$D,$B$6))</f>
        <v/>
      </c>
      <c r="Q33">
        <f>O33+P33</f>
        <v/>
      </c>
      <c r="R33">
        <f>P33+IF(F33=0,0,SUMIFS(DATA_TRANSPORT!$S:$S,DATA_TRANSPORT!$A:$A,B33,DATA_TRANSPORT!$E:$E,$B$6,DATA_TRANSPORT!$AB:$AB,$B$7,DATA_TRANSPORT!$T:$T,"Central"))</f>
        <v/>
      </c>
      <c r="S33">
        <f>IF(F33=0,0,SUMIFS(DATA_TRANSPORT!$S:$S,DATA_TRANSPORT!$A:$A,B33,DATA_TRANSPORT!$E:$E,$B$6,DATA_TRANSPORT!$AB:$AB,$B$7,DATA_TRANSPORT!$T:$T,"Members"))</f>
        <v/>
      </c>
      <c r="T33">
        <f>IF(OR(B33="",$B$17),0,SUMIFS(DATA_TRANSPORT_BUDGET!$G:$G,DATA_TRANSPORT_BUDGET!$A:$A,B33,DATA_TRANSPORT_BUDGET!$D:$D,$B$6))</f>
        <v/>
      </c>
      <c r="U33">
        <f>IF(F33=0,0,SUMIFS(DATA_TRANSPORT!$S:$S,DATA_TRANSPORT!$A:$A,B33,DATA_TRANSPORT!$E:$E,$B$6,DATA_TRANSPORT!$AB:$AB,$B$7,DATA_TRANSPORT!$C:$C,"FT Procured"))</f>
        <v/>
      </c>
      <c r="V33">
        <f>IF(F33=0,0,COUNTIFS(DATA_TRANSPORT!$A:$A,B33,DATA_TRANSPORT!$E:$E,$B$6,DATA_TRANSPORT!$AB:$AB,$B$7,DATA_TRANSPORT!$U:$U,"Breakdown"))</f>
        <v/>
      </c>
      <c r="W33">
        <f>IF(M33=0,0,N33/M33)</f>
        <v/>
      </c>
      <c r="X33">
        <f>IF(F33&gt;0,1,0)</f>
        <v/>
      </c>
      <c r="Y33">
        <f>IF(AND(A33&gt;=1,A33&lt;=$B$11),X33,0)</f>
        <v/>
      </c>
      <c r="Z33">
        <f>IF(AND(C33=$B$12,E33=$B$14),X33,0)</f>
        <v/>
      </c>
      <c r="AA33">
        <f>IF(AND(D33=$B$13,E33=$B$14),X33,0)</f>
        <v/>
      </c>
      <c r="AB33">
        <f>IF(E33=$B$14,X33,0)</f>
        <v/>
      </c>
      <c r="AE33">
        <f>IFERROR(INDEX(MASTER_AREAS!$B:$B,32)&amp;"","")</f>
        <v/>
      </c>
      <c r="AF33">
        <f>IF(OR(AE33="",$B$10=0),0,SUMIFS(DATA_TRANSPORT!$Q:$Q,DATA_TRANSPORT!$A:$A,$B$10,DATA_TRANSPORT!$E:$E,AE33))</f>
        <v/>
      </c>
      <c r="AG33">
        <f>IF(OR(AE33="",$B$10=0),0,SUMIFS(DATA_TRANSPORT!$I:$I,DATA_TRANSPORT!$A:$A,$B$10,DATA_TRANSPORT!$E:$E,AE33,DATA_TRANSPORT!$U:$U,"Ran"))</f>
        <v/>
      </c>
      <c r="AH33">
        <f>IF(OR(AE33="",$B$10=0),0,SUMIFS(DATA_TRANSPORT!$L:$L,DATA_TRANSPORT!$A:$A,$B$10,DATA_TRANSPORT!$E:$E,AE33))</f>
        <v/>
      </c>
      <c r="AI33">
        <f>IF(OR(AE33="",$B$10=0),0,SUMIFS(DATA_TRANSPORT!$R:$R,DATA_TRANSPORT!$A:$A,$B$10,DATA_TRANSPORT!$E:$E,AE33))</f>
        <v/>
      </c>
      <c r="AJ33">
        <f>IF(AH33=0,"",AI33/AH33)</f>
        <v/>
      </c>
      <c r="AK33">
        <f>IF(OR(AE33="",$B$10=0),0,SUMIFS(DATA_TRANSPORT!$S:$S,DATA_TRANSPORT!$A:$A,$B$10,DATA_TRANSPORT!$E:$E,AE33))+IF(OR(AE33="",$B$10=0),0,SUMIFS(DATA_TRANSPORT_COSTS!$M:$M,DATA_TRANSPORT_COSTS!$A:$A,$B$10,DATA_TRANSPORT_COSTS!$D:$D,AE33))</f>
        <v/>
      </c>
      <c r="AL33">
        <f>IF(OR(AF33=0,AK33=0),"",AK33/AF33)</f>
        <v/>
      </c>
      <c r="AM33">
        <f>IF(OR(AE33="",$B$10=0),0,SUMIFS(DATA_TRANSPORT!$S:$S,DATA_TRANSPORT!$A:$A,$B$10,DATA_TRANSPORT!$E:$E,AE33,DATA_TRANSPORT!$C:$C,"FT Procured"))</f>
        <v/>
      </c>
      <c r="AN33">
        <f>IF(OR(AE33="",$B$10=0),0,SUMIFS(DATA_TRANSPORT_BUDGET!$G:$G,DATA_TRANSPORT_BUDGET!$A:$A,$B$10,DATA_TRANSPORT_BUDGET!$D:$D,AE33))</f>
        <v/>
      </c>
      <c r="AO33">
        <f>IF(AN33=0,"",AM33-AN33)</f>
        <v/>
      </c>
      <c r="AP33">
        <f>IF(OR(AE33="",$B$10=0),0,COUNTIFS(DATA_TRANSPORT!$A:$A,$B$10,DATA_TRANSPORT!$E:$E,AE33,DATA_TRANSPORT!$C:$C,"FT Procured",DATA_TRANSPORT!$Y:$Y,"Y"))</f>
        <v/>
      </c>
      <c r="AQ33">
        <f>IF(OR(AE33="",$B$10=0),0,SUMIFS(DATA_TRANSPORT_BUDGET!$E:$E,DATA_TRANSPORT_BUDGET!$A:$A,$B$10,DATA_TRANSPORT_BUDGET!$D:$D,AE33))</f>
        <v/>
      </c>
      <c r="AR33">
        <f>IF(OR(AE33="",$B$10=0),0,COUNTIFS(DATA_TRANSPORT!$A:$A,$B$10,DATA_TRANSPORT!$E:$E,AE33,DATA_TRANSPORT!$U:$U,"Breakdown"))</f>
        <v/>
      </c>
      <c r="AS33">
        <f>IF(IF(OR(AE33="",$B$10=0),0,SUMIFS(DATA_TRANSPORT!$L:$L,DATA_TRANSPORT!$A:$A,$B$10-7,DATA_TRANSPORT!$E:$E,AE33))=0,"",IF(OR(AE33="",$B$10=0),0,SUMIFS(DATA_TRANSPORT!$R:$R,DATA_TRANSPORT!$A:$A,$B$10-7,DATA_TRANSPORT!$E:$E,AE33))/IF(OR(AE33="",$B$10=0),0,SUMIFS(DATA_TRANSPORT!$L:$L,DATA_TRANSPORT!$A:$A,$B$10-7,DATA_TRANSPORT!$E:$E,AE33)))</f>
        <v/>
      </c>
      <c r="AT33">
        <f>IF(IF(OR(AE33="",$B$10=0),0,SUMIFS(DATA_TRANSPORT!$L:$L,DATA_TRANSPORT!$A:$A,$B$10-14,DATA_TRANSPORT!$E:$E,AE33))=0,"",IF(OR(AE33="",$B$10=0),0,SUMIFS(DATA_TRANSPORT!$R:$R,DATA_TRANSPORT!$A:$A,$B$10-14,DATA_TRANSPORT!$E:$E,AE33))/IF(OR(AE33="",$B$10=0),0,SUMIFS(DATA_TRANSPORT!$L:$L,DATA_TRANSPORT!$A:$A,$B$10-14,DATA_TRANSPORT!$E:$E,AE33)))</f>
        <v/>
      </c>
      <c r="AU33">
        <f>IF(IF(OR(AE33="",$B$10=0),0,SUMIFS(DATA_TRANSPORT!$L:$L,DATA_TRANSPORT!$A:$A,$B$10-21,DATA_TRANSPORT!$E:$E,AE33))=0,"",IF(OR(AE33="",$B$10=0),0,SUMIFS(DATA_TRANSPORT!$R:$R,DATA_TRANSPORT!$A:$A,$B$10-21,DATA_TRANSPORT!$E:$E,AE33))/IF(OR(AE33="",$B$10=0),0,SUMIFS(DATA_TRANSPORT!$L:$L,DATA_TRANSPORT!$A:$A,$B$10-21,DATA_TRANSPORT!$E:$E,AE33)))</f>
        <v/>
      </c>
      <c r="AV33">
        <f>IF(AND(ISNUMBER(AJ33),AJ33&lt;UtilLow),1,0)+IF(AND(ISNUMBER(AS33),AS33&lt;UtilLow),1,0)+IF(AND(ISNUMBER(AT33),AT33&lt;UtilLow),1,0)+IF(AND(ISNUMBER(AU33),AU33&lt;UtilLow),1,0)</f>
        <v/>
      </c>
      <c r="AW33">
        <f>IF(AV33&gt;=UtilLowWeeks,AE33&amp;": seats only "&amp;TEXT(AJ33,"0%")&amp;" full, under "&amp;TEXT(UtilLow,"0%")&amp;" for "&amp;AV33&amp;" weeks running",IF(AND(ISNUMBER(AJ33),AJ33&gt;UtilHigh),AE33&amp;": demand exceeds seats ("&amp;TEXT(AJ33,"0%")&amp;" full) — consider more buses",IF(AND(ISNUMBER(AO33),AO33&gt;0),AE33&amp;": FT spend ₦"&amp;TEXT(AO33,"#,##0")&amp;" over the weekly budget",IF(AR33&gt;0,AE33&amp;": "&amp;AR33&amp;" coaster breakdown(s) this week",""))))</f>
        <v/>
      </c>
      <c r="AX33">
        <f>IF(ISNUMBER(AJ33),AJ33+ROW()/1000000000,"")</f>
        <v/>
      </c>
      <c r="AY33">
        <f>IF(ISNUMBER(AL33),AL33+ROW()/1000000,"")</f>
        <v/>
      </c>
      <c r="AZ33">
        <f>IF(AND(ISNUMBER(AO33),AO33&gt;0),AO33+ROW()/1000000,"")</f>
        <v/>
      </c>
      <c r="BA33">
        <f>IF(AF33&gt;0,AF33+ROW()/1000000,"")</f>
        <v/>
      </c>
      <c r="BB33">
        <f>IF(AW33="","",ROW())</f>
        <v/>
      </c>
      <c r="BO33">
        <f>IFERROR(SMALL(DATA_TRANSPORT!$AC:$AC,31),"")</f>
        <v/>
      </c>
      <c r="BP33">
        <f>IF(BO33="","",INDEX(DATA_TRANSPORT!$E:$E,BO33))</f>
        <v/>
      </c>
      <c r="BQ33">
        <f>IF(BO33="","",INDEX(DATA_TRANSPORT!$C:$C,BO33))</f>
        <v/>
      </c>
      <c r="BR33">
        <f>IF(BO33="","",TRIM(INDEX(DATA_TRANSPORT!$G:$G,BO33)&amp;" "&amp;IF(INDEX(DATA_TRANSPORT!$H:$H,BO33)="","","(bus "&amp;INDEX(DATA_TRANSPORT!$H:$H,BO33)&amp;")")))</f>
        <v/>
      </c>
      <c r="BS33">
        <f>IF(BO33="","",IF(INDEX(DATA_TRANSPORT!$U:$U,BO33)="Breakdown","Breakdown",IF(INDEX(DATA_TRANSPORT!$W:$W,BO33)="","Needs more buses",INDEX(DATA_TRANSPORT!$W:$W,BO33))))</f>
        <v/>
      </c>
      <c r="BT33">
        <f>IF(BO33="","",INDEX(DATA_TRANSPORT!$X:$X,BO33)&amp;"")</f>
        <v/>
      </c>
    </row>
    <row r="34">
      <c r="A34" t="n">
        <v>13</v>
      </c>
      <c r="B34" s="170">
        <f>IF($B$10=0,"",$B$10-7*A34)</f>
        <v/>
      </c>
      <c r="C34">
        <f>IF(B34="","",MONTH(B34))</f>
        <v/>
      </c>
      <c r="D34">
        <f>IF(B34="","",ROUNDUP(MONTH(B34)/3,0))</f>
        <v/>
      </c>
      <c r="E34">
        <f>IF(B34="","",YEAR(B34))</f>
        <v/>
      </c>
      <c r="F34">
        <f>IF(B34="",0,COUNTIFS(DATA_TRANSPORT!$A:$A,B34,DATA_TRANSPORT!$E:$E,$B$6,DATA_TRANSPORT!$AB:$AB,$B$7))</f>
        <v/>
      </c>
      <c r="G34">
        <f>IF(F34=0,0,SUMIFS(DATA_TRANSPORT!$Q:$Q,DATA_TRANSPORT!$A:$A,B34,DATA_TRANSPORT!$E:$E,$B$6,DATA_TRANSPORT!$AB:$AB,$B$7))</f>
        <v/>
      </c>
      <c r="H34">
        <f>IF(F34=0,0,SUMIFS(DATA_TRANSPORT!$M:$M,DATA_TRANSPORT!$A:$A,B34,DATA_TRANSPORT!$E:$E,$B$6,DATA_TRANSPORT!$AB:$AB,$B$7))</f>
        <v/>
      </c>
      <c r="I34">
        <f>IF(F34=0,0,SUMIFS(DATA_TRANSPORT!$N:$N,DATA_TRANSPORT!$A:$A,B34,DATA_TRANSPORT!$E:$E,$B$6,DATA_TRANSPORT!$AB:$AB,$B$7))</f>
        <v/>
      </c>
      <c r="J34">
        <f>IF(F34=0,0,SUMIFS(DATA_TRANSPORT!$P:$P,DATA_TRANSPORT!$A:$A,B34,DATA_TRANSPORT!$E:$E,$B$6,DATA_TRANSPORT!$AB:$AB,$B$7))</f>
        <v/>
      </c>
      <c r="K34">
        <f>IF(F34=0,0,SUMIFS(DATA_TRANSPORT!$I:$I,DATA_TRANSPORT!$A:$A,B34,DATA_TRANSPORT!$E:$E,$B$6,DATA_TRANSPORT!$AB:$AB,$B$7))</f>
        <v/>
      </c>
      <c r="L34">
        <f>IF(F34=0,0,SUMIFS(DATA_TRANSPORT!$I:$I,DATA_TRANSPORT!$A:$A,B34,DATA_TRANSPORT!$E:$E,$B$6,DATA_TRANSPORT!$AB:$AB,$B$7,DATA_TRANSPORT!$U:$U,"Ran"))</f>
        <v/>
      </c>
      <c r="M34">
        <f>IF(F34=0,0,SUMIFS(DATA_TRANSPORT!$L:$L,DATA_TRANSPORT!$A:$A,B34,DATA_TRANSPORT!$E:$E,$B$6,DATA_TRANSPORT!$AB:$AB,$B$7))</f>
        <v/>
      </c>
      <c r="N34">
        <f>IF(F34=0,0,SUMIFS(DATA_TRANSPORT!$R:$R,DATA_TRANSPORT!$A:$A,B34,DATA_TRANSPORT!$E:$E,$B$6,DATA_TRANSPORT!$AB:$AB,$B$7))</f>
        <v/>
      </c>
      <c r="O34">
        <f>IF(F34=0,0,SUMIFS(DATA_TRANSPORT!$S:$S,DATA_TRANSPORT!$A:$A,B34,DATA_TRANSPORT!$E:$E,$B$6,DATA_TRANSPORT!$AB:$AB,$B$7))</f>
        <v/>
      </c>
      <c r="P34">
        <f>IF(OR(B34="",$B$17),0,SUMIFS(DATA_TRANSPORT_COSTS!$M:$M,DATA_TRANSPORT_COSTS!$A:$A,B34,DATA_TRANSPORT_COSTS!$D:$D,$B$6))</f>
        <v/>
      </c>
      <c r="Q34">
        <f>O34+P34</f>
        <v/>
      </c>
      <c r="R34">
        <f>P34+IF(F34=0,0,SUMIFS(DATA_TRANSPORT!$S:$S,DATA_TRANSPORT!$A:$A,B34,DATA_TRANSPORT!$E:$E,$B$6,DATA_TRANSPORT!$AB:$AB,$B$7,DATA_TRANSPORT!$T:$T,"Central"))</f>
        <v/>
      </c>
      <c r="S34">
        <f>IF(F34=0,0,SUMIFS(DATA_TRANSPORT!$S:$S,DATA_TRANSPORT!$A:$A,B34,DATA_TRANSPORT!$E:$E,$B$6,DATA_TRANSPORT!$AB:$AB,$B$7,DATA_TRANSPORT!$T:$T,"Members"))</f>
        <v/>
      </c>
      <c r="T34">
        <f>IF(OR(B34="",$B$17),0,SUMIFS(DATA_TRANSPORT_BUDGET!$G:$G,DATA_TRANSPORT_BUDGET!$A:$A,B34,DATA_TRANSPORT_BUDGET!$D:$D,$B$6))</f>
        <v/>
      </c>
      <c r="U34">
        <f>IF(F34=0,0,SUMIFS(DATA_TRANSPORT!$S:$S,DATA_TRANSPORT!$A:$A,B34,DATA_TRANSPORT!$E:$E,$B$6,DATA_TRANSPORT!$AB:$AB,$B$7,DATA_TRANSPORT!$C:$C,"FT Procured"))</f>
        <v/>
      </c>
      <c r="V34">
        <f>IF(F34=0,0,COUNTIFS(DATA_TRANSPORT!$A:$A,B34,DATA_TRANSPORT!$E:$E,$B$6,DATA_TRANSPORT!$AB:$AB,$B$7,DATA_TRANSPORT!$U:$U,"Breakdown"))</f>
        <v/>
      </c>
      <c r="W34">
        <f>IF(M34=0,0,N34/M34)</f>
        <v/>
      </c>
      <c r="X34">
        <f>IF(F34&gt;0,1,0)</f>
        <v/>
      </c>
      <c r="Y34">
        <f>IF(AND(A34&gt;=1,A34&lt;=$B$11),X34,0)</f>
        <v/>
      </c>
      <c r="Z34">
        <f>IF(AND(C34=$B$12,E34=$B$14),X34,0)</f>
        <v/>
      </c>
      <c r="AA34">
        <f>IF(AND(D34=$B$13,E34=$B$14),X34,0)</f>
        <v/>
      </c>
      <c r="AB34">
        <f>IF(E34=$B$14,X34,0)</f>
        <v/>
      </c>
      <c r="AE34">
        <f>IFERROR(INDEX(MASTER_AREAS!$B:$B,33)&amp;"","")</f>
        <v/>
      </c>
      <c r="AF34">
        <f>IF(OR(AE34="",$B$10=0),0,SUMIFS(DATA_TRANSPORT!$Q:$Q,DATA_TRANSPORT!$A:$A,$B$10,DATA_TRANSPORT!$E:$E,AE34))</f>
        <v/>
      </c>
      <c r="AG34">
        <f>IF(OR(AE34="",$B$10=0),0,SUMIFS(DATA_TRANSPORT!$I:$I,DATA_TRANSPORT!$A:$A,$B$10,DATA_TRANSPORT!$E:$E,AE34,DATA_TRANSPORT!$U:$U,"Ran"))</f>
        <v/>
      </c>
      <c r="AH34">
        <f>IF(OR(AE34="",$B$10=0),0,SUMIFS(DATA_TRANSPORT!$L:$L,DATA_TRANSPORT!$A:$A,$B$10,DATA_TRANSPORT!$E:$E,AE34))</f>
        <v/>
      </c>
      <c r="AI34">
        <f>IF(OR(AE34="",$B$10=0),0,SUMIFS(DATA_TRANSPORT!$R:$R,DATA_TRANSPORT!$A:$A,$B$10,DATA_TRANSPORT!$E:$E,AE34))</f>
        <v/>
      </c>
      <c r="AJ34">
        <f>IF(AH34=0,"",AI34/AH34)</f>
        <v/>
      </c>
      <c r="AK34">
        <f>IF(OR(AE34="",$B$10=0),0,SUMIFS(DATA_TRANSPORT!$S:$S,DATA_TRANSPORT!$A:$A,$B$10,DATA_TRANSPORT!$E:$E,AE34))+IF(OR(AE34="",$B$10=0),0,SUMIFS(DATA_TRANSPORT_COSTS!$M:$M,DATA_TRANSPORT_COSTS!$A:$A,$B$10,DATA_TRANSPORT_COSTS!$D:$D,AE34))</f>
        <v/>
      </c>
      <c r="AL34">
        <f>IF(OR(AF34=0,AK34=0),"",AK34/AF34)</f>
        <v/>
      </c>
      <c r="AM34">
        <f>IF(OR(AE34="",$B$10=0),0,SUMIFS(DATA_TRANSPORT!$S:$S,DATA_TRANSPORT!$A:$A,$B$10,DATA_TRANSPORT!$E:$E,AE34,DATA_TRANSPORT!$C:$C,"FT Procured"))</f>
        <v/>
      </c>
      <c r="AN34">
        <f>IF(OR(AE34="",$B$10=0),0,SUMIFS(DATA_TRANSPORT_BUDGET!$G:$G,DATA_TRANSPORT_BUDGET!$A:$A,$B$10,DATA_TRANSPORT_BUDGET!$D:$D,AE34))</f>
        <v/>
      </c>
      <c r="AO34">
        <f>IF(AN34=0,"",AM34-AN34)</f>
        <v/>
      </c>
      <c r="AP34">
        <f>IF(OR(AE34="",$B$10=0),0,COUNTIFS(DATA_TRANSPORT!$A:$A,$B$10,DATA_TRANSPORT!$E:$E,AE34,DATA_TRANSPORT!$C:$C,"FT Procured",DATA_TRANSPORT!$Y:$Y,"Y"))</f>
        <v/>
      </c>
      <c r="AQ34">
        <f>IF(OR(AE34="",$B$10=0),0,SUMIFS(DATA_TRANSPORT_BUDGET!$E:$E,DATA_TRANSPORT_BUDGET!$A:$A,$B$10,DATA_TRANSPORT_BUDGET!$D:$D,AE34))</f>
        <v/>
      </c>
      <c r="AR34">
        <f>IF(OR(AE34="",$B$10=0),0,COUNTIFS(DATA_TRANSPORT!$A:$A,$B$10,DATA_TRANSPORT!$E:$E,AE34,DATA_TRANSPORT!$U:$U,"Breakdown"))</f>
        <v/>
      </c>
      <c r="AS34">
        <f>IF(IF(OR(AE34="",$B$10=0),0,SUMIFS(DATA_TRANSPORT!$L:$L,DATA_TRANSPORT!$A:$A,$B$10-7,DATA_TRANSPORT!$E:$E,AE34))=0,"",IF(OR(AE34="",$B$10=0),0,SUMIFS(DATA_TRANSPORT!$R:$R,DATA_TRANSPORT!$A:$A,$B$10-7,DATA_TRANSPORT!$E:$E,AE34))/IF(OR(AE34="",$B$10=0),0,SUMIFS(DATA_TRANSPORT!$L:$L,DATA_TRANSPORT!$A:$A,$B$10-7,DATA_TRANSPORT!$E:$E,AE34)))</f>
        <v/>
      </c>
      <c r="AT34">
        <f>IF(IF(OR(AE34="",$B$10=0),0,SUMIFS(DATA_TRANSPORT!$L:$L,DATA_TRANSPORT!$A:$A,$B$10-14,DATA_TRANSPORT!$E:$E,AE34))=0,"",IF(OR(AE34="",$B$10=0),0,SUMIFS(DATA_TRANSPORT!$R:$R,DATA_TRANSPORT!$A:$A,$B$10-14,DATA_TRANSPORT!$E:$E,AE34))/IF(OR(AE34="",$B$10=0),0,SUMIFS(DATA_TRANSPORT!$L:$L,DATA_TRANSPORT!$A:$A,$B$10-14,DATA_TRANSPORT!$E:$E,AE34)))</f>
        <v/>
      </c>
      <c r="AU34">
        <f>IF(IF(OR(AE34="",$B$10=0),0,SUMIFS(DATA_TRANSPORT!$L:$L,DATA_TRANSPORT!$A:$A,$B$10-21,DATA_TRANSPORT!$E:$E,AE34))=0,"",IF(OR(AE34="",$B$10=0),0,SUMIFS(DATA_TRANSPORT!$R:$R,DATA_TRANSPORT!$A:$A,$B$10-21,DATA_TRANSPORT!$E:$E,AE34))/IF(OR(AE34="",$B$10=0),0,SUMIFS(DATA_TRANSPORT!$L:$L,DATA_TRANSPORT!$A:$A,$B$10-21,DATA_TRANSPORT!$E:$E,AE34)))</f>
        <v/>
      </c>
      <c r="AV34">
        <f>IF(AND(ISNUMBER(AJ34),AJ34&lt;UtilLow),1,0)+IF(AND(ISNUMBER(AS34),AS34&lt;UtilLow),1,0)+IF(AND(ISNUMBER(AT34),AT34&lt;UtilLow),1,0)+IF(AND(ISNUMBER(AU34),AU34&lt;UtilLow),1,0)</f>
        <v/>
      </c>
      <c r="AW34">
        <f>IF(AV34&gt;=UtilLowWeeks,AE34&amp;": seats only "&amp;TEXT(AJ34,"0%")&amp;" full, under "&amp;TEXT(UtilLow,"0%")&amp;" for "&amp;AV34&amp;" weeks running",IF(AND(ISNUMBER(AJ34),AJ34&gt;UtilHigh),AE34&amp;": demand exceeds seats ("&amp;TEXT(AJ34,"0%")&amp;" full) — consider more buses",IF(AND(ISNUMBER(AO34),AO34&gt;0),AE34&amp;": FT spend ₦"&amp;TEXT(AO34,"#,##0")&amp;" over the weekly budget",IF(AR34&gt;0,AE34&amp;": "&amp;AR34&amp;" coaster breakdown(s) this week",""))))</f>
        <v/>
      </c>
      <c r="AX34">
        <f>IF(ISNUMBER(AJ34),AJ34+ROW()/1000000000,"")</f>
        <v/>
      </c>
      <c r="AY34">
        <f>IF(ISNUMBER(AL34),AL34+ROW()/1000000,"")</f>
        <v/>
      </c>
      <c r="AZ34">
        <f>IF(AND(ISNUMBER(AO34),AO34&gt;0),AO34+ROW()/1000000,"")</f>
        <v/>
      </c>
      <c r="BA34">
        <f>IF(AF34&gt;0,AF34+ROW()/1000000,"")</f>
        <v/>
      </c>
      <c r="BB34">
        <f>IF(AW34="","",ROW())</f>
        <v/>
      </c>
      <c r="BO34">
        <f>IFERROR(SMALL(DATA_TRANSPORT!$AC:$AC,32),"")</f>
        <v/>
      </c>
      <c r="BP34">
        <f>IF(BO34="","",INDEX(DATA_TRANSPORT!$E:$E,BO34))</f>
        <v/>
      </c>
      <c r="BQ34">
        <f>IF(BO34="","",INDEX(DATA_TRANSPORT!$C:$C,BO34))</f>
        <v/>
      </c>
      <c r="BR34">
        <f>IF(BO34="","",TRIM(INDEX(DATA_TRANSPORT!$G:$G,BO34)&amp;" "&amp;IF(INDEX(DATA_TRANSPORT!$H:$H,BO34)="","","(bus "&amp;INDEX(DATA_TRANSPORT!$H:$H,BO34)&amp;")")))</f>
        <v/>
      </c>
      <c r="BS34">
        <f>IF(BO34="","",IF(INDEX(DATA_TRANSPORT!$U:$U,BO34)="Breakdown","Breakdown",IF(INDEX(DATA_TRANSPORT!$W:$W,BO34)="","Needs more buses",INDEX(DATA_TRANSPORT!$W:$W,BO34))))</f>
        <v/>
      </c>
      <c r="BT34">
        <f>IF(BO34="","",INDEX(DATA_TRANSPORT!$X:$X,BO34)&amp;"")</f>
        <v/>
      </c>
    </row>
    <row r="35">
      <c r="A35" t="n">
        <v>14</v>
      </c>
      <c r="B35" s="170">
        <f>IF($B$10=0,"",$B$10-7*A35)</f>
        <v/>
      </c>
      <c r="C35">
        <f>IF(B35="","",MONTH(B35))</f>
        <v/>
      </c>
      <c r="D35">
        <f>IF(B35="","",ROUNDUP(MONTH(B35)/3,0))</f>
        <v/>
      </c>
      <c r="E35">
        <f>IF(B35="","",YEAR(B35))</f>
        <v/>
      </c>
      <c r="F35">
        <f>IF(B35="",0,COUNTIFS(DATA_TRANSPORT!$A:$A,B35,DATA_TRANSPORT!$E:$E,$B$6,DATA_TRANSPORT!$AB:$AB,$B$7))</f>
        <v/>
      </c>
      <c r="G35">
        <f>IF(F35=0,0,SUMIFS(DATA_TRANSPORT!$Q:$Q,DATA_TRANSPORT!$A:$A,B35,DATA_TRANSPORT!$E:$E,$B$6,DATA_TRANSPORT!$AB:$AB,$B$7))</f>
        <v/>
      </c>
      <c r="H35">
        <f>IF(F35=0,0,SUMIFS(DATA_TRANSPORT!$M:$M,DATA_TRANSPORT!$A:$A,B35,DATA_TRANSPORT!$E:$E,$B$6,DATA_TRANSPORT!$AB:$AB,$B$7))</f>
        <v/>
      </c>
      <c r="I35">
        <f>IF(F35=0,0,SUMIFS(DATA_TRANSPORT!$N:$N,DATA_TRANSPORT!$A:$A,B35,DATA_TRANSPORT!$E:$E,$B$6,DATA_TRANSPORT!$AB:$AB,$B$7))</f>
        <v/>
      </c>
      <c r="J35">
        <f>IF(F35=0,0,SUMIFS(DATA_TRANSPORT!$P:$P,DATA_TRANSPORT!$A:$A,B35,DATA_TRANSPORT!$E:$E,$B$6,DATA_TRANSPORT!$AB:$AB,$B$7))</f>
        <v/>
      </c>
      <c r="K35">
        <f>IF(F35=0,0,SUMIFS(DATA_TRANSPORT!$I:$I,DATA_TRANSPORT!$A:$A,B35,DATA_TRANSPORT!$E:$E,$B$6,DATA_TRANSPORT!$AB:$AB,$B$7))</f>
        <v/>
      </c>
      <c r="L35">
        <f>IF(F35=0,0,SUMIFS(DATA_TRANSPORT!$I:$I,DATA_TRANSPORT!$A:$A,B35,DATA_TRANSPORT!$E:$E,$B$6,DATA_TRANSPORT!$AB:$AB,$B$7,DATA_TRANSPORT!$U:$U,"Ran"))</f>
        <v/>
      </c>
      <c r="M35">
        <f>IF(F35=0,0,SUMIFS(DATA_TRANSPORT!$L:$L,DATA_TRANSPORT!$A:$A,B35,DATA_TRANSPORT!$E:$E,$B$6,DATA_TRANSPORT!$AB:$AB,$B$7))</f>
        <v/>
      </c>
      <c r="N35">
        <f>IF(F35=0,0,SUMIFS(DATA_TRANSPORT!$R:$R,DATA_TRANSPORT!$A:$A,B35,DATA_TRANSPORT!$E:$E,$B$6,DATA_TRANSPORT!$AB:$AB,$B$7))</f>
        <v/>
      </c>
      <c r="O35">
        <f>IF(F35=0,0,SUMIFS(DATA_TRANSPORT!$S:$S,DATA_TRANSPORT!$A:$A,B35,DATA_TRANSPORT!$E:$E,$B$6,DATA_TRANSPORT!$AB:$AB,$B$7))</f>
        <v/>
      </c>
      <c r="P35">
        <f>IF(OR(B35="",$B$17),0,SUMIFS(DATA_TRANSPORT_COSTS!$M:$M,DATA_TRANSPORT_COSTS!$A:$A,B35,DATA_TRANSPORT_COSTS!$D:$D,$B$6))</f>
        <v/>
      </c>
      <c r="Q35">
        <f>O35+P35</f>
        <v/>
      </c>
      <c r="R35">
        <f>P35+IF(F35=0,0,SUMIFS(DATA_TRANSPORT!$S:$S,DATA_TRANSPORT!$A:$A,B35,DATA_TRANSPORT!$E:$E,$B$6,DATA_TRANSPORT!$AB:$AB,$B$7,DATA_TRANSPORT!$T:$T,"Central"))</f>
        <v/>
      </c>
      <c r="S35">
        <f>IF(F35=0,0,SUMIFS(DATA_TRANSPORT!$S:$S,DATA_TRANSPORT!$A:$A,B35,DATA_TRANSPORT!$E:$E,$B$6,DATA_TRANSPORT!$AB:$AB,$B$7,DATA_TRANSPORT!$T:$T,"Members"))</f>
        <v/>
      </c>
      <c r="T35">
        <f>IF(OR(B35="",$B$17),0,SUMIFS(DATA_TRANSPORT_BUDGET!$G:$G,DATA_TRANSPORT_BUDGET!$A:$A,B35,DATA_TRANSPORT_BUDGET!$D:$D,$B$6))</f>
        <v/>
      </c>
      <c r="U35">
        <f>IF(F35=0,0,SUMIFS(DATA_TRANSPORT!$S:$S,DATA_TRANSPORT!$A:$A,B35,DATA_TRANSPORT!$E:$E,$B$6,DATA_TRANSPORT!$AB:$AB,$B$7,DATA_TRANSPORT!$C:$C,"FT Procured"))</f>
        <v/>
      </c>
      <c r="V35">
        <f>IF(F35=0,0,COUNTIFS(DATA_TRANSPORT!$A:$A,B35,DATA_TRANSPORT!$E:$E,$B$6,DATA_TRANSPORT!$AB:$AB,$B$7,DATA_TRANSPORT!$U:$U,"Breakdown"))</f>
        <v/>
      </c>
      <c r="W35">
        <f>IF(M35=0,0,N35/M35)</f>
        <v/>
      </c>
      <c r="X35">
        <f>IF(F35&gt;0,1,0)</f>
        <v/>
      </c>
      <c r="Y35">
        <f>IF(AND(A35&gt;=1,A35&lt;=$B$11),X35,0)</f>
        <v/>
      </c>
      <c r="Z35">
        <f>IF(AND(C35=$B$12,E35=$B$14),X35,0)</f>
        <v/>
      </c>
      <c r="AA35">
        <f>IF(AND(D35=$B$13,E35=$B$14),X35,0)</f>
        <v/>
      </c>
      <c r="AB35">
        <f>IF(E35=$B$14,X35,0)</f>
        <v/>
      </c>
      <c r="AE35">
        <f>IFERROR(INDEX(MASTER_AREAS!$B:$B,34)&amp;"","")</f>
        <v/>
      </c>
      <c r="AF35">
        <f>IF(OR(AE35="",$B$10=0),0,SUMIFS(DATA_TRANSPORT!$Q:$Q,DATA_TRANSPORT!$A:$A,$B$10,DATA_TRANSPORT!$E:$E,AE35))</f>
        <v/>
      </c>
      <c r="AG35">
        <f>IF(OR(AE35="",$B$10=0),0,SUMIFS(DATA_TRANSPORT!$I:$I,DATA_TRANSPORT!$A:$A,$B$10,DATA_TRANSPORT!$E:$E,AE35,DATA_TRANSPORT!$U:$U,"Ran"))</f>
        <v/>
      </c>
      <c r="AH35">
        <f>IF(OR(AE35="",$B$10=0),0,SUMIFS(DATA_TRANSPORT!$L:$L,DATA_TRANSPORT!$A:$A,$B$10,DATA_TRANSPORT!$E:$E,AE35))</f>
        <v/>
      </c>
      <c r="AI35">
        <f>IF(OR(AE35="",$B$10=0),0,SUMIFS(DATA_TRANSPORT!$R:$R,DATA_TRANSPORT!$A:$A,$B$10,DATA_TRANSPORT!$E:$E,AE35))</f>
        <v/>
      </c>
      <c r="AJ35">
        <f>IF(AH35=0,"",AI35/AH35)</f>
        <v/>
      </c>
      <c r="AK35">
        <f>IF(OR(AE35="",$B$10=0),0,SUMIFS(DATA_TRANSPORT!$S:$S,DATA_TRANSPORT!$A:$A,$B$10,DATA_TRANSPORT!$E:$E,AE35))+IF(OR(AE35="",$B$10=0),0,SUMIFS(DATA_TRANSPORT_COSTS!$M:$M,DATA_TRANSPORT_COSTS!$A:$A,$B$10,DATA_TRANSPORT_COSTS!$D:$D,AE35))</f>
        <v/>
      </c>
      <c r="AL35">
        <f>IF(OR(AF35=0,AK35=0),"",AK35/AF35)</f>
        <v/>
      </c>
      <c r="AM35">
        <f>IF(OR(AE35="",$B$10=0),0,SUMIFS(DATA_TRANSPORT!$S:$S,DATA_TRANSPORT!$A:$A,$B$10,DATA_TRANSPORT!$E:$E,AE35,DATA_TRANSPORT!$C:$C,"FT Procured"))</f>
        <v/>
      </c>
      <c r="AN35">
        <f>IF(OR(AE35="",$B$10=0),0,SUMIFS(DATA_TRANSPORT_BUDGET!$G:$G,DATA_TRANSPORT_BUDGET!$A:$A,$B$10,DATA_TRANSPORT_BUDGET!$D:$D,AE35))</f>
        <v/>
      </c>
      <c r="AO35">
        <f>IF(AN35=0,"",AM35-AN35)</f>
        <v/>
      </c>
      <c r="AP35">
        <f>IF(OR(AE35="",$B$10=0),0,COUNTIFS(DATA_TRANSPORT!$A:$A,$B$10,DATA_TRANSPORT!$E:$E,AE35,DATA_TRANSPORT!$C:$C,"FT Procured",DATA_TRANSPORT!$Y:$Y,"Y"))</f>
        <v/>
      </c>
      <c r="AQ35">
        <f>IF(OR(AE35="",$B$10=0),0,SUMIFS(DATA_TRANSPORT_BUDGET!$E:$E,DATA_TRANSPORT_BUDGET!$A:$A,$B$10,DATA_TRANSPORT_BUDGET!$D:$D,AE35))</f>
        <v/>
      </c>
      <c r="AR35">
        <f>IF(OR(AE35="",$B$10=0),0,COUNTIFS(DATA_TRANSPORT!$A:$A,$B$10,DATA_TRANSPORT!$E:$E,AE35,DATA_TRANSPORT!$U:$U,"Breakdown"))</f>
        <v/>
      </c>
      <c r="AS35">
        <f>IF(IF(OR(AE35="",$B$10=0),0,SUMIFS(DATA_TRANSPORT!$L:$L,DATA_TRANSPORT!$A:$A,$B$10-7,DATA_TRANSPORT!$E:$E,AE35))=0,"",IF(OR(AE35="",$B$10=0),0,SUMIFS(DATA_TRANSPORT!$R:$R,DATA_TRANSPORT!$A:$A,$B$10-7,DATA_TRANSPORT!$E:$E,AE35))/IF(OR(AE35="",$B$10=0),0,SUMIFS(DATA_TRANSPORT!$L:$L,DATA_TRANSPORT!$A:$A,$B$10-7,DATA_TRANSPORT!$E:$E,AE35)))</f>
        <v/>
      </c>
      <c r="AT35">
        <f>IF(IF(OR(AE35="",$B$10=0),0,SUMIFS(DATA_TRANSPORT!$L:$L,DATA_TRANSPORT!$A:$A,$B$10-14,DATA_TRANSPORT!$E:$E,AE35))=0,"",IF(OR(AE35="",$B$10=0),0,SUMIFS(DATA_TRANSPORT!$R:$R,DATA_TRANSPORT!$A:$A,$B$10-14,DATA_TRANSPORT!$E:$E,AE35))/IF(OR(AE35="",$B$10=0),0,SUMIFS(DATA_TRANSPORT!$L:$L,DATA_TRANSPORT!$A:$A,$B$10-14,DATA_TRANSPORT!$E:$E,AE35)))</f>
        <v/>
      </c>
      <c r="AU35">
        <f>IF(IF(OR(AE35="",$B$10=0),0,SUMIFS(DATA_TRANSPORT!$L:$L,DATA_TRANSPORT!$A:$A,$B$10-21,DATA_TRANSPORT!$E:$E,AE35))=0,"",IF(OR(AE35="",$B$10=0),0,SUMIFS(DATA_TRANSPORT!$R:$R,DATA_TRANSPORT!$A:$A,$B$10-21,DATA_TRANSPORT!$E:$E,AE35))/IF(OR(AE35="",$B$10=0),0,SUMIFS(DATA_TRANSPORT!$L:$L,DATA_TRANSPORT!$A:$A,$B$10-21,DATA_TRANSPORT!$E:$E,AE35)))</f>
        <v/>
      </c>
      <c r="AV35">
        <f>IF(AND(ISNUMBER(AJ35),AJ35&lt;UtilLow),1,0)+IF(AND(ISNUMBER(AS35),AS35&lt;UtilLow),1,0)+IF(AND(ISNUMBER(AT35),AT35&lt;UtilLow),1,0)+IF(AND(ISNUMBER(AU35),AU35&lt;UtilLow),1,0)</f>
        <v/>
      </c>
      <c r="AW35">
        <f>IF(AV35&gt;=UtilLowWeeks,AE35&amp;": seats only "&amp;TEXT(AJ35,"0%")&amp;" full, under "&amp;TEXT(UtilLow,"0%")&amp;" for "&amp;AV35&amp;" weeks running",IF(AND(ISNUMBER(AJ35),AJ35&gt;UtilHigh),AE35&amp;": demand exceeds seats ("&amp;TEXT(AJ35,"0%")&amp;" full) — consider more buses",IF(AND(ISNUMBER(AO35),AO35&gt;0),AE35&amp;": FT spend ₦"&amp;TEXT(AO35,"#,##0")&amp;" over the weekly budget",IF(AR35&gt;0,AE35&amp;": "&amp;AR35&amp;" coaster breakdown(s) this week",""))))</f>
        <v/>
      </c>
      <c r="AX35">
        <f>IF(ISNUMBER(AJ35),AJ35+ROW()/1000000000,"")</f>
        <v/>
      </c>
      <c r="AY35">
        <f>IF(ISNUMBER(AL35),AL35+ROW()/1000000,"")</f>
        <v/>
      </c>
      <c r="AZ35">
        <f>IF(AND(ISNUMBER(AO35),AO35&gt;0),AO35+ROW()/1000000,"")</f>
        <v/>
      </c>
      <c r="BA35">
        <f>IF(AF35&gt;0,AF35+ROW()/1000000,"")</f>
        <v/>
      </c>
      <c r="BB35">
        <f>IF(AW35="","",ROW())</f>
        <v/>
      </c>
      <c r="BO35">
        <f>IFERROR(SMALL(DATA_TRANSPORT!$AC:$AC,33),"")</f>
        <v/>
      </c>
      <c r="BP35">
        <f>IF(BO35="","",INDEX(DATA_TRANSPORT!$E:$E,BO35))</f>
        <v/>
      </c>
      <c r="BQ35">
        <f>IF(BO35="","",INDEX(DATA_TRANSPORT!$C:$C,BO35))</f>
        <v/>
      </c>
      <c r="BR35">
        <f>IF(BO35="","",TRIM(INDEX(DATA_TRANSPORT!$G:$G,BO35)&amp;" "&amp;IF(INDEX(DATA_TRANSPORT!$H:$H,BO35)="","","(bus "&amp;INDEX(DATA_TRANSPORT!$H:$H,BO35)&amp;")")))</f>
        <v/>
      </c>
      <c r="BS35">
        <f>IF(BO35="","",IF(INDEX(DATA_TRANSPORT!$U:$U,BO35)="Breakdown","Breakdown",IF(INDEX(DATA_TRANSPORT!$W:$W,BO35)="","Needs more buses",INDEX(DATA_TRANSPORT!$W:$W,BO35))))</f>
        <v/>
      </c>
      <c r="BT35">
        <f>IF(BO35="","",INDEX(DATA_TRANSPORT!$X:$X,BO35)&amp;"")</f>
        <v/>
      </c>
    </row>
    <row r="36">
      <c r="A36" t="n">
        <v>15</v>
      </c>
      <c r="B36" s="170">
        <f>IF($B$10=0,"",$B$10-7*A36)</f>
        <v/>
      </c>
      <c r="C36">
        <f>IF(B36="","",MONTH(B36))</f>
        <v/>
      </c>
      <c r="D36">
        <f>IF(B36="","",ROUNDUP(MONTH(B36)/3,0))</f>
        <v/>
      </c>
      <c r="E36">
        <f>IF(B36="","",YEAR(B36))</f>
        <v/>
      </c>
      <c r="F36">
        <f>IF(B36="",0,COUNTIFS(DATA_TRANSPORT!$A:$A,B36,DATA_TRANSPORT!$E:$E,$B$6,DATA_TRANSPORT!$AB:$AB,$B$7))</f>
        <v/>
      </c>
      <c r="G36">
        <f>IF(F36=0,0,SUMIFS(DATA_TRANSPORT!$Q:$Q,DATA_TRANSPORT!$A:$A,B36,DATA_TRANSPORT!$E:$E,$B$6,DATA_TRANSPORT!$AB:$AB,$B$7))</f>
        <v/>
      </c>
      <c r="H36">
        <f>IF(F36=0,0,SUMIFS(DATA_TRANSPORT!$M:$M,DATA_TRANSPORT!$A:$A,B36,DATA_TRANSPORT!$E:$E,$B$6,DATA_TRANSPORT!$AB:$AB,$B$7))</f>
        <v/>
      </c>
      <c r="I36">
        <f>IF(F36=0,0,SUMIFS(DATA_TRANSPORT!$N:$N,DATA_TRANSPORT!$A:$A,B36,DATA_TRANSPORT!$E:$E,$B$6,DATA_TRANSPORT!$AB:$AB,$B$7))</f>
        <v/>
      </c>
      <c r="J36">
        <f>IF(F36=0,0,SUMIFS(DATA_TRANSPORT!$P:$P,DATA_TRANSPORT!$A:$A,B36,DATA_TRANSPORT!$E:$E,$B$6,DATA_TRANSPORT!$AB:$AB,$B$7))</f>
        <v/>
      </c>
      <c r="K36">
        <f>IF(F36=0,0,SUMIFS(DATA_TRANSPORT!$I:$I,DATA_TRANSPORT!$A:$A,B36,DATA_TRANSPORT!$E:$E,$B$6,DATA_TRANSPORT!$AB:$AB,$B$7))</f>
        <v/>
      </c>
      <c r="L36">
        <f>IF(F36=0,0,SUMIFS(DATA_TRANSPORT!$I:$I,DATA_TRANSPORT!$A:$A,B36,DATA_TRANSPORT!$E:$E,$B$6,DATA_TRANSPORT!$AB:$AB,$B$7,DATA_TRANSPORT!$U:$U,"Ran"))</f>
        <v/>
      </c>
      <c r="M36">
        <f>IF(F36=0,0,SUMIFS(DATA_TRANSPORT!$L:$L,DATA_TRANSPORT!$A:$A,B36,DATA_TRANSPORT!$E:$E,$B$6,DATA_TRANSPORT!$AB:$AB,$B$7))</f>
        <v/>
      </c>
      <c r="N36">
        <f>IF(F36=0,0,SUMIFS(DATA_TRANSPORT!$R:$R,DATA_TRANSPORT!$A:$A,B36,DATA_TRANSPORT!$E:$E,$B$6,DATA_TRANSPORT!$AB:$AB,$B$7))</f>
        <v/>
      </c>
      <c r="O36">
        <f>IF(F36=0,0,SUMIFS(DATA_TRANSPORT!$S:$S,DATA_TRANSPORT!$A:$A,B36,DATA_TRANSPORT!$E:$E,$B$6,DATA_TRANSPORT!$AB:$AB,$B$7))</f>
        <v/>
      </c>
      <c r="P36">
        <f>IF(OR(B36="",$B$17),0,SUMIFS(DATA_TRANSPORT_COSTS!$M:$M,DATA_TRANSPORT_COSTS!$A:$A,B36,DATA_TRANSPORT_COSTS!$D:$D,$B$6))</f>
        <v/>
      </c>
      <c r="Q36">
        <f>O36+P36</f>
        <v/>
      </c>
      <c r="R36">
        <f>P36+IF(F36=0,0,SUMIFS(DATA_TRANSPORT!$S:$S,DATA_TRANSPORT!$A:$A,B36,DATA_TRANSPORT!$E:$E,$B$6,DATA_TRANSPORT!$AB:$AB,$B$7,DATA_TRANSPORT!$T:$T,"Central"))</f>
        <v/>
      </c>
      <c r="S36">
        <f>IF(F36=0,0,SUMIFS(DATA_TRANSPORT!$S:$S,DATA_TRANSPORT!$A:$A,B36,DATA_TRANSPORT!$E:$E,$B$6,DATA_TRANSPORT!$AB:$AB,$B$7,DATA_TRANSPORT!$T:$T,"Members"))</f>
        <v/>
      </c>
      <c r="T36">
        <f>IF(OR(B36="",$B$17),0,SUMIFS(DATA_TRANSPORT_BUDGET!$G:$G,DATA_TRANSPORT_BUDGET!$A:$A,B36,DATA_TRANSPORT_BUDGET!$D:$D,$B$6))</f>
        <v/>
      </c>
      <c r="U36">
        <f>IF(F36=0,0,SUMIFS(DATA_TRANSPORT!$S:$S,DATA_TRANSPORT!$A:$A,B36,DATA_TRANSPORT!$E:$E,$B$6,DATA_TRANSPORT!$AB:$AB,$B$7,DATA_TRANSPORT!$C:$C,"FT Procured"))</f>
        <v/>
      </c>
      <c r="V36">
        <f>IF(F36=0,0,COUNTIFS(DATA_TRANSPORT!$A:$A,B36,DATA_TRANSPORT!$E:$E,$B$6,DATA_TRANSPORT!$AB:$AB,$B$7,DATA_TRANSPORT!$U:$U,"Breakdown"))</f>
        <v/>
      </c>
      <c r="W36">
        <f>IF(M36=0,0,N36/M36)</f>
        <v/>
      </c>
      <c r="X36">
        <f>IF(F36&gt;0,1,0)</f>
        <v/>
      </c>
      <c r="Y36">
        <f>IF(AND(A36&gt;=1,A36&lt;=$B$11),X36,0)</f>
        <v/>
      </c>
      <c r="Z36">
        <f>IF(AND(C36=$B$12,E36=$B$14),X36,0)</f>
        <v/>
      </c>
      <c r="AA36">
        <f>IF(AND(D36=$B$13,E36=$B$14),X36,0)</f>
        <v/>
      </c>
      <c r="AB36">
        <f>IF(E36=$B$14,X36,0)</f>
        <v/>
      </c>
      <c r="AE36">
        <f>IFERROR(INDEX(MASTER_AREAS!$B:$B,35)&amp;"","")</f>
        <v/>
      </c>
      <c r="AF36">
        <f>IF(OR(AE36="",$B$10=0),0,SUMIFS(DATA_TRANSPORT!$Q:$Q,DATA_TRANSPORT!$A:$A,$B$10,DATA_TRANSPORT!$E:$E,AE36))</f>
        <v/>
      </c>
      <c r="AG36">
        <f>IF(OR(AE36="",$B$10=0),0,SUMIFS(DATA_TRANSPORT!$I:$I,DATA_TRANSPORT!$A:$A,$B$10,DATA_TRANSPORT!$E:$E,AE36,DATA_TRANSPORT!$U:$U,"Ran"))</f>
        <v/>
      </c>
      <c r="AH36">
        <f>IF(OR(AE36="",$B$10=0),0,SUMIFS(DATA_TRANSPORT!$L:$L,DATA_TRANSPORT!$A:$A,$B$10,DATA_TRANSPORT!$E:$E,AE36))</f>
        <v/>
      </c>
      <c r="AI36">
        <f>IF(OR(AE36="",$B$10=0),0,SUMIFS(DATA_TRANSPORT!$R:$R,DATA_TRANSPORT!$A:$A,$B$10,DATA_TRANSPORT!$E:$E,AE36))</f>
        <v/>
      </c>
      <c r="AJ36">
        <f>IF(AH36=0,"",AI36/AH36)</f>
        <v/>
      </c>
      <c r="AK36">
        <f>IF(OR(AE36="",$B$10=0),0,SUMIFS(DATA_TRANSPORT!$S:$S,DATA_TRANSPORT!$A:$A,$B$10,DATA_TRANSPORT!$E:$E,AE36))+IF(OR(AE36="",$B$10=0),0,SUMIFS(DATA_TRANSPORT_COSTS!$M:$M,DATA_TRANSPORT_COSTS!$A:$A,$B$10,DATA_TRANSPORT_COSTS!$D:$D,AE36))</f>
        <v/>
      </c>
      <c r="AL36">
        <f>IF(OR(AF36=0,AK36=0),"",AK36/AF36)</f>
        <v/>
      </c>
      <c r="AM36">
        <f>IF(OR(AE36="",$B$10=0),0,SUMIFS(DATA_TRANSPORT!$S:$S,DATA_TRANSPORT!$A:$A,$B$10,DATA_TRANSPORT!$E:$E,AE36,DATA_TRANSPORT!$C:$C,"FT Procured"))</f>
        <v/>
      </c>
      <c r="AN36">
        <f>IF(OR(AE36="",$B$10=0),0,SUMIFS(DATA_TRANSPORT_BUDGET!$G:$G,DATA_TRANSPORT_BUDGET!$A:$A,$B$10,DATA_TRANSPORT_BUDGET!$D:$D,AE36))</f>
        <v/>
      </c>
      <c r="AO36">
        <f>IF(AN36=0,"",AM36-AN36)</f>
        <v/>
      </c>
      <c r="AP36">
        <f>IF(OR(AE36="",$B$10=0),0,COUNTIFS(DATA_TRANSPORT!$A:$A,$B$10,DATA_TRANSPORT!$E:$E,AE36,DATA_TRANSPORT!$C:$C,"FT Procured",DATA_TRANSPORT!$Y:$Y,"Y"))</f>
        <v/>
      </c>
      <c r="AQ36">
        <f>IF(OR(AE36="",$B$10=0),0,SUMIFS(DATA_TRANSPORT_BUDGET!$E:$E,DATA_TRANSPORT_BUDGET!$A:$A,$B$10,DATA_TRANSPORT_BUDGET!$D:$D,AE36))</f>
        <v/>
      </c>
      <c r="AR36">
        <f>IF(OR(AE36="",$B$10=0),0,COUNTIFS(DATA_TRANSPORT!$A:$A,$B$10,DATA_TRANSPORT!$E:$E,AE36,DATA_TRANSPORT!$U:$U,"Breakdown"))</f>
        <v/>
      </c>
      <c r="AS36">
        <f>IF(IF(OR(AE36="",$B$10=0),0,SUMIFS(DATA_TRANSPORT!$L:$L,DATA_TRANSPORT!$A:$A,$B$10-7,DATA_TRANSPORT!$E:$E,AE36))=0,"",IF(OR(AE36="",$B$10=0),0,SUMIFS(DATA_TRANSPORT!$R:$R,DATA_TRANSPORT!$A:$A,$B$10-7,DATA_TRANSPORT!$E:$E,AE36))/IF(OR(AE36="",$B$10=0),0,SUMIFS(DATA_TRANSPORT!$L:$L,DATA_TRANSPORT!$A:$A,$B$10-7,DATA_TRANSPORT!$E:$E,AE36)))</f>
        <v/>
      </c>
      <c r="AT36">
        <f>IF(IF(OR(AE36="",$B$10=0),0,SUMIFS(DATA_TRANSPORT!$L:$L,DATA_TRANSPORT!$A:$A,$B$10-14,DATA_TRANSPORT!$E:$E,AE36))=0,"",IF(OR(AE36="",$B$10=0),0,SUMIFS(DATA_TRANSPORT!$R:$R,DATA_TRANSPORT!$A:$A,$B$10-14,DATA_TRANSPORT!$E:$E,AE36))/IF(OR(AE36="",$B$10=0),0,SUMIFS(DATA_TRANSPORT!$L:$L,DATA_TRANSPORT!$A:$A,$B$10-14,DATA_TRANSPORT!$E:$E,AE36)))</f>
        <v/>
      </c>
      <c r="AU36">
        <f>IF(IF(OR(AE36="",$B$10=0),0,SUMIFS(DATA_TRANSPORT!$L:$L,DATA_TRANSPORT!$A:$A,$B$10-21,DATA_TRANSPORT!$E:$E,AE36))=0,"",IF(OR(AE36="",$B$10=0),0,SUMIFS(DATA_TRANSPORT!$R:$R,DATA_TRANSPORT!$A:$A,$B$10-21,DATA_TRANSPORT!$E:$E,AE36))/IF(OR(AE36="",$B$10=0),0,SUMIFS(DATA_TRANSPORT!$L:$L,DATA_TRANSPORT!$A:$A,$B$10-21,DATA_TRANSPORT!$E:$E,AE36)))</f>
        <v/>
      </c>
      <c r="AV36">
        <f>IF(AND(ISNUMBER(AJ36),AJ36&lt;UtilLow),1,0)+IF(AND(ISNUMBER(AS36),AS36&lt;UtilLow),1,0)+IF(AND(ISNUMBER(AT36),AT36&lt;UtilLow),1,0)+IF(AND(ISNUMBER(AU36),AU36&lt;UtilLow),1,0)</f>
        <v/>
      </c>
      <c r="AW36">
        <f>IF(AV36&gt;=UtilLowWeeks,AE36&amp;": seats only "&amp;TEXT(AJ36,"0%")&amp;" full, under "&amp;TEXT(UtilLow,"0%")&amp;" for "&amp;AV36&amp;" weeks running",IF(AND(ISNUMBER(AJ36),AJ36&gt;UtilHigh),AE36&amp;": demand exceeds seats ("&amp;TEXT(AJ36,"0%")&amp;" full) — consider more buses",IF(AND(ISNUMBER(AO36),AO36&gt;0),AE36&amp;": FT spend ₦"&amp;TEXT(AO36,"#,##0")&amp;" over the weekly budget",IF(AR36&gt;0,AE36&amp;": "&amp;AR36&amp;" coaster breakdown(s) this week",""))))</f>
        <v/>
      </c>
      <c r="AX36">
        <f>IF(ISNUMBER(AJ36),AJ36+ROW()/1000000000,"")</f>
        <v/>
      </c>
      <c r="AY36">
        <f>IF(ISNUMBER(AL36),AL36+ROW()/1000000,"")</f>
        <v/>
      </c>
      <c r="AZ36">
        <f>IF(AND(ISNUMBER(AO36),AO36&gt;0),AO36+ROW()/1000000,"")</f>
        <v/>
      </c>
      <c r="BA36">
        <f>IF(AF36&gt;0,AF36+ROW()/1000000,"")</f>
        <v/>
      </c>
      <c r="BB36">
        <f>IF(AW36="","",ROW())</f>
        <v/>
      </c>
      <c r="BO36">
        <f>IFERROR(SMALL(DATA_TRANSPORT!$AC:$AC,34),"")</f>
        <v/>
      </c>
      <c r="BP36">
        <f>IF(BO36="","",INDEX(DATA_TRANSPORT!$E:$E,BO36))</f>
        <v/>
      </c>
      <c r="BQ36">
        <f>IF(BO36="","",INDEX(DATA_TRANSPORT!$C:$C,BO36))</f>
        <v/>
      </c>
      <c r="BR36">
        <f>IF(BO36="","",TRIM(INDEX(DATA_TRANSPORT!$G:$G,BO36)&amp;" "&amp;IF(INDEX(DATA_TRANSPORT!$H:$H,BO36)="","","(bus "&amp;INDEX(DATA_TRANSPORT!$H:$H,BO36)&amp;")")))</f>
        <v/>
      </c>
      <c r="BS36">
        <f>IF(BO36="","",IF(INDEX(DATA_TRANSPORT!$U:$U,BO36)="Breakdown","Breakdown",IF(INDEX(DATA_TRANSPORT!$W:$W,BO36)="","Needs more buses",INDEX(DATA_TRANSPORT!$W:$W,BO36))))</f>
        <v/>
      </c>
      <c r="BT36">
        <f>IF(BO36="","",INDEX(DATA_TRANSPORT!$X:$X,BO36)&amp;"")</f>
        <v/>
      </c>
    </row>
    <row r="37">
      <c r="A37" t="n">
        <v>16</v>
      </c>
      <c r="B37" s="170">
        <f>IF($B$10=0,"",$B$10-7*A37)</f>
        <v/>
      </c>
      <c r="C37">
        <f>IF(B37="","",MONTH(B37))</f>
        <v/>
      </c>
      <c r="D37">
        <f>IF(B37="","",ROUNDUP(MONTH(B37)/3,0))</f>
        <v/>
      </c>
      <c r="E37">
        <f>IF(B37="","",YEAR(B37))</f>
        <v/>
      </c>
      <c r="F37">
        <f>IF(B37="",0,COUNTIFS(DATA_TRANSPORT!$A:$A,B37,DATA_TRANSPORT!$E:$E,$B$6,DATA_TRANSPORT!$AB:$AB,$B$7))</f>
        <v/>
      </c>
      <c r="G37">
        <f>IF(F37=0,0,SUMIFS(DATA_TRANSPORT!$Q:$Q,DATA_TRANSPORT!$A:$A,B37,DATA_TRANSPORT!$E:$E,$B$6,DATA_TRANSPORT!$AB:$AB,$B$7))</f>
        <v/>
      </c>
      <c r="H37">
        <f>IF(F37=0,0,SUMIFS(DATA_TRANSPORT!$M:$M,DATA_TRANSPORT!$A:$A,B37,DATA_TRANSPORT!$E:$E,$B$6,DATA_TRANSPORT!$AB:$AB,$B$7))</f>
        <v/>
      </c>
      <c r="I37">
        <f>IF(F37=0,0,SUMIFS(DATA_TRANSPORT!$N:$N,DATA_TRANSPORT!$A:$A,B37,DATA_TRANSPORT!$E:$E,$B$6,DATA_TRANSPORT!$AB:$AB,$B$7))</f>
        <v/>
      </c>
      <c r="J37">
        <f>IF(F37=0,0,SUMIFS(DATA_TRANSPORT!$P:$P,DATA_TRANSPORT!$A:$A,B37,DATA_TRANSPORT!$E:$E,$B$6,DATA_TRANSPORT!$AB:$AB,$B$7))</f>
        <v/>
      </c>
      <c r="K37">
        <f>IF(F37=0,0,SUMIFS(DATA_TRANSPORT!$I:$I,DATA_TRANSPORT!$A:$A,B37,DATA_TRANSPORT!$E:$E,$B$6,DATA_TRANSPORT!$AB:$AB,$B$7))</f>
        <v/>
      </c>
      <c r="L37">
        <f>IF(F37=0,0,SUMIFS(DATA_TRANSPORT!$I:$I,DATA_TRANSPORT!$A:$A,B37,DATA_TRANSPORT!$E:$E,$B$6,DATA_TRANSPORT!$AB:$AB,$B$7,DATA_TRANSPORT!$U:$U,"Ran"))</f>
        <v/>
      </c>
      <c r="M37">
        <f>IF(F37=0,0,SUMIFS(DATA_TRANSPORT!$L:$L,DATA_TRANSPORT!$A:$A,B37,DATA_TRANSPORT!$E:$E,$B$6,DATA_TRANSPORT!$AB:$AB,$B$7))</f>
        <v/>
      </c>
      <c r="N37">
        <f>IF(F37=0,0,SUMIFS(DATA_TRANSPORT!$R:$R,DATA_TRANSPORT!$A:$A,B37,DATA_TRANSPORT!$E:$E,$B$6,DATA_TRANSPORT!$AB:$AB,$B$7))</f>
        <v/>
      </c>
      <c r="O37">
        <f>IF(F37=0,0,SUMIFS(DATA_TRANSPORT!$S:$S,DATA_TRANSPORT!$A:$A,B37,DATA_TRANSPORT!$E:$E,$B$6,DATA_TRANSPORT!$AB:$AB,$B$7))</f>
        <v/>
      </c>
      <c r="P37">
        <f>IF(OR(B37="",$B$17),0,SUMIFS(DATA_TRANSPORT_COSTS!$M:$M,DATA_TRANSPORT_COSTS!$A:$A,B37,DATA_TRANSPORT_COSTS!$D:$D,$B$6))</f>
        <v/>
      </c>
      <c r="Q37">
        <f>O37+P37</f>
        <v/>
      </c>
      <c r="R37">
        <f>P37+IF(F37=0,0,SUMIFS(DATA_TRANSPORT!$S:$S,DATA_TRANSPORT!$A:$A,B37,DATA_TRANSPORT!$E:$E,$B$6,DATA_TRANSPORT!$AB:$AB,$B$7,DATA_TRANSPORT!$T:$T,"Central"))</f>
        <v/>
      </c>
      <c r="S37">
        <f>IF(F37=0,0,SUMIFS(DATA_TRANSPORT!$S:$S,DATA_TRANSPORT!$A:$A,B37,DATA_TRANSPORT!$E:$E,$B$6,DATA_TRANSPORT!$AB:$AB,$B$7,DATA_TRANSPORT!$T:$T,"Members"))</f>
        <v/>
      </c>
      <c r="T37">
        <f>IF(OR(B37="",$B$17),0,SUMIFS(DATA_TRANSPORT_BUDGET!$G:$G,DATA_TRANSPORT_BUDGET!$A:$A,B37,DATA_TRANSPORT_BUDGET!$D:$D,$B$6))</f>
        <v/>
      </c>
      <c r="U37">
        <f>IF(F37=0,0,SUMIFS(DATA_TRANSPORT!$S:$S,DATA_TRANSPORT!$A:$A,B37,DATA_TRANSPORT!$E:$E,$B$6,DATA_TRANSPORT!$AB:$AB,$B$7,DATA_TRANSPORT!$C:$C,"FT Procured"))</f>
        <v/>
      </c>
      <c r="V37">
        <f>IF(F37=0,0,COUNTIFS(DATA_TRANSPORT!$A:$A,B37,DATA_TRANSPORT!$E:$E,$B$6,DATA_TRANSPORT!$AB:$AB,$B$7,DATA_TRANSPORT!$U:$U,"Breakdown"))</f>
        <v/>
      </c>
      <c r="W37">
        <f>IF(M37=0,0,N37/M37)</f>
        <v/>
      </c>
      <c r="X37">
        <f>IF(F37&gt;0,1,0)</f>
        <v/>
      </c>
      <c r="Y37">
        <f>IF(AND(A37&gt;=1,A37&lt;=$B$11),X37,0)</f>
        <v/>
      </c>
      <c r="Z37">
        <f>IF(AND(C37=$B$12,E37=$B$14),X37,0)</f>
        <v/>
      </c>
      <c r="AA37">
        <f>IF(AND(D37=$B$13,E37=$B$14),X37,0)</f>
        <v/>
      </c>
      <c r="AB37">
        <f>IF(E37=$B$14,X37,0)</f>
        <v/>
      </c>
      <c r="AE37">
        <f>IFERROR(INDEX(MASTER_AREAS!$B:$B,36)&amp;"","")</f>
        <v/>
      </c>
      <c r="AF37">
        <f>IF(OR(AE37="",$B$10=0),0,SUMIFS(DATA_TRANSPORT!$Q:$Q,DATA_TRANSPORT!$A:$A,$B$10,DATA_TRANSPORT!$E:$E,AE37))</f>
        <v/>
      </c>
      <c r="AG37">
        <f>IF(OR(AE37="",$B$10=0),0,SUMIFS(DATA_TRANSPORT!$I:$I,DATA_TRANSPORT!$A:$A,$B$10,DATA_TRANSPORT!$E:$E,AE37,DATA_TRANSPORT!$U:$U,"Ran"))</f>
        <v/>
      </c>
      <c r="AH37">
        <f>IF(OR(AE37="",$B$10=0),0,SUMIFS(DATA_TRANSPORT!$L:$L,DATA_TRANSPORT!$A:$A,$B$10,DATA_TRANSPORT!$E:$E,AE37))</f>
        <v/>
      </c>
      <c r="AI37">
        <f>IF(OR(AE37="",$B$10=0),0,SUMIFS(DATA_TRANSPORT!$R:$R,DATA_TRANSPORT!$A:$A,$B$10,DATA_TRANSPORT!$E:$E,AE37))</f>
        <v/>
      </c>
      <c r="AJ37">
        <f>IF(AH37=0,"",AI37/AH37)</f>
        <v/>
      </c>
      <c r="AK37">
        <f>IF(OR(AE37="",$B$10=0),0,SUMIFS(DATA_TRANSPORT!$S:$S,DATA_TRANSPORT!$A:$A,$B$10,DATA_TRANSPORT!$E:$E,AE37))+IF(OR(AE37="",$B$10=0),0,SUMIFS(DATA_TRANSPORT_COSTS!$M:$M,DATA_TRANSPORT_COSTS!$A:$A,$B$10,DATA_TRANSPORT_COSTS!$D:$D,AE37))</f>
        <v/>
      </c>
      <c r="AL37">
        <f>IF(OR(AF37=0,AK37=0),"",AK37/AF37)</f>
        <v/>
      </c>
      <c r="AM37">
        <f>IF(OR(AE37="",$B$10=0),0,SUMIFS(DATA_TRANSPORT!$S:$S,DATA_TRANSPORT!$A:$A,$B$10,DATA_TRANSPORT!$E:$E,AE37,DATA_TRANSPORT!$C:$C,"FT Procured"))</f>
        <v/>
      </c>
      <c r="AN37">
        <f>IF(OR(AE37="",$B$10=0),0,SUMIFS(DATA_TRANSPORT_BUDGET!$G:$G,DATA_TRANSPORT_BUDGET!$A:$A,$B$10,DATA_TRANSPORT_BUDGET!$D:$D,AE37))</f>
        <v/>
      </c>
      <c r="AO37">
        <f>IF(AN37=0,"",AM37-AN37)</f>
        <v/>
      </c>
      <c r="AP37">
        <f>IF(OR(AE37="",$B$10=0),0,COUNTIFS(DATA_TRANSPORT!$A:$A,$B$10,DATA_TRANSPORT!$E:$E,AE37,DATA_TRANSPORT!$C:$C,"FT Procured",DATA_TRANSPORT!$Y:$Y,"Y"))</f>
        <v/>
      </c>
      <c r="AQ37">
        <f>IF(OR(AE37="",$B$10=0),0,SUMIFS(DATA_TRANSPORT_BUDGET!$E:$E,DATA_TRANSPORT_BUDGET!$A:$A,$B$10,DATA_TRANSPORT_BUDGET!$D:$D,AE37))</f>
        <v/>
      </c>
      <c r="AR37">
        <f>IF(OR(AE37="",$B$10=0),0,COUNTIFS(DATA_TRANSPORT!$A:$A,$B$10,DATA_TRANSPORT!$E:$E,AE37,DATA_TRANSPORT!$U:$U,"Breakdown"))</f>
        <v/>
      </c>
      <c r="AS37">
        <f>IF(IF(OR(AE37="",$B$10=0),0,SUMIFS(DATA_TRANSPORT!$L:$L,DATA_TRANSPORT!$A:$A,$B$10-7,DATA_TRANSPORT!$E:$E,AE37))=0,"",IF(OR(AE37="",$B$10=0),0,SUMIFS(DATA_TRANSPORT!$R:$R,DATA_TRANSPORT!$A:$A,$B$10-7,DATA_TRANSPORT!$E:$E,AE37))/IF(OR(AE37="",$B$10=0),0,SUMIFS(DATA_TRANSPORT!$L:$L,DATA_TRANSPORT!$A:$A,$B$10-7,DATA_TRANSPORT!$E:$E,AE37)))</f>
        <v/>
      </c>
      <c r="AT37">
        <f>IF(IF(OR(AE37="",$B$10=0),0,SUMIFS(DATA_TRANSPORT!$L:$L,DATA_TRANSPORT!$A:$A,$B$10-14,DATA_TRANSPORT!$E:$E,AE37))=0,"",IF(OR(AE37="",$B$10=0),0,SUMIFS(DATA_TRANSPORT!$R:$R,DATA_TRANSPORT!$A:$A,$B$10-14,DATA_TRANSPORT!$E:$E,AE37))/IF(OR(AE37="",$B$10=0),0,SUMIFS(DATA_TRANSPORT!$L:$L,DATA_TRANSPORT!$A:$A,$B$10-14,DATA_TRANSPORT!$E:$E,AE37)))</f>
        <v/>
      </c>
      <c r="AU37">
        <f>IF(IF(OR(AE37="",$B$10=0),0,SUMIFS(DATA_TRANSPORT!$L:$L,DATA_TRANSPORT!$A:$A,$B$10-21,DATA_TRANSPORT!$E:$E,AE37))=0,"",IF(OR(AE37="",$B$10=0),0,SUMIFS(DATA_TRANSPORT!$R:$R,DATA_TRANSPORT!$A:$A,$B$10-21,DATA_TRANSPORT!$E:$E,AE37))/IF(OR(AE37="",$B$10=0),0,SUMIFS(DATA_TRANSPORT!$L:$L,DATA_TRANSPORT!$A:$A,$B$10-21,DATA_TRANSPORT!$E:$E,AE37)))</f>
        <v/>
      </c>
      <c r="AV37">
        <f>IF(AND(ISNUMBER(AJ37),AJ37&lt;UtilLow),1,0)+IF(AND(ISNUMBER(AS37),AS37&lt;UtilLow),1,0)+IF(AND(ISNUMBER(AT37),AT37&lt;UtilLow),1,0)+IF(AND(ISNUMBER(AU37),AU37&lt;UtilLow),1,0)</f>
        <v/>
      </c>
      <c r="AW37">
        <f>IF(AV37&gt;=UtilLowWeeks,AE37&amp;": seats only "&amp;TEXT(AJ37,"0%")&amp;" full, under "&amp;TEXT(UtilLow,"0%")&amp;" for "&amp;AV37&amp;" weeks running",IF(AND(ISNUMBER(AJ37),AJ37&gt;UtilHigh),AE37&amp;": demand exceeds seats ("&amp;TEXT(AJ37,"0%")&amp;" full) — consider more buses",IF(AND(ISNUMBER(AO37),AO37&gt;0),AE37&amp;": FT spend ₦"&amp;TEXT(AO37,"#,##0")&amp;" over the weekly budget",IF(AR37&gt;0,AE37&amp;": "&amp;AR37&amp;" coaster breakdown(s) this week",""))))</f>
        <v/>
      </c>
      <c r="AX37">
        <f>IF(ISNUMBER(AJ37),AJ37+ROW()/1000000000,"")</f>
        <v/>
      </c>
      <c r="AY37">
        <f>IF(ISNUMBER(AL37),AL37+ROW()/1000000,"")</f>
        <v/>
      </c>
      <c r="AZ37">
        <f>IF(AND(ISNUMBER(AO37),AO37&gt;0),AO37+ROW()/1000000,"")</f>
        <v/>
      </c>
      <c r="BA37">
        <f>IF(AF37&gt;0,AF37+ROW()/1000000,"")</f>
        <v/>
      </c>
      <c r="BB37">
        <f>IF(AW37="","",ROW())</f>
        <v/>
      </c>
      <c r="BO37">
        <f>IFERROR(SMALL(DATA_TRANSPORT!$AC:$AC,35),"")</f>
        <v/>
      </c>
      <c r="BP37">
        <f>IF(BO37="","",INDEX(DATA_TRANSPORT!$E:$E,BO37))</f>
        <v/>
      </c>
      <c r="BQ37">
        <f>IF(BO37="","",INDEX(DATA_TRANSPORT!$C:$C,BO37))</f>
        <v/>
      </c>
      <c r="BR37">
        <f>IF(BO37="","",TRIM(INDEX(DATA_TRANSPORT!$G:$G,BO37)&amp;" "&amp;IF(INDEX(DATA_TRANSPORT!$H:$H,BO37)="","","(bus "&amp;INDEX(DATA_TRANSPORT!$H:$H,BO37)&amp;")")))</f>
        <v/>
      </c>
      <c r="BS37">
        <f>IF(BO37="","",IF(INDEX(DATA_TRANSPORT!$U:$U,BO37)="Breakdown","Breakdown",IF(INDEX(DATA_TRANSPORT!$W:$W,BO37)="","Needs more buses",INDEX(DATA_TRANSPORT!$W:$W,BO37))))</f>
        <v/>
      </c>
      <c r="BT37">
        <f>IF(BO37="","",INDEX(DATA_TRANSPORT!$X:$X,BO37)&amp;"")</f>
        <v/>
      </c>
    </row>
    <row r="38">
      <c r="A38" t="n">
        <v>17</v>
      </c>
      <c r="B38" s="170">
        <f>IF($B$10=0,"",$B$10-7*A38)</f>
        <v/>
      </c>
      <c r="C38">
        <f>IF(B38="","",MONTH(B38))</f>
        <v/>
      </c>
      <c r="D38">
        <f>IF(B38="","",ROUNDUP(MONTH(B38)/3,0))</f>
        <v/>
      </c>
      <c r="E38">
        <f>IF(B38="","",YEAR(B38))</f>
        <v/>
      </c>
      <c r="F38">
        <f>IF(B38="",0,COUNTIFS(DATA_TRANSPORT!$A:$A,B38,DATA_TRANSPORT!$E:$E,$B$6,DATA_TRANSPORT!$AB:$AB,$B$7))</f>
        <v/>
      </c>
      <c r="G38">
        <f>IF(F38=0,0,SUMIFS(DATA_TRANSPORT!$Q:$Q,DATA_TRANSPORT!$A:$A,B38,DATA_TRANSPORT!$E:$E,$B$6,DATA_TRANSPORT!$AB:$AB,$B$7))</f>
        <v/>
      </c>
      <c r="H38">
        <f>IF(F38=0,0,SUMIFS(DATA_TRANSPORT!$M:$M,DATA_TRANSPORT!$A:$A,B38,DATA_TRANSPORT!$E:$E,$B$6,DATA_TRANSPORT!$AB:$AB,$B$7))</f>
        <v/>
      </c>
      <c r="I38">
        <f>IF(F38=0,0,SUMIFS(DATA_TRANSPORT!$N:$N,DATA_TRANSPORT!$A:$A,B38,DATA_TRANSPORT!$E:$E,$B$6,DATA_TRANSPORT!$AB:$AB,$B$7))</f>
        <v/>
      </c>
      <c r="J38">
        <f>IF(F38=0,0,SUMIFS(DATA_TRANSPORT!$P:$P,DATA_TRANSPORT!$A:$A,B38,DATA_TRANSPORT!$E:$E,$B$6,DATA_TRANSPORT!$AB:$AB,$B$7))</f>
        <v/>
      </c>
      <c r="K38">
        <f>IF(F38=0,0,SUMIFS(DATA_TRANSPORT!$I:$I,DATA_TRANSPORT!$A:$A,B38,DATA_TRANSPORT!$E:$E,$B$6,DATA_TRANSPORT!$AB:$AB,$B$7))</f>
        <v/>
      </c>
      <c r="L38">
        <f>IF(F38=0,0,SUMIFS(DATA_TRANSPORT!$I:$I,DATA_TRANSPORT!$A:$A,B38,DATA_TRANSPORT!$E:$E,$B$6,DATA_TRANSPORT!$AB:$AB,$B$7,DATA_TRANSPORT!$U:$U,"Ran"))</f>
        <v/>
      </c>
      <c r="M38">
        <f>IF(F38=0,0,SUMIFS(DATA_TRANSPORT!$L:$L,DATA_TRANSPORT!$A:$A,B38,DATA_TRANSPORT!$E:$E,$B$6,DATA_TRANSPORT!$AB:$AB,$B$7))</f>
        <v/>
      </c>
      <c r="N38">
        <f>IF(F38=0,0,SUMIFS(DATA_TRANSPORT!$R:$R,DATA_TRANSPORT!$A:$A,B38,DATA_TRANSPORT!$E:$E,$B$6,DATA_TRANSPORT!$AB:$AB,$B$7))</f>
        <v/>
      </c>
      <c r="O38">
        <f>IF(F38=0,0,SUMIFS(DATA_TRANSPORT!$S:$S,DATA_TRANSPORT!$A:$A,B38,DATA_TRANSPORT!$E:$E,$B$6,DATA_TRANSPORT!$AB:$AB,$B$7))</f>
        <v/>
      </c>
      <c r="P38">
        <f>IF(OR(B38="",$B$17),0,SUMIFS(DATA_TRANSPORT_COSTS!$M:$M,DATA_TRANSPORT_COSTS!$A:$A,B38,DATA_TRANSPORT_COSTS!$D:$D,$B$6))</f>
        <v/>
      </c>
      <c r="Q38">
        <f>O38+P38</f>
        <v/>
      </c>
      <c r="R38">
        <f>P38+IF(F38=0,0,SUMIFS(DATA_TRANSPORT!$S:$S,DATA_TRANSPORT!$A:$A,B38,DATA_TRANSPORT!$E:$E,$B$6,DATA_TRANSPORT!$AB:$AB,$B$7,DATA_TRANSPORT!$T:$T,"Central"))</f>
        <v/>
      </c>
      <c r="S38">
        <f>IF(F38=0,0,SUMIFS(DATA_TRANSPORT!$S:$S,DATA_TRANSPORT!$A:$A,B38,DATA_TRANSPORT!$E:$E,$B$6,DATA_TRANSPORT!$AB:$AB,$B$7,DATA_TRANSPORT!$T:$T,"Members"))</f>
        <v/>
      </c>
      <c r="T38">
        <f>IF(OR(B38="",$B$17),0,SUMIFS(DATA_TRANSPORT_BUDGET!$G:$G,DATA_TRANSPORT_BUDGET!$A:$A,B38,DATA_TRANSPORT_BUDGET!$D:$D,$B$6))</f>
        <v/>
      </c>
      <c r="U38">
        <f>IF(F38=0,0,SUMIFS(DATA_TRANSPORT!$S:$S,DATA_TRANSPORT!$A:$A,B38,DATA_TRANSPORT!$E:$E,$B$6,DATA_TRANSPORT!$AB:$AB,$B$7,DATA_TRANSPORT!$C:$C,"FT Procured"))</f>
        <v/>
      </c>
      <c r="V38">
        <f>IF(F38=0,0,COUNTIFS(DATA_TRANSPORT!$A:$A,B38,DATA_TRANSPORT!$E:$E,$B$6,DATA_TRANSPORT!$AB:$AB,$B$7,DATA_TRANSPORT!$U:$U,"Breakdown"))</f>
        <v/>
      </c>
      <c r="W38">
        <f>IF(M38=0,0,N38/M38)</f>
        <v/>
      </c>
      <c r="X38">
        <f>IF(F38&gt;0,1,0)</f>
        <v/>
      </c>
      <c r="Y38">
        <f>IF(AND(A38&gt;=1,A38&lt;=$B$11),X38,0)</f>
        <v/>
      </c>
      <c r="Z38">
        <f>IF(AND(C38=$B$12,E38=$B$14),X38,0)</f>
        <v/>
      </c>
      <c r="AA38">
        <f>IF(AND(D38=$B$13,E38=$B$14),X38,0)</f>
        <v/>
      </c>
      <c r="AB38">
        <f>IF(E38=$B$14,X38,0)</f>
        <v/>
      </c>
      <c r="AE38">
        <f>IFERROR(INDEX(MASTER_AREAS!$B:$B,37)&amp;"","")</f>
        <v/>
      </c>
      <c r="AF38">
        <f>IF(OR(AE38="",$B$10=0),0,SUMIFS(DATA_TRANSPORT!$Q:$Q,DATA_TRANSPORT!$A:$A,$B$10,DATA_TRANSPORT!$E:$E,AE38))</f>
        <v/>
      </c>
      <c r="AG38">
        <f>IF(OR(AE38="",$B$10=0),0,SUMIFS(DATA_TRANSPORT!$I:$I,DATA_TRANSPORT!$A:$A,$B$10,DATA_TRANSPORT!$E:$E,AE38,DATA_TRANSPORT!$U:$U,"Ran"))</f>
        <v/>
      </c>
      <c r="AH38">
        <f>IF(OR(AE38="",$B$10=0),0,SUMIFS(DATA_TRANSPORT!$L:$L,DATA_TRANSPORT!$A:$A,$B$10,DATA_TRANSPORT!$E:$E,AE38))</f>
        <v/>
      </c>
      <c r="AI38">
        <f>IF(OR(AE38="",$B$10=0),0,SUMIFS(DATA_TRANSPORT!$R:$R,DATA_TRANSPORT!$A:$A,$B$10,DATA_TRANSPORT!$E:$E,AE38))</f>
        <v/>
      </c>
      <c r="AJ38">
        <f>IF(AH38=0,"",AI38/AH38)</f>
        <v/>
      </c>
      <c r="AK38">
        <f>IF(OR(AE38="",$B$10=0),0,SUMIFS(DATA_TRANSPORT!$S:$S,DATA_TRANSPORT!$A:$A,$B$10,DATA_TRANSPORT!$E:$E,AE38))+IF(OR(AE38="",$B$10=0),0,SUMIFS(DATA_TRANSPORT_COSTS!$M:$M,DATA_TRANSPORT_COSTS!$A:$A,$B$10,DATA_TRANSPORT_COSTS!$D:$D,AE38))</f>
        <v/>
      </c>
      <c r="AL38">
        <f>IF(OR(AF38=0,AK38=0),"",AK38/AF38)</f>
        <v/>
      </c>
      <c r="AM38">
        <f>IF(OR(AE38="",$B$10=0),0,SUMIFS(DATA_TRANSPORT!$S:$S,DATA_TRANSPORT!$A:$A,$B$10,DATA_TRANSPORT!$E:$E,AE38,DATA_TRANSPORT!$C:$C,"FT Procured"))</f>
        <v/>
      </c>
      <c r="AN38">
        <f>IF(OR(AE38="",$B$10=0),0,SUMIFS(DATA_TRANSPORT_BUDGET!$G:$G,DATA_TRANSPORT_BUDGET!$A:$A,$B$10,DATA_TRANSPORT_BUDGET!$D:$D,AE38))</f>
        <v/>
      </c>
      <c r="AO38">
        <f>IF(AN38=0,"",AM38-AN38)</f>
        <v/>
      </c>
      <c r="AP38">
        <f>IF(OR(AE38="",$B$10=0),0,COUNTIFS(DATA_TRANSPORT!$A:$A,$B$10,DATA_TRANSPORT!$E:$E,AE38,DATA_TRANSPORT!$C:$C,"FT Procured",DATA_TRANSPORT!$Y:$Y,"Y"))</f>
        <v/>
      </c>
      <c r="AQ38">
        <f>IF(OR(AE38="",$B$10=0),0,SUMIFS(DATA_TRANSPORT_BUDGET!$E:$E,DATA_TRANSPORT_BUDGET!$A:$A,$B$10,DATA_TRANSPORT_BUDGET!$D:$D,AE38))</f>
        <v/>
      </c>
      <c r="AR38">
        <f>IF(OR(AE38="",$B$10=0),0,COUNTIFS(DATA_TRANSPORT!$A:$A,$B$10,DATA_TRANSPORT!$E:$E,AE38,DATA_TRANSPORT!$U:$U,"Breakdown"))</f>
        <v/>
      </c>
      <c r="AS38">
        <f>IF(IF(OR(AE38="",$B$10=0),0,SUMIFS(DATA_TRANSPORT!$L:$L,DATA_TRANSPORT!$A:$A,$B$10-7,DATA_TRANSPORT!$E:$E,AE38))=0,"",IF(OR(AE38="",$B$10=0),0,SUMIFS(DATA_TRANSPORT!$R:$R,DATA_TRANSPORT!$A:$A,$B$10-7,DATA_TRANSPORT!$E:$E,AE38))/IF(OR(AE38="",$B$10=0),0,SUMIFS(DATA_TRANSPORT!$L:$L,DATA_TRANSPORT!$A:$A,$B$10-7,DATA_TRANSPORT!$E:$E,AE38)))</f>
        <v/>
      </c>
      <c r="AT38">
        <f>IF(IF(OR(AE38="",$B$10=0),0,SUMIFS(DATA_TRANSPORT!$L:$L,DATA_TRANSPORT!$A:$A,$B$10-14,DATA_TRANSPORT!$E:$E,AE38))=0,"",IF(OR(AE38="",$B$10=0),0,SUMIFS(DATA_TRANSPORT!$R:$R,DATA_TRANSPORT!$A:$A,$B$10-14,DATA_TRANSPORT!$E:$E,AE38))/IF(OR(AE38="",$B$10=0),0,SUMIFS(DATA_TRANSPORT!$L:$L,DATA_TRANSPORT!$A:$A,$B$10-14,DATA_TRANSPORT!$E:$E,AE38)))</f>
        <v/>
      </c>
      <c r="AU38">
        <f>IF(IF(OR(AE38="",$B$10=0),0,SUMIFS(DATA_TRANSPORT!$L:$L,DATA_TRANSPORT!$A:$A,$B$10-21,DATA_TRANSPORT!$E:$E,AE38))=0,"",IF(OR(AE38="",$B$10=0),0,SUMIFS(DATA_TRANSPORT!$R:$R,DATA_TRANSPORT!$A:$A,$B$10-21,DATA_TRANSPORT!$E:$E,AE38))/IF(OR(AE38="",$B$10=0),0,SUMIFS(DATA_TRANSPORT!$L:$L,DATA_TRANSPORT!$A:$A,$B$10-21,DATA_TRANSPORT!$E:$E,AE38)))</f>
        <v/>
      </c>
      <c r="AV38">
        <f>IF(AND(ISNUMBER(AJ38),AJ38&lt;UtilLow),1,0)+IF(AND(ISNUMBER(AS38),AS38&lt;UtilLow),1,0)+IF(AND(ISNUMBER(AT38),AT38&lt;UtilLow),1,0)+IF(AND(ISNUMBER(AU38),AU38&lt;UtilLow),1,0)</f>
        <v/>
      </c>
      <c r="AW38">
        <f>IF(AV38&gt;=UtilLowWeeks,AE38&amp;": seats only "&amp;TEXT(AJ38,"0%")&amp;" full, under "&amp;TEXT(UtilLow,"0%")&amp;" for "&amp;AV38&amp;" weeks running",IF(AND(ISNUMBER(AJ38),AJ38&gt;UtilHigh),AE38&amp;": demand exceeds seats ("&amp;TEXT(AJ38,"0%")&amp;" full) — consider more buses",IF(AND(ISNUMBER(AO38),AO38&gt;0),AE38&amp;": FT spend ₦"&amp;TEXT(AO38,"#,##0")&amp;" over the weekly budget",IF(AR38&gt;0,AE38&amp;": "&amp;AR38&amp;" coaster breakdown(s) this week",""))))</f>
        <v/>
      </c>
      <c r="AX38">
        <f>IF(ISNUMBER(AJ38),AJ38+ROW()/1000000000,"")</f>
        <v/>
      </c>
      <c r="AY38">
        <f>IF(ISNUMBER(AL38),AL38+ROW()/1000000,"")</f>
        <v/>
      </c>
      <c r="AZ38">
        <f>IF(AND(ISNUMBER(AO38),AO38&gt;0),AO38+ROW()/1000000,"")</f>
        <v/>
      </c>
      <c r="BA38">
        <f>IF(AF38&gt;0,AF38+ROW()/1000000,"")</f>
        <v/>
      </c>
      <c r="BB38">
        <f>IF(AW38="","",ROW())</f>
        <v/>
      </c>
      <c r="BO38">
        <f>IFERROR(SMALL(DATA_TRANSPORT!$AC:$AC,36),"")</f>
        <v/>
      </c>
      <c r="BP38">
        <f>IF(BO38="","",INDEX(DATA_TRANSPORT!$E:$E,BO38))</f>
        <v/>
      </c>
      <c r="BQ38">
        <f>IF(BO38="","",INDEX(DATA_TRANSPORT!$C:$C,BO38))</f>
        <v/>
      </c>
      <c r="BR38">
        <f>IF(BO38="","",TRIM(INDEX(DATA_TRANSPORT!$G:$G,BO38)&amp;" "&amp;IF(INDEX(DATA_TRANSPORT!$H:$H,BO38)="","","(bus "&amp;INDEX(DATA_TRANSPORT!$H:$H,BO38)&amp;")")))</f>
        <v/>
      </c>
      <c r="BS38">
        <f>IF(BO38="","",IF(INDEX(DATA_TRANSPORT!$U:$U,BO38)="Breakdown","Breakdown",IF(INDEX(DATA_TRANSPORT!$W:$W,BO38)="","Needs more buses",INDEX(DATA_TRANSPORT!$W:$W,BO38))))</f>
        <v/>
      </c>
      <c r="BT38">
        <f>IF(BO38="","",INDEX(DATA_TRANSPORT!$X:$X,BO38)&amp;"")</f>
        <v/>
      </c>
    </row>
    <row r="39">
      <c r="A39" t="n">
        <v>18</v>
      </c>
      <c r="B39" s="170">
        <f>IF($B$10=0,"",$B$10-7*A39)</f>
        <v/>
      </c>
      <c r="C39">
        <f>IF(B39="","",MONTH(B39))</f>
        <v/>
      </c>
      <c r="D39">
        <f>IF(B39="","",ROUNDUP(MONTH(B39)/3,0))</f>
        <v/>
      </c>
      <c r="E39">
        <f>IF(B39="","",YEAR(B39))</f>
        <v/>
      </c>
      <c r="F39">
        <f>IF(B39="",0,COUNTIFS(DATA_TRANSPORT!$A:$A,B39,DATA_TRANSPORT!$E:$E,$B$6,DATA_TRANSPORT!$AB:$AB,$B$7))</f>
        <v/>
      </c>
      <c r="G39">
        <f>IF(F39=0,0,SUMIFS(DATA_TRANSPORT!$Q:$Q,DATA_TRANSPORT!$A:$A,B39,DATA_TRANSPORT!$E:$E,$B$6,DATA_TRANSPORT!$AB:$AB,$B$7))</f>
        <v/>
      </c>
      <c r="H39">
        <f>IF(F39=0,0,SUMIFS(DATA_TRANSPORT!$M:$M,DATA_TRANSPORT!$A:$A,B39,DATA_TRANSPORT!$E:$E,$B$6,DATA_TRANSPORT!$AB:$AB,$B$7))</f>
        <v/>
      </c>
      <c r="I39">
        <f>IF(F39=0,0,SUMIFS(DATA_TRANSPORT!$N:$N,DATA_TRANSPORT!$A:$A,B39,DATA_TRANSPORT!$E:$E,$B$6,DATA_TRANSPORT!$AB:$AB,$B$7))</f>
        <v/>
      </c>
      <c r="J39">
        <f>IF(F39=0,0,SUMIFS(DATA_TRANSPORT!$P:$P,DATA_TRANSPORT!$A:$A,B39,DATA_TRANSPORT!$E:$E,$B$6,DATA_TRANSPORT!$AB:$AB,$B$7))</f>
        <v/>
      </c>
      <c r="K39">
        <f>IF(F39=0,0,SUMIFS(DATA_TRANSPORT!$I:$I,DATA_TRANSPORT!$A:$A,B39,DATA_TRANSPORT!$E:$E,$B$6,DATA_TRANSPORT!$AB:$AB,$B$7))</f>
        <v/>
      </c>
      <c r="L39">
        <f>IF(F39=0,0,SUMIFS(DATA_TRANSPORT!$I:$I,DATA_TRANSPORT!$A:$A,B39,DATA_TRANSPORT!$E:$E,$B$6,DATA_TRANSPORT!$AB:$AB,$B$7,DATA_TRANSPORT!$U:$U,"Ran"))</f>
        <v/>
      </c>
      <c r="M39">
        <f>IF(F39=0,0,SUMIFS(DATA_TRANSPORT!$L:$L,DATA_TRANSPORT!$A:$A,B39,DATA_TRANSPORT!$E:$E,$B$6,DATA_TRANSPORT!$AB:$AB,$B$7))</f>
        <v/>
      </c>
      <c r="N39">
        <f>IF(F39=0,0,SUMIFS(DATA_TRANSPORT!$R:$R,DATA_TRANSPORT!$A:$A,B39,DATA_TRANSPORT!$E:$E,$B$6,DATA_TRANSPORT!$AB:$AB,$B$7))</f>
        <v/>
      </c>
      <c r="O39">
        <f>IF(F39=0,0,SUMIFS(DATA_TRANSPORT!$S:$S,DATA_TRANSPORT!$A:$A,B39,DATA_TRANSPORT!$E:$E,$B$6,DATA_TRANSPORT!$AB:$AB,$B$7))</f>
        <v/>
      </c>
      <c r="P39">
        <f>IF(OR(B39="",$B$17),0,SUMIFS(DATA_TRANSPORT_COSTS!$M:$M,DATA_TRANSPORT_COSTS!$A:$A,B39,DATA_TRANSPORT_COSTS!$D:$D,$B$6))</f>
        <v/>
      </c>
      <c r="Q39">
        <f>O39+P39</f>
        <v/>
      </c>
      <c r="R39">
        <f>P39+IF(F39=0,0,SUMIFS(DATA_TRANSPORT!$S:$S,DATA_TRANSPORT!$A:$A,B39,DATA_TRANSPORT!$E:$E,$B$6,DATA_TRANSPORT!$AB:$AB,$B$7,DATA_TRANSPORT!$T:$T,"Central"))</f>
        <v/>
      </c>
      <c r="S39">
        <f>IF(F39=0,0,SUMIFS(DATA_TRANSPORT!$S:$S,DATA_TRANSPORT!$A:$A,B39,DATA_TRANSPORT!$E:$E,$B$6,DATA_TRANSPORT!$AB:$AB,$B$7,DATA_TRANSPORT!$T:$T,"Members"))</f>
        <v/>
      </c>
      <c r="T39">
        <f>IF(OR(B39="",$B$17),0,SUMIFS(DATA_TRANSPORT_BUDGET!$G:$G,DATA_TRANSPORT_BUDGET!$A:$A,B39,DATA_TRANSPORT_BUDGET!$D:$D,$B$6))</f>
        <v/>
      </c>
      <c r="U39">
        <f>IF(F39=0,0,SUMIFS(DATA_TRANSPORT!$S:$S,DATA_TRANSPORT!$A:$A,B39,DATA_TRANSPORT!$E:$E,$B$6,DATA_TRANSPORT!$AB:$AB,$B$7,DATA_TRANSPORT!$C:$C,"FT Procured"))</f>
        <v/>
      </c>
      <c r="V39">
        <f>IF(F39=0,0,COUNTIFS(DATA_TRANSPORT!$A:$A,B39,DATA_TRANSPORT!$E:$E,$B$6,DATA_TRANSPORT!$AB:$AB,$B$7,DATA_TRANSPORT!$U:$U,"Breakdown"))</f>
        <v/>
      </c>
      <c r="W39">
        <f>IF(M39=0,0,N39/M39)</f>
        <v/>
      </c>
      <c r="X39">
        <f>IF(F39&gt;0,1,0)</f>
        <v/>
      </c>
      <c r="Y39">
        <f>IF(AND(A39&gt;=1,A39&lt;=$B$11),X39,0)</f>
        <v/>
      </c>
      <c r="Z39">
        <f>IF(AND(C39=$B$12,E39=$B$14),X39,0)</f>
        <v/>
      </c>
      <c r="AA39">
        <f>IF(AND(D39=$B$13,E39=$B$14),X39,0)</f>
        <v/>
      </c>
      <c r="AB39">
        <f>IF(E39=$B$14,X39,0)</f>
        <v/>
      </c>
      <c r="AE39">
        <f>IFERROR(INDEX(MASTER_AREAS!$B:$B,38)&amp;"","")</f>
        <v/>
      </c>
      <c r="AF39">
        <f>IF(OR(AE39="",$B$10=0),0,SUMIFS(DATA_TRANSPORT!$Q:$Q,DATA_TRANSPORT!$A:$A,$B$10,DATA_TRANSPORT!$E:$E,AE39))</f>
        <v/>
      </c>
      <c r="AG39">
        <f>IF(OR(AE39="",$B$10=0),0,SUMIFS(DATA_TRANSPORT!$I:$I,DATA_TRANSPORT!$A:$A,$B$10,DATA_TRANSPORT!$E:$E,AE39,DATA_TRANSPORT!$U:$U,"Ran"))</f>
        <v/>
      </c>
      <c r="AH39">
        <f>IF(OR(AE39="",$B$10=0),0,SUMIFS(DATA_TRANSPORT!$L:$L,DATA_TRANSPORT!$A:$A,$B$10,DATA_TRANSPORT!$E:$E,AE39))</f>
        <v/>
      </c>
      <c r="AI39">
        <f>IF(OR(AE39="",$B$10=0),0,SUMIFS(DATA_TRANSPORT!$R:$R,DATA_TRANSPORT!$A:$A,$B$10,DATA_TRANSPORT!$E:$E,AE39))</f>
        <v/>
      </c>
      <c r="AJ39">
        <f>IF(AH39=0,"",AI39/AH39)</f>
        <v/>
      </c>
      <c r="AK39">
        <f>IF(OR(AE39="",$B$10=0),0,SUMIFS(DATA_TRANSPORT!$S:$S,DATA_TRANSPORT!$A:$A,$B$10,DATA_TRANSPORT!$E:$E,AE39))+IF(OR(AE39="",$B$10=0),0,SUMIFS(DATA_TRANSPORT_COSTS!$M:$M,DATA_TRANSPORT_COSTS!$A:$A,$B$10,DATA_TRANSPORT_COSTS!$D:$D,AE39))</f>
        <v/>
      </c>
      <c r="AL39">
        <f>IF(OR(AF39=0,AK39=0),"",AK39/AF39)</f>
        <v/>
      </c>
      <c r="AM39">
        <f>IF(OR(AE39="",$B$10=0),0,SUMIFS(DATA_TRANSPORT!$S:$S,DATA_TRANSPORT!$A:$A,$B$10,DATA_TRANSPORT!$E:$E,AE39,DATA_TRANSPORT!$C:$C,"FT Procured"))</f>
        <v/>
      </c>
      <c r="AN39">
        <f>IF(OR(AE39="",$B$10=0),0,SUMIFS(DATA_TRANSPORT_BUDGET!$G:$G,DATA_TRANSPORT_BUDGET!$A:$A,$B$10,DATA_TRANSPORT_BUDGET!$D:$D,AE39))</f>
        <v/>
      </c>
      <c r="AO39">
        <f>IF(AN39=0,"",AM39-AN39)</f>
        <v/>
      </c>
      <c r="AP39">
        <f>IF(OR(AE39="",$B$10=0),0,COUNTIFS(DATA_TRANSPORT!$A:$A,$B$10,DATA_TRANSPORT!$E:$E,AE39,DATA_TRANSPORT!$C:$C,"FT Procured",DATA_TRANSPORT!$Y:$Y,"Y"))</f>
        <v/>
      </c>
      <c r="AQ39">
        <f>IF(OR(AE39="",$B$10=0),0,SUMIFS(DATA_TRANSPORT_BUDGET!$E:$E,DATA_TRANSPORT_BUDGET!$A:$A,$B$10,DATA_TRANSPORT_BUDGET!$D:$D,AE39))</f>
        <v/>
      </c>
      <c r="AR39">
        <f>IF(OR(AE39="",$B$10=0),0,COUNTIFS(DATA_TRANSPORT!$A:$A,$B$10,DATA_TRANSPORT!$E:$E,AE39,DATA_TRANSPORT!$U:$U,"Breakdown"))</f>
        <v/>
      </c>
      <c r="AS39">
        <f>IF(IF(OR(AE39="",$B$10=0),0,SUMIFS(DATA_TRANSPORT!$L:$L,DATA_TRANSPORT!$A:$A,$B$10-7,DATA_TRANSPORT!$E:$E,AE39))=0,"",IF(OR(AE39="",$B$10=0),0,SUMIFS(DATA_TRANSPORT!$R:$R,DATA_TRANSPORT!$A:$A,$B$10-7,DATA_TRANSPORT!$E:$E,AE39))/IF(OR(AE39="",$B$10=0),0,SUMIFS(DATA_TRANSPORT!$L:$L,DATA_TRANSPORT!$A:$A,$B$10-7,DATA_TRANSPORT!$E:$E,AE39)))</f>
        <v/>
      </c>
      <c r="AT39">
        <f>IF(IF(OR(AE39="",$B$10=0),0,SUMIFS(DATA_TRANSPORT!$L:$L,DATA_TRANSPORT!$A:$A,$B$10-14,DATA_TRANSPORT!$E:$E,AE39))=0,"",IF(OR(AE39="",$B$10=0),0,SUMIFS(DATA_TRANSPORT!$R:$R,DATA_TRANSPORT!$A:$A,$B$10-14,DATA_TRANSPORT!$E:$E,AE39))/IF(OR(AE39="",$B$10=0),0,SUMIFS(DATA_TRANSPORT!$L:$L,DATA_TRANSPORT!$A:$A,$B$10-14,DATA_TRANSPORT!$E:$E,AE39)))</f>
        <v/>
      </c>
      <c r="AU39">
        <f>IF(IF(OR(AE39="",$B$10=0),0,SUMIFS(DATA_TRANSPORT!$L:$L,DATA_TRANSPORT!$A:$A,$B$10-21,DATA_TRANSPORT!$E:$E,AE39))=0,"",IF(OR(AE39="",$B$10=0),0,SUMIFS(DATA_TRANSPORT!$R:$R,DATA_TRANSPORT!$A:$A,$B$10-21,DATA_TRANSPORT!$E:$E,AE39))/IF(OR(AE39="",$B$10=0),0,SUMIFS(DATA_TRANSPORT!$L:$L,DATA_TRANSPORT!$A:$A,$B$10-21,DATA_TRANSPORT!$E:$E,AE39)))</f>
        <v/>
      </c>
      <c r="AV39">
        <f>IF(AND(ISNUMBER(AJ39),AJ39&lt;UtilLow),1,0)+IF(AND(ISNUMBER(AS39),AS39&lt;UtilLow),1,0)+IF(AND(ISNUMBER(AT39),AT39&lt;UtilLow),1,0)+IF(AND(ISNUMBER(AU39),AU39&lt;UtilLow),1,0)</f>
        <v/>
      </c>
      <c r="AW39">
        <f>IF(AV39&gt;=UtilLowWeeks,AE39&amp;": seats only "&amp;TEXT(AJ39,"0%")&amp;" full, under "&amp;TEXT(UtilLow,"0%")&amp;" for "&amp;AV39&amp;" weeks running",IF(AND(ISNUMBER(AJ39),AJ39&gt;UtilHigh),AE39&amp;": demand exceeds seats ("&amp;TEXT(AJ39,"0%")&amp;" full) — consider more buses",IF(AND(ISNUMBER(AO39),AO39&gt;0),AE39&amp;": FT spend ₦"&amp;TEXT(AO39,"#,##0")&amp;" over the weekly budget",IF(AR39&gt;0,AE39&amp;": "&amp;AR39&amp;" coaster breakdown(s) this week",""))))</f>
        <v/>
      </c>
      <c r="AX39">
        <f>IF(ISNUMBER(AJ39),AJ39+ROW()/1000000000,"")</f>
        <v/>
      </c>
      <c r="AY39">
        <f>IF(ISNUMBER(AL39),AL39+ROW()/1000000,"")</f>
        <v/>
      </c>
      <c r="AZ39">
        <f>IF(AND(ISNUMBER(AO39),AO39&gt;0),AO39+ROW()/1000000,"")</f>
        <v/>
      </c>
      <c r="BA39">
        <f>IF(AF39&gt;0,AF39+ROW()/1000000,"")</f>
        <v/>
      </c>
      <c r="BB39">
        <f>IF(AW39="","",ROW())</f>
        <v/>
      </c>
      <c r="BO39">
        <f>IFERROR(SMALL(DATA_TRANSPORT!$AC:$AC,37),"")</f>
        <v/>
      </c>
      <c r="BP39">
        <f>IF(BO39="","",INDEX(DATA_TRANSPORT!$E:$E,BO39))</f>
        <v/>
      </c>
      <c r="BQ39">
        <f>IF(BO39="","",INDEX(DATA_TRANSPORT!$C:$C,BO39))</f>
        <v/>
      </c>
      <c r="BR39">
        <f>IF(BO39="","",TRIM(INDEX(DATA_TRANSPORT!$G:$G,BO39)&amp;" "&amp;IF(INDEX(DATA_TRANSPORT!$H:$H,BO39)="","","(bus "&amp;INDEX(DATA_TRANSPORT!$H:$H,BO39)&amp;")")))</f>
        <v/>
      </c>
      <c r="BS39">
        <f>IF(BO39="","",IF(INDEX(DATA_TRANSPORT!$U:$U,BO39)="Breakdown","Breakdown",IF(INDEX(DATA_TRANSPORT!$W:$W,BO39)="","Needs more buses",INDEX(DATA_TRANSPORT!$W:$W,BO39))))</f>
        <v/>
      </c>
      <c r="BT39">
        <f>IF(BO39="","",INDEX(DATA_TRANSPORT!$X:$X,BO39)&amp;"")</f>
        <v/>
      </c>
    </row>
    <row r="40">
      <c r="A40" t="n">
        <v>19</v>
      </c>
      <c r="B40" s="170">
        <f>IF($B$10=0,"",$B$10-7*A40)</f>
        <v/>
      </c>
      <c r="C40">
        <f>IF(B40="","",MONTH(B40))</f>
        <v/>
      </c>
      <c r="D40">
        <f>IF(B40="","",ROUNDUP(MONTH(B40)/3,0))</f>
        <v/>
      </c>
      <c r="E40">
        <f>IF(B40="","",YEAR(B40))</f>
        <v/>
      </c>
      <c r="F40">
        <f>IF(B40="",0,COUNTIFS(DATA_TRANSPORT!$A:$A,B40,DATA_TRANSPORT!$E:$E,$B$6,DATA_TRANSPORT!$AB:$AB,$B$7))</f>
        <v/>
      </c>
      <c r="G40">
        <f>IF(F40=0,0,SUMIFS(DATA_TRANSPORT!$Q:$Q,DATA_TRANSPORT!$A:$A,B40,DATA_TRANSPORT!$E:$E,$B$6,DATA_TRANSPORT!$AB:$AB,$B$7))</f>
        <v/>
      </c>
      <c r="H40">
        <f>IF(F40=0,0,SUMIFS(DATA_TRANSPORT!$M:$M,DATA_TRANSPORT!$A:$A,B40,DATA_TRANSPORT!$E:$E,$B$6,DATA_TRANSPORT!$AB:$AB,$B$7))</f>
        <v/>
      </c>
      <c r="I40">
        <f>IF(F40=0,0,SUMIFS(DATA_TRANSPORT!$N:$N,DATA_TRANSPORT!$A:$A,B40,DATA_TRANSPORT!$E:$E,$B$6,DATA_TRANSPORT!$AB:$AB,$B$7))</f>
        <v/>
      </c>
      <c r="J40">
        <f>IF(F40=0,0,SUMIFS(DATA_TRANSPORT!$P:$P,DATA_TRANSPORT!$A:$A,B40,DATA_TRANSPORT!$E:$E,$B$6,DATA_TRANSPORT!$AB:$AB,$B$7))</f>
        <v/>
      </c>
      <c r="K40">
        <f>IF(F40=0,0,SUMIFS(DATA_TRANSPORT!$I:$I,DATA_TRANSPORT!$A:$A,B40,DATA_TRANSPORT!$E:$E,$B$6,DATA_TRANSPORT!$AB:$AB,$B$7))</f>
        <v/>
      </c>
      <c r="L40">
        <f>IF(F40=0,0,SUMIFS(DATA_TRANSPORT!$I:$I,DATA_TRANSPORT!$A:$A,B40,DATA_TRANSPORT!$E:$E,$B$6,DATA_TRANSPORT!$AB:$AB,$B$7,DATA_TRANSPORT!$U:$U,"Ran"))</f>
        <v/>
      </c>
      <c r="M40">
        <f>IF(F40=0,0,SUMIFS(DATA_TRANSPORT!$L:$L,DATA_TRANSPORT!$A:$A,B40,DATA_TRANSPORT!$E:$E,$B$6,DATA_TRANSPORT!$AB:$AB,$B$7))</f>
        <v/>
      </c>
      <c r="N40">
        <f>IF(F40=0,0,SUMIFS(DATA_TRANSPORT!$R:$R,DATA_TRANSPORT!$A:$A,B40,DATA_TRANSPORT!$E:$E,$B$6,DATA_TRANSPORT!$AB:$AB,$B$7))</f>
        <v/>
      </c>
      <c r="O40">
        <f>IF(F40=0,0,SUMIFS(DATA_TRANSPORT!$S:$S,DATA_TRANSPORT!$A:$A,B40,DATA_TRANSPORT!$E:$E,$B$6,DATA_TRANSPORT!$AB:$AB,$B$7))</f>
        <v/>
      </c>
      <c r="P40">
        <f>IF(OR(B40="",$B$17),0,SUMIFS(DATA_TRANSPORT_COSTS!$M:$M,DATA_TRANSPORT_COSTS!$A:$A,B40,DATA_TRANSPORT_COSTS!$D:$D,$B$6))</f>
        <v/>
      </c>
      <c r="Q40">
        <f>O40+P40</f>
        <v/>
      </c>
      <c r="R40">
        <f>P40+IF(F40=0,0,SUMIFS(DATA_TRANSPORT!$S:$S,DATA_TRANSPORT!$A:$A,B40,DATA_TRANSPORT!$E:$E,$B$6,DATA_TRANSPORT!$AB:$AB,$B$7,DATA_TRANSPORT!$T:$T,"Central"))</f>
        <v/>
      </c>
      <c r="S40">
        <f>IF(F40=0,0,SUMIFS(DATA_TRANSPORT!$S:$S,DATA_TRANSPORT!$A:$A,B40,DATA_TRANSPORT!$E:$E,$B$6,DATA_TRANSPORT!$AB:$AB,$B$7,DATA_TRANSPORT!$T:$T,"Members"))</f>
        <v/>
      </c>
      <c r="T40">
        <f>IF(OR(B40="",$B$17),0,SUMIFS(DATA_TRANSPORT_BUDGET!$G:$G,DATA_TRANSPORT_BUDGET!$A:$A,B40,DATA_TRANSPORT_BUDGET!$D:$D,$B$6))</f>
        <v/>
      </c>
      <c r="U40">
        <f>IF(F40=0,0,SUMIFS(DATA_TRANSPORT!$S:$S,DATA_TRANSPORT!$A:$A,B40,DATA_TRANSPORT!$E:$E,$B$6,DATA_TRANSPORT!$AB:$AB,$B$7,DATA_TRANSPORT!$C:$C,"FT Procured"))</f>
        <v/>
      </c>
      <c r="V40">
        <f>IF(F40=0,0,COUNTIFS(DATA_TRANSPORT!$A:$A,B40,DATA_TRANSPORT!$E:$E,$B$6,DATA_TRANSPORT!$AB:$AB,$B$7,DATA_TRANSPORT!$U:$U,"Breakdown"))</f>
        <v/>
      </c>
      <c r="W40">
        <f>IF(M40=0,0,N40/M40)</f>
        <v/>
      </c>
      <c r="X40">
        <f>IF(F40&gt;0,1,0)</f>
        <v/>
      </c>
      <c r="Y40">
        <f>IF(AND(A40&gt;=1,A40&lt;=$B$11),X40,0)</f>
        <v/>
      </c>
      <c r="Z40">
        <f>IF(AND(C40=$B$12,E40=$B$14),X40,0)</f>
        <v/>
      </c>
      <c r="AA40">
        <f>IF(AND(D40=$B$13,E40=$B$14),X40,0)</f>
        <v/>
      </c>
      <c r="AB40">
        <f>IF(E40=$B$14,X40,0)</f>
        <v/>
      </c>
      <c r="AE40">
        <f>IFERROR(INDEX(MASTER_AREAS!$B:$B,39)&amp;"","")</f>
        <v/>
      </c>
      <c r="AF40">
        <f>IF(OR(AE40="",$B$10=0),0,SUMIFS(DATA_TRANSPORT!$Q:$Q,DATA_TRANSPORT!$A:$A,$B$10,DATA_TRANSPORT!$E:$E,AE40))</f>
        <v/>
      </c>
      <c r="AG40">
        <f>IF(OR(AE40="",$B$10=0),0,SUMIFS(DATA_TRANSPORT!$I:$I,DATA_TRANSPORT!$A:$A,$B$10,DATA_TRANSPORT!$E:$E,AE40,DATA_TRANSPORT!$U:$U,"Ran"))</f>
        <v/>
      </c>
      <c r="AH40">
        <f>IF(OR(AE40="",$B$10=0),0,SUMIFS(DATA_TRANSPORT!$L:$L,DATA_TRANSPORT!$A:$A,$B$10,DATA_TRANSPORT!$E:$E,AE40))</f>
        <v/>
      </c>
      <c r="AI40">
        <f>IF(OR(AE40="",$B$10=0),0,SUMIFS(DATA_TRANSPORT!$R:$R,DATA_TRANSPORT!$A:$A,$B$10,DATA_TRANSPORT!$E:$E,AE40))</f>
        <v/>
      </c>
      <c r="AJ40">
        <f>IF(AH40=0,"",AI40/AH40)</f>
        <v/>
      </c>
      <c r="AK40">
        <f>IF(OR(AE40="",$B$10=0),0,SUMIFS(DATA_TRANSPORT!$S:$S,DATA_TRANSPORT!$A:$A,$B$10,DATA_TRANSPORT!$E:$E,AE40))+IF(OR(AE40="",$B$10=0),0,SUMIFS(DATA_TRANSPORT_COSTS!$M:$M,DATA_TRANSPORT_COSTS!$A:$A,$B$10,DATA_TRANSPORT_COSTS!$D:$D,AE40))</f>
        <v/>
      </c>
      <c r="AL40">
        <f>IF(OR(AF40=0,AK40=0),"",AK40/AF40)</f>
        <v/>
      </c>
      <c r="AM40">
        <f>IF(OR(AE40="",$B$10=0),0,SUMIFS(DATA_TRANSPORT!$S:$S,DATA_TRANSPORT!$A:$A,$B$10,DATA_TRANSPORT!$E:$E,AE40,DATA_TRANSPORT!$C:$C,"FT Procured"))</f>
        <v/>
      </c>
      <c r="AN40">
        <f>IF(OR(AE40="",$B$10=0),0,SUMIFS(DATA_TRANSPORT_BUDGET!$G:$G,DATA_TRANSPORT_BUDGET!$A:$A,$B$10,DATA_TRANSPORT_BUDGET!$D:$D,AE40))</f>
        <v/>
      </c>
      <c r="AO40">
        <f>IF(AN40=0,"",AM40-AN40)</f>
        <v/>
      </c>
      <c r="AP40">
        <f>IF(OR(AE40="",$B$10=0),0,COUNTIFS(DATA_TRANSPORT!$A:$A,$B$10,DATA_TRANSPORT!$E:$E,AE40,DATA_TRANSPORT!$C:$C,"FT Procured",DATA_TRANSPORT!$Y:$Y,"Y"))</f>
        <v/>
      </c>
      <c r="AQ40">
        <f>IF(OR(AE40="",$B$10=0),0,SUMIFS(DATA_TRANSPORT_BUDGET!$E:$E,DATA_TRANSPORT_BUDGET!$A:$A,$B$10,DATA_TRANSPORT_BUDGET!$D:$D,AE40))</f>
        <v/>
      </c>
      <c r="AR40">
        <f>IF(OR(AE40="",$B$10=0),0,COUNTIFS(DATA_TRANSPORT!$A:$A,$B$10,DATA_TRANSPORT!$E:$E,AE40,DATA_TRANSPORT!$U:$U,"Breakdown"))</f>
        <v/>
      </c>
      <c r="AS40">
        <f>IF(IF(OR(AE40="",$B$10=0),0,SUMIFS(DATA_TRANSPORT!$L:$L,DATA_TRANSPORT!$A:$A,$B$10-7,DATA_TRANSPORT!$E:$E,AE40))=0,"",IF(OR(AE40="",$B$10=0),0,SUMIFS(DATA_TRANSPORT!$R:$R,DATA_TRANSPORT!$A:$A,$B$10-7,DATA_TRANSPORT!$E:$E,AE40))/IF(OR(AE40="",$B$10=0),0,SUMIFS(DATA_TRANSPORT!$L:$L,DATA_TRANSPORT!$A:$A,$B$10-7,DATA_TRANSPORT!$E:$E,AE40)))</f>
        <v/>
      </c>
      <c r="AT40">
        <f>IF(IF(OR(AE40="",$B$10=0),0,SUMIFS(DATA_TRANSPORT!$L:$L,DATA_TRANSPORT!$A:$A,$B$10-14,DATA_TRANSPORT!$E:$E,AE40))=0,"",IF(OR(AE40="",$B$10=0),0,SUMIFS(DATA_TRANSPORT!$R:$R,DATA_TRANSPORT!$A:$A,$B$10-14,DATA_TRANSPORT!$E:$E,AE40))/IF(OR(AE40="",$B$10=0),0,SUMIFS(DATA_TRANSPORT!$L:$L,DATA_TRANSPORT!$A:$A,$B$10-14,DATA_TRANSPORT!$E:$E,AE40)))</f>
        <v/>
      </c>
      <c r="AU40">
        <f>IF(IF(OR(AE40="",$B$10=0),0,SUMIFS(DATA_TRANSPORT!$L:$L,DATA_TRANSPORT!$A:$A,$B$10-21,DATA_TRANSPORT!$E:$E,AE40))=0,"",IF(OR(AE40="",$B$10=0),0,SUMIFS(DATA_TRANSPORT!$R:$R,DATA_TRANSPORT!$A:$A,$B$10-21,DATA_TRANSPORT!$E:$E,AE40))/IF(OR(AE40="",$B$10=0),0,SUMIFS(DATA_TRANSPORT!$L:$L,DATA_TRANSPORT!$A:$A,$B$10-21,DATA_TRANSPORT!$E:$E,AE40)))</f>
        <v/>
      </c>
      <c r="AV40">
        <f>IF(AND(ISNUMBER(AJ40),AJ40&lt;UtilLow),1,0)+IF(AND(ISNUMBER(AS40),AS40&lt;UtilLow),1,0)+IF(AND(ISNUMBER(AT40),AT40&lt;UtilLow),1,0)+IF(AND(ISNUMBER(AU40),AU40&lt;UtilLow),1,0)</f>
        <v/>
      </c>
      <c r="AW40">
        <f>IF(AV40&gt;=UtilLowWeeks,AE40&amp;": seats only "&amp;TEXT(AJ40,"0%")&amp;" full, under "&amp;TEXT(UtilLow,"0%")&amp;" for "&amp;AV40&amp;" weeks running",IF(AND(ISNUMBER(AJ40),AJ40&gt;UtilHigh),AE40&amp;": demand exceeds seats ("&amp;TEXT(AJ40,"0%")&amp;" full) — consider more buses",IF(AND(ISNUMBER(AO40),AO40&gt;0),AE40&amp;": FT spend ₦"&amp;TEXT(AO40,"#,##0")&amp;" over the weekly budget",IF(AR40&gt;0,AE40&amp;": "&amp;AR40&amp;" coaster breakdown(s) this week",""))))</f>
        <v/>
      </c>
      <c r="AX40">
        <f>IF(ISNUMBER(AJ40),AJ40+ROW()/1000000000,"")</f>
        <v/>
      </c>
      <c r="AY40">
        <f>IF(ISNUMBER(AL40),AL40+ROW()/1000000,"")</f>
        <v/>
      </c>
      <c r="AZ40">
        <f>IF(AND(ISNUMBER(AO40),AO40&gt;0),AO40+ROW()/1000000,"")</f>
        <v/>
      </c>
      <c r="BA40">
        <f>IF(AF40&gt;0,AF40+ROW()/1000000,"")</f>
        <v/>
      </c>
      <c r="BB40">
        <f>IF(AW40="","",ROW())</f>
        <v/>
      </c>
      <c r="BO40">
        <f>IFERROR(SMALL(DATA_TRANSPORT!$AC:$AC,38),"")</f>
        <v/>
      </c>
      <c r="BP40">
        <f>IF(BO40="","",INDEX(DATA_TRANSPORT!$E:$E,BO40))</f>
        <v/>
      </c>
      <c r="BQ40">
        <f>IF(BO40="","",INDEX(DATA_TRANSPORT!$C:$C,BO40))</f>
        <v/>
      </c>
      <c r="BR40">
        <f>IF(BO40="","",TRIM(INDEX(DATA_TRANSPORT!$G:$G,BO40)&amp;" "&amp;IF(INDEX(DATA_TRANSPORT!$H:$H,BO40)="","","(bus "&amp;INDEX(DATA_TRANSPORT!$H:$H,BO40)&amp;")")))</f>
        <v/>
      </c>
      <c r="BS40">
        <f>IF(BO40="","",IF(INDEX(DATA_TRANSPORT!$U:$U,BO40)="Breakdown","Breakdown",IF(INDEX(DATA_TRANSPORT!$W:$W,BO40)="","Needs more buses",INDEX(DATA_TRANSPORT!$W:$W,BO40))))</f>
        <v/>
      </c>
      <c r="BT40">
        <f>IF(BO40="","",INDEX(DATA_TRANSPORT!$X:$X,BO40)&amp;"")</f>
        <v/>
      </c>
    </row>
    <row r="41">
      <c r="A41" t="n">
        <v>20</v>
      </c>
      <c r="B41" s="170">
        <f>IF($B$10=0,"",$B$10-7*A41)</f>
        <v/>
      </c>
      <c r="C41">
        <f>IF(B41="","",MONTH(B41))</f>
        <v/>
      </c>
      <c r="D41">
        <f>IF(B41="","",ROUNDUP(MONTH(B41)/3,0))</f>
        <v/>
      </c>
      <c r="E41">
        <f>IF(B41="","",YEAR(B41))</f>
        <v/>
      </c>
      <c r="F41">
        <f>IF(B41="",0,COUNTIFS(DATA_TRANSPORT!$A:$A,B41,DATA_TRANSPORT!$E:$E,$B$6,DATA_TRANSPORT!$AB:$AB,$B$7))</f>
        <v/>
      </c>
      <c r="G41">
        <f>IF(F41=0,0,SUMIFS(DATA_TRANSPORT!$Q:$Q,DATA_TRANSPORT!$A:$A,B41,DATA_TRANSPORT!$E:$E,$B$6,DATA_TRANSPORT!$AB:$AB,$B$7))</f>
        <v/>
      </c>
      <c r="H41">
        <f>IF(F41=0,0,SUMIFS(DATA_TRANSPORT!$M:$M,DATA_TRANSPORT!$A:$A,B41,DATA_TRANSPORT!$E:$E,$B$6,DATA_TRANSPORT!$AB:$AB,$B$7))</f>
        <v/>
      </c>
      <c r="I41">
        <f>IF(F41=0,0,SUMIFS(DATA_TRANSPORT!$N:$N,DATA_TRANSPORT!$A:$A,B41,DATA_TRANSPORT!$E:$E,$B$6,DATA_TRANSPORT!$AB:$AB,$B$7))</f>
        <v/>
      </c>
      <c r="J41">
        <f>IF(F41=0,0,SUMIFS(DATA_TRANSPORT!$P:$P,DATA_TRANSPORT!$A:$A,B41,DATA_TRANSPORT!$E:$E,$B$6,DATA_TRANSPORT!$AB:$AB,$B$7))</f>
        <v/>
      </c>
      <c r="K41">
        <f>IF(F41=0,0,SUMIFS(DATA_TRANSPORT!$I:$I,DATA_TRANSPORT!$A:$A,B41,DATA_TRANSPORT!$E:$E,$B$6,DATA_TRANSPORT!$AB:$AB,$B$7))</f>
        <v/>
      </c>
      <c r="L41">
        <f>IF(F41=0,0,SUMIFS(DATA_TRANSPORT!$I:$I,DATA_TRANSPORT!$A:$A,B41,DATA_TRANSPORT!$E:$E,$B$6,DATA_TRANSPORT!$AB:$AB,$B$7,DATA_TRANSPORT!$U:$U,"Ran"))</f>
        <v/>
      </c>
      <c r="M41">
        <f>IF(F41=0,0,SUMIFS(DATA_TRANSPORT!$L:$L,DATA_TRANSPORT!$A:$A,B41,DATA_TRANSPORT!$E:$E,$B$6,DATA_TRANSPORT!$AB:$AB,$B$7))</f>
        <v/>
      </c>
      <c r="N41">
        <f>IF(F41=0,0,SUMIFS(DATA_TRANSPORT!$R:$R,DATA_TRANSPORT!$A:$A,B41,DATA_TRANSPORT!$E:$E,$B$6,DATA_TRANSPORT!$AB:$AB,$B$7))</f>
        <v/>
      </c>
      <c r="O41">
        <f>IF(F41=0,0,SUMIFS(DATA_TRANSPORT!$S:$S,DATA_TRANSPORT!$A:$A,B41,DATA_TRANSPORT!$E:$E,$B$6,DATA_TRANSPORT!$AB:$AB,$B$7))</f>
        <v/>
      </c>
      <c r="P41">
        <f>IF(OR(B41="",$B$17),0,SUMIFS(DATA_TRANSPORT_COSTS!$M:$M,DATA_TRANSPORT_COSTS!$A:$A,B41,DATA_TRANSPORT_COSTS!$D:$D,$B$6))</f>
        <v/>
      </c>
      <c r="Q41">
        <f>O41+P41</f>
        <v/>
      </c>
      <c r="R41">
        <f>P41+IF(F41=0,0,SUMIFS(DATA_TRANSPORT!$S:$S,DATA_TRANSPORT!$A:$A,B41,DATA_TRANSPORT!$E:$E,$B$6,DATA_TRANSPORT!$AB:$AB,$B$7,DATA_TRANSPORT!$T:$T,"Central"))</f>
        <v/>
      </c>
      <c r="S41">
        <f>IF(F41=0,0,SUMIFS(DATA_TRANSPORT!$S:$S,DATA_TRANSPORT!$A:$A,B41,DATA_TRANSPORT!$E:$E,$B$6,DATA_TRANSPORT!$AB:$AB,$B$7,DATA_TRANSPORT!$T:$T,"Members"))</f>
        <v/>
      </c>
      <c r="T41">
        <f>IF(OR(B41="",$B$17),0,SUMIFS(DATA_TRANSPORT_BUDGET!$G:$G,DATA_TRANSPORT_BUDGET!$A:$A,B41,DATA_TRANSPORT_BUDGET!$D:$D,$B$6))</f>
        <v/>
      </c>
      <c r="U41">
        <f>IF(F41=0,0,SUMIFS(DATA_TRANSPORT!$S:$S,DATA_TRANSPORT!$A:$A,B41,DATA_TRANSPORT!$E:$E,$B$6,DATA_TRANSPORT!$AB:$AB,$B$7,DATA_TRANSPORT!$C:$C,"FT Procured"))</f>
        <v/>
      </c>
      <c r="V41">
        <f>IF(F41=0,0,COUNTIFS(DATA_TRANSPORT!$A:$A,B41,DATA_TRANSPORT!$E:$E,$B$6,DATA_TRANSPORT!$AB:$AB,$B$7,DATA_TRANSPORT!$U:$U,"Breakdown"))</f>
        <v/>
      </c>
      <c r="W41">
        <f>IF(M41=0,0,N41/M41)</f>
        <v/>
      </c>
      <c r="X41">
        <f>IF(F41&gt;0,1,0)</f>
        <v/>
      </c>
      <c r="Y41">
        <f>IF(AND(A41&gt;=1,A41&lt;=$B$11),X41,0)</f>
        <v/>
      </c>
      <c r="Z41">
        <f>IF(AND(C41=$B$12,E41=$B$14),X41,0)</f>
        <v/>
      </c>
      <c r="AA41">
        <f>IF(AND(D41=$B$13,E41=$B$14),X41,0)</f>
        <v/>
      </c>
      <c r="AB41">
        <f>IF(E41=$B$14,X41,0)</f>
        <v/>
      </c>
      <c r="AE41">
        <f>IFERROR(INDEX(MASTER_AREAS!$B:$B,40)&amp;"","")</f>
        <v/>
      </c>
      <c r="AF41">
        <f>IF(OR(AE41="",$B$10=0),0,SUMIFS(DATA_TRANSPORT!$Q:$Q,DATA_TRANSPORT!$A:$A,$B$10,DATA_TRANSPORT!$E:$E,AE41))</f>
        <v/>
      </c>
      <c r="AG41">
        <f>IF(OR(AE41="",$B$10=0),0,SUMIFS(DATA_TRANSPORT!$I:$I,DATA_TRANSPORT!$A:$A,$B$10,DATA_TRANSPORT!$E:$E,AE41,DATA_TRANSPORT!$U:$U,"Ran"))</f>
        <v/>
      </c>
      <c r="AH41">
        <f>IF(OR(AE41="",$B$10=0),0,SUMIFS(DATA_TRANSPORT!$L:$L,DATA_TRANSPORT!$A:$A,$B$10,DATA_TRANSPORT!$E:$E,AE41))</f>
        <v/>
      </c>
      <c r="AI41">
        <f>IF(OR(AE41="",$B$10=0),0,SUMIFS(DATA_TRANSPORT!$R:$R,DATA_TRANSPORT!$A:$A,$B$10,DATA_TRANSPORT!$E:$E,AE41))</f>
        <v/>
      </c>
      <c r="AJ41">
        <f>IF(AH41=0,"",AI41/AH41)</f>
        <v/>
      </c>
      <c r="AK41">
        <f>IF(OR(AE41="",$B$10=0),0,SUMIFS(DATA_TRANSPORT!$S:$S,DATA_TRANSPORT!$A:$A,$B$10,DATA_TRANSPORT!$E:$E,AE41))+IF(OR(AE41="",$B$10=0),0,SUMIFS(DATA_TRANSPORT_COSTS!$M:$M,DATA_TRANSPORT_COSTS!$A:$A,$B$10,DATA_TRANSPORT_COSTS!$D:$D,AE41))</f>
        <v/>
      </c>
      <c r="AL41">
        <f>IF(OR(AF41=0,AK41=0),"",AK41/AF41)</f>
        <v/>
      </c>
      <c r="AM41">
        <f>IF(OR(AE41="",$B$10=0),0,SUMIFS(DATA_TRANSPORT!$S:$S,DATA_TRANSPORT!$A:$A,$B$10,DATA_TRANSPORT!$E:$E,AE41,DATA_TRANSPORT!$C:$C,"FT Procured"))</f>
        <v/>
      </c>
      <c r="AN41">
        <f>IF(OR(AE41="",$B$10=0),0,SUMIFS(DATA_TRANSPORT_BUDGET!$G:$G,DATA_TRANSPORT_BUDGET!$A:$A,$B$10,DATA_TRANSPORT_BUDGET!$D:$D,AE41))</f>
        <v/>
      </c>
      <c r="AO41">
        <f>IF(AN41=0,"",AM41-AN41)</f>
        <v/>
      </c>
      <c r="AP41">
        <f>IF(OR(AE41="",$B$10=0),0,COUNTIFS(DATA_TRANSPORT!$A:$A,$B$10,DATA_TRANSPORT!$E:$E,AE41,DATA_TRANSPORT!$C:$C,"FT Procured",DATA_TRANSPORT!$Y:$Y,"Y"))</f>
        <v/>
      </c>
      <c r="AQ41">
        <f>IF(OR(AE41="",$B$10=0),0,SUMIFS(DATA_TRANSPORT_BUDGET!$E:$E,DATA_TRANSPORT_BUDGET!$A:$A,$B$10,DATA_TRANSPORT_BUDGET!$D:$D,AE41))</f>
        <v/>
      </c>
      <c r="AR41">
        <f>IF(OR(AE41="",$B$10=0),0,COUNTIFS(DATA_TRANSPORT!$A:$A,$B$10,DATA_TRANSPORT!$E:$E,AE41,DATA_TRANSPORT!$U:$U,"Breakdown"))</f>
        <v/>
      </c>
      <c r="AS41">
        <f>IF(IF(OR(AE41="",$B$10=0),0,SUMIFS(DATA_TRANSPORT!$L:$L,DATA_TRANSPORT!$A:$A,$B$10-7,DATA_TRANSPORT!$E:$E,AE41))=0,"",IF(OR(AE41="",$B$10=0),0,SUMIFS(DATA_TRANSPORT!$R:$R,DATA_TRANSPORT!$A:$A,$B$10-7,DATA_TRANSPORT!$E:$E,AE41))/IF(OR(AE41="",$B$10=0),0,SUMIFS(DATA_TRANSPORT!$L:$L,DATA_TRANSPORT!$A:$A,$B$10-7,DATA_TRANSPORT!$E:$E,AE41)))</f>
        <v/>
      </c>
      <c r="AT41">
        <f>IF(IF(OR(AE41="",$B$10=0),0,SUMIFS(DATA_TRANSPORT!$L:$L,DATA_TRANSPORT!$A:$A,$B$10-14,DATA_TRANSPORT!$E:$E,AE41))=0,"",IF(OR(AE41="",$B$10=0),0,SUMIFS(DATA_TRANSPORT!$R:$R,DATA_TRANSPORT!$A:$A,$B$10-14,DATA_TRANSPORT!$E:$E,AE41))/IF(OR(AE41="",$B$10=0),0,SUMIFS(DATA_TRANSPORT!$L:$L,DATA_TRANSPORT!$A:$A,$B$10-14,DATA_TRANSPORT!$E:$E,AE41)))</f>
        <v/>
      </c>
      <c r="AU41">
        <f>IF(IF(OR(AE41="",$B$10=0),0,SUMIFS(DATA_TRANSPORT!$L:$L,DATA_TRANSPORT!$A:$A,$B$10-21,DATA_TRANSPORT!$E:$E,AE41))=0,"",IF(OR(AE41="",$B$10=0),0,SUMIFS(DATA_TRANSPORT!$R:$R,DATA_TRANSPORT!$A:$A,$B$10-21,DATA_TRANSPORT!$E:$E,AE41))/IF(OR(AE41="",$B$10=0),0,SUMIFS(DATA_TRANSPORT!$L:$L,DATA_TRANSPORT!$A:$A,$B$10-21,DATA_TRANSPORT!$E:$E,AE41)))</f>
        <v/>
      </c>
      <c r="AV41">
        <f>IF(AND(ISNUMBER(AJ41),AJ41&lt;UtilLow),1,0)+IF(AND(ISNUMBER(AS41),AS41&lt;UtilLow),1,0)+IF(AND(ISNUMBER(AT41),AT41&lt;UtilLow),1,0)+IF(AND(ISNUMBER(AU41),AU41&lt;UtilLow),1,0)</f>
        <v/>
      </c>
      <c r="AW41">
        <f>IF(AV41&gt;=UtilLowWeeks,AE41&amp;": seats only "&amp;TEXT(AJ41,"0%")&amp;" full, under "&amp;TEXT(UtilLow,"0%")&amp;" for "&amp;AV41&amp;" weeks running",IF(AND(ISNUMBER(AJ41),AJ41&gt;UtilHigh),AE41&amp;": demand exceeds seats ("&amp;TEXT(AJ41,"0%")&amp;" full) — consider more buses",IF(AND(ISNUMBER(AO41),AO41&gt;0),AE41&amp;": FT spend ₦"&amp;TEXT(AO41,"#,##0")&amp;" over the weekly budget",IF(AR41&gt;0,AE41&amp;": "&amp;AR41&amp;" coaster breakdown(s) this week",""))))</f>
        <v/>
      </c>
      <c r="AX41">
        <f>IF(ISNUMBER(AJ41),AJ41+ROW()/1000000000,"")</f>
        <v/>
      </c>
      <c r="AY41">
        <f>IF(ISNUMBER(AL41),AL41+ROW()/1000000,"")</f>
        <v/>
      </c>
      <c r="AZ41">
        <f>IF(AND(ISNUMBER(AO41),AO41&gt;0),AO41+ROW()/1000000,"")</f>
        <v/>
      </c>
      <c r="BA41">
        <f>IF(AF41&gt;0,AF41+ROW()/1000000,"")</f>
        <v/>
      </c>
      <c r="BB41">
        <f>IF(AW41="","",ROW())</f>
        <v/>
      </c>
      <c r="BO41">
        <f>IFERROR(SMALL(DATA_TRANSPORT!$AC:$AC,39),"")</f>
        <v/>
      </c>
      <c r="BP41">
        <f>IF(BO41="","",INDEX(DATA_TRANSPORT!$E:$E,BO41))</f>
        <v/>
      </c>
      <c r="BQ41">
        <f>IF(BO41="","",INDEX(DATA_TRANSPORT!$C:$C,BO41))</f>
        <v/>
      </c>
      <c r="BR41">
        <f>IF(BO41="","",TRIM(INDEX(DATA_TRANSPORT!$G:$G,BO41)&amp;" "&amp;IF(INDEX(DATA_TRANSPORT!$H:$H,BO41)="","","(bus "&amp;INDEX(DATA_TRANSPORT!$H:$H,BO41)&amp;")")))</f>
        <v/>
      </c>
      <c r="BS41">
        <f>IF(BO41="","",IF(INDEX(DATA_TRANSPORT!$U:$U,BO41)="Breakdown","Breakdown",IF(INDEX(DATA_TRANSPORT!$W:$W,BO41)="","Needs more buses",INDEX(DATA_TRANSPORT!$W:$W,BO41))))</f>
        <v/>
      </c>
      <c r="BT41">
        <f>IF(BO41="","",INDEX(DATA_TRANSPORT!$X:$X,BO41)&amp;"")</f>
        <v/>
      </c>
    </row>
    <row r="42">
      <c r="A42" t="n">
        <v>21</v>
      </c>
      <c r="B42" s="170">
        <f>IF($B$10=0,"",$B$10-7*A42)</f>
        <v/>
      </c>
      <c r="C42">
        <f>IF(B42="","",MONTH(B42))</f>
        <v/>
      </c>
      <c r="D42">
        <f>IF(B42="","",ROUNDUP(MONTH(B42)/3,0))</f>
        <v/>
      </c>
      <c r="E42">
        <f>IF(B42="","",YEAR(B42))</f>
        <v/>
      </c>
      <c r="F42">
        <f>IF(B42="",0,COUNTIFS(DATA_TRANSPORT!$A:$A,B42,DATA_TRANSPORT!$E:$E,$B$6,DATA_TRANSPORT!$AB:$AB,$B$7))</f>
        <v/>
      </c>
      <c r="G42">
        <f>IF(F42=0,0,SUMIFS(DATA_TRANSPORT!$Q:$Q,DATA_TRANSPORT!$A:$A,B42,DATA_TRANSPORT!$E:$E,$B$6,DATA_TRANSPORT!$AB:$AB,$B$7))</f>
        <v/>
      </c>
      <c r="H42">
        <f>IF(F42=0,0,SUMIFS(DATA_TRANSPORT!$M:$M,DATA_TRANSPORT!$A:$A,B42,DATA_TRANSPORT!$E:$E,$B$6,DATA_TRANSPORT!$AB:$AB,$B$7))</f>
        <v/>
      </c>
      <c r="I42">
        <f>IF(F42=0,0,SUMIFS(DATA_TRANSPORT!$N:$N,DATA_TRANSPORT!$A:$A,B42,DATA_TRANSPORT!$E:$E,$B$6,DATA_TRANSPORT!$AB:$AB,$B$7))</f>
        <v/>
      </c>
      <c r="J42">
        <f>IF(F42=0,0,SUMIFS(DATA_TRANSPORT!$P:$P,DATA_TRANSPORT!$A:$A,B42,DATA_TRANSPORT!$E:$E,$B$6,DATA_TRANSPORT!$AB:$AB,$B$7))</f>
        <v/>
      </c>
      <c r="K42">
        <f>IF(F42=0,0,SUMIFS(DATA_TRANSPORT!$I:$I,DATA_TRANSPORT!$A:$A,B42,DATA_TRANSPORT!$E:$E,$B$6,DATA_TRANSPORT!$AB:$AB,$B$7))</f>
        <v/>
      </c>
      <c r="L42">
        <f>IF(F42=0,0,SUMIFS(DATA_TRANSPORT!$I:$I,DATA_TRANSPORT!$A:$A,B42,DATA_TRANSPORT!$E:$E,$B$6,DATA_TRANSPORT!$AB:$AB,$B$7,DATA_TRANSPORT!$U:$U,"Ran"))</f>
        <v/>
      </c>
      <c r="M42">
        <f>IF(F42=0,0,SUMIFS(DATA_TRANSPORT!$L:$L,DATA_TRANSPORT!$A:$A,B42,DATA_TRANSPORT!$E:$E,$B$6,DATA_TRANSPORT!$AB:$AB,$B$7))</f>
        <v/>
      </c>
      <c r="N42">
        <f>IF(F42=0,0,SUMIFS(DATA_TRANSPORT!$R:$R,DATA_TRANSPORT!$A:$A,B42,DATA_TRANSPORT!$E:$E,$B$6,DATA_TRANSPORT!$AB:$AB,$B$7))</f>
        <v/>
      </c>
      <c r="O42">
        <f>IF(F42=0,0,SUMIFS(DATA_TRANSPORT!$S:$S,DATA_TRANSPORT!$A:$A,B42,DATA_TRANSPORT!$E:$E,$B$6,DATA_TRANSPORT!$AB:$AB,$B$7))</f>
        <v/>
      </c>
      <c r="P42">
        <f>IF(OR(B42="",$B$17),0,SUMIFS(DATA_TRANSPORT_COSTS!$M:$M,DATA_TRANSPORT_COSTS!$A:$A,B42,DATA_TRANSPORT_COSTS!$D:$D,$B$6))</f>
        <v/>
      </c>
      <c r="Q42">
        <f>O42+P42</f>
        <v/>
      </c>
      <c r="R42">
        <f>P42+IF(F42=0,0,SUMIFS(DATA_TRANSPORT!$S:$S,DATA_TRANSPORT!$A:$A,B42,DATA_TRANSPORT!$E:$E,$B$6,DATA_TRANSPORT!$AB:$AB,$B$7,DATA_TRANSPORT!$T:$T,"Central"))</f>
        <v/>
      </c>
      <c r="S42">
        <f>IF(F42=0,0,SUMIFS(DATA_TRANSPORT!$S:$S,DATA_TRANSPORT!$A:$A,B42,DATA_TRANSPORT!$E:$E,$B$6,DATA_TRANSPORT!$AB:$AB,$B$7,DATA_TRANSPORT!$T:$T,"Members"))</f>
        <v/>
      </c>
      <c r="T42">
        <f>IF(OR(B42="",$B$17),0,SUMIFS(DATA_TRANSPORT_BUDGET!$G:$G,DATA_TRANSPORT_BUDGET!$A:$A,B42,DATA_TRANSPORT_BUDGET!$D:$D,$B$6))</f>
        <v/>
      </c>
      <c r="U42">
        <f>IF(F42=0,0,SUMIFS(DATA_TRANSPORT!$S:$S,DATA_TRANSPORT!$A:$A,B42,DATA_TRANSPORT!$E:$E,$B$6,DATA_TRANSPORT!$AB:$AB,$B$7,DATA_TRANSPORT!$C:$C,"FT Procured"))</f>
        <v/>
      </c>
      <c r="V42">
        <f>IF(F42=0,0,COUNTIFS(DATA_TRANSPORT!$A:$A,B42,DATA_TRANSPORT!$E:$E,$B$6,DATA_TRANSPORT!$AB:$AB,$B$7,DATA_TRANSPORT!$U:$U,"Breakdown"))</f>
        <v/>
      </c>
      <c r="W42">
        <f>IF(M42=0,0,N42/M42)</f>
        <v/>
      </c>
      <c r="X42">
        <f>IF(F42&gt;0,1,0)</f>
        <v/>
      </c>
      <c r="Y42">
        <f>IF(AND(A42&gt;=1,A42&lt;=$B$11),X42,0)</f>
        <v/>
      </c>
      <c r="Z42">
        <f>IF(AND(C42=$B$12,E42=$B$14),X42,0)</f>
        <v/>
      </c>
      <c r="AA42">
        <f>IF(AND(D42=$B$13,E42=$B$14),X42,0)</f>
        <v/>
      </c>
      <c r="AB42">
        <f>IF(E42=$B$14,X42,0)</f>
        <v/>
      </c>
      <c r="AE42">
        <f>IFERROR(INDEX(MASTER_AREAS!$B:$B,41)&amp;"","")</f>
        <v/>
      </c>
      <c r="AF42">
        <f>IF(OR(AE42="",$B$10=0),0,SUMIFS(DATA_TRANSPORT!$Q:$Q,DATA_TRANSPORT!$A:$A,$B$10,DATA_TRANSPORT!$E:$E,AE42))</f>
        <v/>
      </c>
      <c r="AG42">
        <f>IF(OR(AE42="",$B$10=0),0,SUMIFS(DATA_TRANSPORT!$I:$I,DATA_TRANSPORT!$A:$A,$B$10,DATA_TRANSPORT!$E:$E,AE42,DATA_TRANSPORT!$U:$U,"Ran"))</f>
        <v/>
      </c>
      <c r="AH42">
        <f>IF(OR(AE42="",$B$10=0),0,SUMIFS(DATA_TRANSPORT!$L:$L,DATA_TRANSPORT!$A:$A,$B$10,DATA_TRANSPORT!$E:$E,AE42))</f>
        <v/>
      </c>
      <c r="AI42">
        <f>IF(OR(AE42="",$B$10=0),0,SUMIFS(DATA_TRANSPORT!$R:$R,DATA_TRANSPORT!$A:$A,$B$10,DATA_TRANSPORT!$E:$E,AE42))</f>
        <v/>
      </c>
      <c r="AJ42">
        <f>IF(AH42=0,"",AI42/AH42)</f>
        <v/>
      </c>
      <c r="AK42">
        <f>IF(OR(AE42="",$B$10=0),0,SUMIFS(DATA_TRANSPORT!$S:$S,DATA_TRANSPORT!$A:$A,$B$10,DATA_TRANSPORT!$E:$E,AE42))+IF(OR(AE42="",$B$10=0),0,SUMIFS(DATA_TRANSPORT_COSTS!$M:$M,DATA_TRANSPORT_COSTS!$A:$A,$B$10,DATA_TRANSPORT_COSTS!$D:$D,AE42))</f>
        <v/>
      </c>
      <c r="AL42">
        <f>IF(OR(AF42=0,AK42=0),"",AK42/AF42)</f>
        <v/>
      </c>
      <c r="AM42">
        <f>IF(OR(AE42="",$B$10=0),0,SUMIFS(DATA_TRANSPORT!$S:$S,DATA_TRANSPORT!$A:$A,$B$10,DATA_TRANSPORT!$E:$E,AE42,DATA_TRANSPORT!$C:$C,"FT Procured"))</f>
        <v/>
      </c>
      <c r="AN42">
        <f>IF(OR(AE42="",$B$10=0),0,SUMIFS(DATA_TRANSPORT_BUDGET!$G:$G,DATA_TRANSPORT_BUDGET!$A:$A,$B$10,DATA_TRANSPORT_BUDGET!$D:$D,AE42))</f>
        <v/>
      </c>
      <c r="AO42">
        <f>IF(AN42=0,"",AM42-AN42)</f>
        <v/>
      </c>
      <c r="AP42">
        <f>IF(OR(AE42="",$B$10=0),0,COUNTIFS(DATA_TRANSPORT!$A:$A,$B$10,DATA_TRANSPORT!$E:$E,AE42,DATA_TRANSPORT!$C:$C,"FT Procured",DATA_TRANSPORT!$Y:$Y,"Y"))</f>
        <v/>
      </c>
      <c r="AQ42">
        <f>IF(OR(AE42="",$B$10=0),0,SUMIFS(DATA_TRANSPORT_BUDGET!$E:$E,DATA_TRANSPORT_BUDGET!$A:$A,$B$10,DATA_TRANSPORT_BUDGET!$D:$D,AE42))</f>
        <v/>
      </c>
      <c r="AR42">
        <f>IF(OR(AE42="",$B$10=0),0,COUNTIFS(DATA_TRANSPORT!$A:$A,$B$10,DATA_TRANSPORT!$E:$E,AE42,DATA_TRANSPORT!$U:$U,"Breakdown"))</f>
        <v/>
      </c>
      <c r="AS42">
        <f>IF(IF(OR(AE42="",$B$10=0),0,SUMIFS(DATA_TRANSPORT!$L:$L,DATA_TRANSPORT!$A:$A,$B$10-7,DATA_TRANSPORT!$E:$E,AE42))=0,"",IF(OR(AE42="",$B$10=0),0,SUMIFS(DATA_TRANSPORT!$R:$R,DATA_TRANSPORT!$A:$A,$B$10-7,DATA_TRANSPORT!$E:$E,AE42))/IF(OR(AE42="",$B$10=0),0,SUMIFS(DATA_TRANSPORT!$L:$L,DATA_TRANSPORT!$A:$A,$B$10-7,DATA_TRANSPORT!$E:$E,AE42)))</f>
        <v/>
      </c>
      <c r="AT42">
        <f>IF(IF(OR(AE42="",$B$10=0),0,SUMIFS(DATA_TRANSPORT!$L:$L,DATA_TRANSPORT!$A:$A,$B$10-14,DATA_TRANSPORT!$E:$E,AE42))=0,"",IF(OR(AE42="",$B$10=0),0,SUMIFS(DATA_TRANSPORT!$R:$R,DATA_TRANSPORT!$A:$A,$B$10-14,DATA_TRANSPORT!$E:$E,AE42))/IF(OR(AE42="",$B$10=0),0,SUMIFS(DATA_TRANSPORT!$L:$L,DATA_TRANSPORT!$A:$A,$B$10-14,DATA_TRANSPORT!$E:$E,AE42)))</f>
        <v/>
      </c>
      <c r="AU42">
        <f>IF(IF(OR(AE42="",$B$10=0),0,SUMIFS(DATA_TRANSPORT!$L:$L,DATA_TRANSPORT!$A:$A,$B$10-21,DATA_TRANSPORT!$E:$E,AE42))=0,"",IF(OR(AE42="",$B$10=0),0,SUMIFS(DATA_TRANSPORT!$R:$R,DATA_TRANSPORT!$A:$A,$B$10-21,DATA_TRANSPORT!$E:$E,AE42))/IF(OR(AE42="",$B$10=0),0,SUMIFS(DATA_TRANSPORT!$L:$L,DATA_TRANSPORT!$A:$A,$B$10-21,DATA_TRANSPORT!$E:$E,AE42)))</f>
        <v/>
      </c>
      <c r="AV42">
        <f>IF(AND(ISNUMBER(AJ42),AJ42&lt;UtilLow),1,0)+IF(AND(ISNUMBER(AS42),AS42&lt;UtilLow),1,0)+IF(AND(ISNUMBER(AT42),AT42&lt;UtilLow),1,0)+IF(AND(ISNUMBER(AU42),AU42&lt;UtilLow),1,0)</f>
        <v/>
      </c>
      <c r="AW42">
        <f>IF(AV42&gt;=UtilLowWeeks,AE42&amp;": seats only "&amp;TEXT(AJ42,"0%")&amp;" full, under "&amp;TEXT(UtilLow,"0%")&amp;" for "&amp;AV42&amp;" weeks running",IF(AND(ISNUMBER(AJ42),AJ42&gt;UtilHigh),AE42&amp;": demand exceeds seats ("&amp;TEXT(AJ42,"0%")&amp;" full) — consider more buses",IF(AND(ISNUMBER(AO42),AO42&gt;0),AE42&amp;": FT spend ₦"&amp;TEXT(AO42,"#,##0")&amp;" over the weekly budget",IF(AR42&gt;0,AE42&amp;": "&amp;AR42&amp;" coaster breakdown(s) this week",""))))</f>
        <v/>
      </c>
      <c r="AX42">
        <f>IF(ISNUMBER(AJ42),AJ42+ROW()/1000000000,"")</f>
        <v/>
      </c>
      <c r="AY42">
        <f>IF(ISNUMBER(AL42),AL42+ROW()/1000000,"")</f>
        <v/>
      </c>
      <c r="AZ42">
        <f>IF(AND(ISNUMBER(AO42),AO42&gt;0),AO42+ROW()/1000000,"")</f>
        <v/>
      </c>
      <c r="BA42">
        <f>IF(AF42&gt;0,AF42+ROW()/1000000,"")</f>
        <v/>
      </c>
      <c r="BB42">
        <f>IF(AW42="","",ROW())</f>
        <v/>
      </c>
      <c r="BO42">
        <f>IFERROR(SMALL(DATA_TRANSPORT!$AC:$AC,40),"")</f>
        <v/>
      </c>
      <c r="BP42">
        <f>IF(BO42="","",INDEX(DATA_TRANSPORT!$E:$E,BO42))</f>
        <v/>
      </c>
      <c r="BQ42">
        <f>IF(BO42="","",INDEX(DATA_TRANSPORT!$C:$C,BO42))</f>
        <v/>
      </c>
      <c r="BR42">
        <f>IF(BO42="","",TRIM(INDEX(DATA_TRANSPORT!$G:$G,BO42)&amp;" "&amp;IF(INDEX(DATA_TRANSPORT!$H:$H,BO42)="","","(bus "&amp;INDEX(DATA_TRANSPORT!$H:$H,BO42)&amp;")")))</f>
        <v/>
      </c>
      <c r="BS42">
        <f>IF(BO42="","",IF(INDEX(DATA_TRANSPORT!$U:$U,BO42)="Breakdown","Breakdown",IF(INDEX(DATA_TRANSPORT!$W:$W,BO42)="","Needs more buses",INDEX(DATA_TRANSPORT!$W:$W,BO42))))</f>
        <v/>
      </c>
      <c r="BT42">
        <f>IF(BO42="","",INDEX(DATA_TRANSPORT!$X:$X,BO42)&amp;"")</f>
        <v/>
      </c>
    </row>
    <row r="43">
      <c r="A43" t="n">
        <v>22</v>
      </c>
      <c r="B43" s="170">
        <f>IF($B$10=0,"",$B$10-7*A43)</f>
        <v/>
      </c>
      <c r="C43">
        <f>IF(B43="","",MONTH(B43))</f>
        <v/>
      </c>
      <c r="D43">
        <f>IF(B43="","",ROUNDUP(MONTH(B43)/3,0))</f>
        <v/>
      </c>
      <c r="E43">
        <f>IF(B43="","",YEAR(B43))</f>
        <v/>
      </c>
      <c r="F43">
        <f>IF(B43="",0,COUNTIFS(DATA_TRANSPORT!$A:$A,B43,DATA_TRANSPORT!$E:$E,$B$6,DATA_TRANSPORT!$AB:$AB,$B$7))</f>
        <v/>
      </c>
      <c r="G43">
        <f>IF(F43=0,0,SUMIFS(DATA_TRANSPORT!$Q:$Q,DATA_TRANSPORT!$A:$A,B43,DATA_TRANSPORT!$E:$E,$B$6,DATA_TRANSPORT!$AB:$AB,$B$7))</f>
        <v/>
      </c>
      <c r="H43">
        <f>IF(F43=0,0,SUMIFS(DATA_TRANSPORT!$M:$M,DATA_TRANSPORT!$A:$A,B43,DATA_TRANSPORT!$E:$E,$B$6,DATA_TRANSPORT!$AB:$AB,$B$7))</f>
        <v/>
      </c>
      <c r="I43">
        <f>IF(F43=0,0,SUMIFS(DATA_TRANSPORT!$N:$N,DATA_TRANSPORT!$A:$A,B43,DATA_TRANSPORT!$E:$E,$B$6,DATA_TRANSPORT!$AB:$AB,$B$7))</f>
        <v/>
      </c>
      <c r="J43">
        <f>IF(F43=0,0,SUMIFS(DATA_TRANSPORT!$P:$P,DATA_TRANSPORT!$A:$A,B43,DATA_TRANSPORT!$E:$E,$B$6,DATA_TRANSPORT!$AB:$AB,$B$7))</f>
        <v/>
      </c>
      <c r="K43">
        <f>IF(F43=0,0,SUMIFS(DATA_TRANSPORT!$I:$I,DATA_TRANSPORT!$A:$A,B43,DATA_TRANSPORT!$E:$E,$B$6,DATA_TRANSPORT!$AB:$AB,$B$7))</f>
        <v/>
      </c>
      <c r="L43">
        <f>IF(F43=0,0,SUMIFS(DATA_TRANSPORT!$I:$I,DATA_TRANSPORT!$A:$A,B43,DATA_TRANSPORT!$E:$E,$B$6,DATA_TRANSPORT!$AB:$AB,$B$7,DATA_TRANSPORT!$U:$U,"Ran"))</f>
        <v/>
      </c>
      <c r="M43">
        <f>IF(F43=0,0,SUMIFS(DATA_TRANSPORT!$L:$L,DATA_TRANSPORT!$A:$A,B43,DATA_TRANSPORT!$E:$E,$B$6,DATA_TRANSPORT!$AB:$AB,$B$7))</f>
        <v/>
      </c>
      <c r="N43">
        <f>IF(F43=0,0,SUMIFS(DATA_TRANSPORT!$R:$R,DATA_TRANSPORT!$A:$A,B43,DATA_TRANSPORT!$E:$E,$B$6,DATA_TRANSPORT!$AB:$AB,$B$7))</f>
        <v/>
      </c>
      <c r="O43">
        <f>IF(F43=0,0,SUMIFS(DATA_TRANSPORT!$S:$S,DATA_TRANSPORT!$A:$A,B43,DATA_TRANSPORT!$E:$E,$B$6,DATA_TRANSPORT!$AB:$AB,$B$7))</f>
        <v/>
      </c>
      <c r="P43">
        <f>IF(OR(B43="",$B$17),0,SUMIFS(DATA_TRANSPORT_COSTS!$M:$M,DATA_TRANSPORT_COSTS!$A:$A,B43,DATA_TRANSPORT_COSTS!$D:$D,$B$6))</f>
        <v/>
      </c>
      <c r="Q43">
        <f>O43+P43</f>
        <v/>
      </c>
      <c r="R43">
        <f>P43+IF(F43=0,0,SUMIFS(DATA_TRANSPORT!$S:$S,DATA_TRANSPORT!$A:$A,B43,DATA_TRANSPORT!$E:$E,$B$6,DATA_TRANSPORT!$AB:$AB,$B$7,DATA_TRANSPORT!$T:$T,"Central"))</f>
        <v/>
      </c>
      <c r="S43">
        <f>IF(F43=0,0,SUMIFS(DATA_TRANSPORT!$S:$S,DATA_TRANSPORT!$A:$A,B43,DATA_TRANSPORT!$E:$E,$B$6,DATA_TRANSPORT!$AB:$AB,$B$7,DATA_TRANSPORT!$T:$T,"Members"))</f>
        <v/>
      </c>
      <c r="T43">
        <f>IF(OR(B43="",$B$17),0,SUMIFS(DATA_TRANSPORT_BUDGET!$G:$G,DATA_TRANSPORT_BUDGET!$A:$A,B43,DATA_TRANSPORT_BUDGET!$D:$D,$B$6))</f>
        <v/>
      </c>
      <c r="U43">
        <f>IF(F43=0,0,SUMIFS(DATA_TRANSPORT!$S:$S,DATA_TRANSPORT!$A:$A,B43,DATA_TRANSPORT!$E:$E,$B$6,DATA_TRANSPORT!$AB:$AB,$B$7,DATA_TRANSPORT!$C:$C,"FT Procured"))</f>
        <v/>
      </c>
      <c r="V43">
        <f>IF(F43=0,0,COUNTIFS(DATA_TRANSPORT!$A:$A,B43,DATA_TRANSPORT!$E:$E,$B$6,DATA_TRANSPORT!$AB:$AB,$B$7,DATA_TRANSPORT!$U:$U,"Breakdown"))</f>
        <v/>
      </c>
      <c r="W43">
        <f>IF(M43=0,0,N43/M43)</f>
        <v/>
      </c>
      <c r="X43">
        <f>IF(F43&gt;0,1,0)</f>
        <v/>
      </c>
      <c r="Y43">
        <f>IF(AND(A43&gt;=1,A43&lt;=$B$11),X43,0)</f>
        <v/>
      </c>
      <c r="Z43">
        <f>IF(AND(C43=$B$12,E43=$B$14),X43,0)</f>
        <v/>
      </c>
      <c r="AA43">
        <f>IF(AND(D43=$B$13,E43=$B$14),X43,0)</f>
        <v/>
      </c>
      <c r="AB43">
        <f>IF(E43=$B$14,X43,0)</f>
        <v/>
      </c>
      <c r="AE43">
        <f>IFERROR(INDEX(MASTER_AREAS!$B:$B,42)&amp;"","")</f>
        <v/>
      </c>
      <c r="AF43">
        <f>IF(OR(AE43="",$B$10=0),0,SUMIFS(DATA_TRANSPORT!$Q:$Q,DATA_TRANSPORT!$A:$A,$B$10,DATA_TRANSPORT!$E:$E,AE43))</f>
        <v/>
      </c>
      <c r="AG43">
        <f>IF(OR(AE43="",$B$10=0),0,SUMIFS(DATA_TRANSPORT!$I:$I,DATA_TRANSPORT!$A:$A,$B$10,DATA_TRANSPORT!$E:$E,AE43,DATA_TRANSPORT!$U:$U,"Ran"))</f>
        <v/>
      </c>
      <c r="AH43">
        <f>IF(OR(AE43="",$B$10=0),0,SUMIFS(DATA_TRANSPORT!$L:$L,DATA_TRANSPORT!$A:$A,$B$10,DATA_TRANSPORT!$E:$E,AE43))</f>
        <v/>
      </c>
      <c r="AI43">
        <f>IF(OR(AE43="",$B$10=0),0,SUMIFS(DATA_TRANSPORT!$R:$R,DATA_TRANSPORT!$A:$A,$B$10,DATA_TRANSPORT!$E:$E,AE43))</f>
        <v/>
      </c>
      <c r="AJ43">
        <f>IF(AH43=0,"",AI43/AH43)</f>
        <v/>
      </c>
      <c r="AK43">
        <f>IF(OR(AE43="",$B$10=0),0,SUMIFS(DATA_TRANSPORT!$S:$S,DATA_TRANSPORT!$A:$A,$B$10,DATA_TRANSPORT!$E:$E,AE43))+IF(OR(AE43="",$B$10=0),0,SUMIFS(DATA_TRANSPORT_COSTS!$M:$M,DATA_TRANSPORT_COSTS!$A:$A,$B$10,DATA_TRANSPORT_COSTS!$D:$D,AE43))</f>
        <v/>
      </c>
      <c r="AL43">
        <f>IF(OR(AF43=0,AK43=0),"",AK43/AF43)</f>
        <v/>
      </c>
      <c r="AM43">
        <f>IF(OR(AE43="",$B$10=0),0,SUMIFS(DATA_TRANSPORT!$S:$S,DATA_TRANSPORT!$A:$A,$B$10,DATA_TRANSPORT!$E:$E,AE43,DATA_TRANSPORT!$C:$C,"FT Procured"))</f>
        <v/>
      </c>
      <c r="AN43">
        <f>IF(OR(AE43="",$B$10=0),0,SUMIFS(DATA_TRANSPORT_BUDGET!$G:$G,DATA_TRANSPORT_BUDGET!$A:$A,$B$10,DATA_TRANSPORT_BUDGET!$D:$D,AE43))</f>
        <v/>
      </c>
      <c r="AO43">
        <f>IF(AN43=0,"",AM43-AN43)</f>
        <v/>
      </c>
      <c r="AP43">
        <f>IF(OR(AE43="",$B$10=0),0,COUNTIFS(DATA_TRANSPORT!$A:$A,$B$10,DATA_TRANSPORT!$E:$E,AE43,DATA_TRANSPORT!$C:$C,"FT Procured",DATA_TRANSPORT!$Y:$Y,"Y"))</f>
        <v/>
      </c>
      <c r="AQ43">
        <f>IF(OR(AE43="",$B$10=0),0,SUMIFS(DATA_TRANSPORT_BUDGET!$E:$E,DATA_TRANSPORT_BUDGET!$A:$A,$B$10,DATA_TRANSPORT_BUDGET!$D:$D,AE43))</f>
        <v/>
      </c>
      <c r="AR43">
        <f>IF(OR(AE43="",$B$10=0),0,COUNTIFS(DATA_TRANSPORT!$A:$A,$B$10,DATA_TRANSPORT!$E:$E,AE43,DATA_TRANSPORT!$U:$U,"Breakdown"))</f>
        <v/>
      </c>
      <c r="AS43">
        <f>IF(IF(OR(AE43="",$B$10=0),0,SUMIFS(DATA_TRANSPORT!$L:$L,DATA_TRANSPORT!$A:$A,$B$10-7,DATA_TRANSPORT!$E:$E,AE43))=0,"",IF(OR(AE43="",$B$10=0),0,SUMIFS(DATA_TRANSPORT!$R:$R,DATA_TRANSPORT!$A:$A,$B$10-7,DATA_TRANSPORT!$E:$E,AE43))/IF(OR(AE43="",$B$10=0),0,SUMIFS(DATA_TRANSPORT!$L:$L,DATA_TRANSPORT!$A:$A,$B$10-7,DATA_TRANSPORT!$E:$E,AE43)))</f>
        <v/>
      </c>
      <c r="AT43">
        <f>IF(IF(OR(AE43="",$B$10=0),0,SUMIFS(DATA_TRANSPORT!$L:$L,DATA_TRANSPORT!$A:$A,$B$10-14,DATA_TRANSPORT!$E:$E,AE43))=0,"",IF(OR(AE43="",$B$10=0),0,SUMIFS(DATA_TRANSPORT!$R:$R,DATA_TRANSPORT!$A:$A,$B$10-14,DATA_TRANSPORT!$E:$E,AE43))/IF(OR(AE43="",$B$10=0),0,SUMIFS(DATA_TRANSPORT!$L:$L,DATA_TRANSPORT!$A:$A,$B$10-14,DATA_TRANSPORT!$E:$E,AE43)))</f>
        <v/>
      </c>
      <c r="AU43">
        <f>IF(IF(OR(AE43="",$B$10=0),0,SUMIFS(DATA_TRANSPORT!$L:$L,DATA_TRANSPORT!$A:$A,$B$10-21,DATA_TRANSPORT!$E:$E,AE43))=0,"",IF(OR(AE43="",$B$10=0),0,SUMIFS(DATA_TRANSPORT!$R:$R,DATA_TRANSPORT!$A:$A,$B$10-21,DATA_TRANSPORT!$E:$E,AE43))/IF(OR(AE43="",$B$10=0),0,SUMIFS(DATA_TRANSPORT!$L:$L,DATA_TRANSPORT!$A:$A,$B$10-21,DATA_TRANSPORT!$E:$E,AE43)))</f>
        <v/>
      </c>
      <c r="AV43">
        <f>IF(AND(ISNUMBER(AJ43),AJ43&lt;UtilLow),1,0)+IF(AND(ISNUMBER(AS43),AS43&lt;UtilLow),1,0)+IF(AND(ISNUMBER(AT43),AT43&lt;UtilLow),1,0)+IF(AND(ISNUMBER(AU43),AU43&lt;UtilLow),1,0)</f>
        <v/>
      </c>
      <c r="AW43">
        <f>IF(AV43&gt;=UtilLowWeeks,AE43&amp;": seats only "&amp;TEXT(AJ43,"0%")&amp;" full, under "&amp;TEXT(UtilLow,"0%")&amp;" for "&amp;AV43&amp;" weeks running",IF(AND(ISNUMBER(AJ43),AJ43&gt;UtilHigh),AE43&amp;": demand exceeds seats ("&amp;TEXT(AJ43,"0%")&amp;" full) — consider more buses",IF(AND(ISNUMBER(AO43),AO43&gt;0),AE43&amp;": FT spend ₦"&amp;TEXT(AO43,"#,##0")&amp;" over the weekly budget",IF(AR43&gt;0,AE43&amp;": "&amp;AR43&amp;" coaster breakdown(s) this week",""))))</f>
        <v/>
      </c>
      <c r="AX43">
        <f>IF(ISNUMBER(AJ43),AJ43+ROW()/1000000000,"")</f>
        <v/>
      </c>
      <c r="AY43">
        <f>IF(ISNUMBER(AL43),AL43+ROW()/1000000,"")</f>
        <v/>
      </c>
      <c r="AZ43">
        <f>IF(AND(ISNUMBER(AO43),AO43&gt;0),AO43+ROW()/1000000,"")</f>
        <v/>
      </c>
      <c r="BA43">
        <f>IF(AF43&gt;0,AF43+ROW()/1000000,"")</f>
        <v/>
      </c>
      <c r="BB43">
        <f>IF(AW43="","",ROW())</f>
        <v/>
      </c>
    </row>
    <row r="44">
      <c r="A44" t="n">
        <v>23</v>
      </c>
      <c r="B44" s="170">
        <f>IF($B$10=0,"",$B$10-7*A44)</f>
        <v/>
      </c>
      <c r="C44">
        <f>IF(B44="","",MONTH(B44))</f>
        <v/>
      </c>
      <c r="D44">
        <f>IF(B44="","",ROUNDUP(MONTH(B44)/3,0))</f>
        <v/>
      </c>
      <c r="E44">
        <f>IF(B44="","",YEAR(B44))</f>
        <v/>
      </c>
      <c r="F44">
        <f>IF(B44="",0,COUNTIFS(DATA_TRANSPORT!$A:$A,B44,DATA_TRANSPORT!$E:$E,$B$6,DATA_TRANSPORT!$AB:$AB,$B$7))</f>
        <v/>
      </c>
      <c r="G44">
        <f>IF(F44=0,0,SUMIFS(DATA_TRANSPORT!$Q:$Q,DATA_TRANSPORT!$A:$A,B44,DATA_TRANSPORT!$E:$E,$B$6,DATA_TRANSPORT!$AB:$AB,$B$7))</f>
        <v/>
      </c>
      <c r="H44">
        <f>IF(F44=0,0,SUMIFS(DATA_TRANSPORT!$M:$M,DATA_TRANSPORT!$A:$A,B44,DATA_TRANSPORT!$E:$E,$B$6,DATA_TRANSPORT!$AB:$AB,$B$7))</f>
        <v/>
      </c>
      <c r="I44">
        <f>IF(F44=0,0,SUMIFS(DATA_TRANSPORT!$N:$N,DATA_TRANSPORT!$A:$A,B44,DATA_TRANSPORT!$E:$E,$B$6,DATA_TRANSPORT!$AB:$AB,$B$7))</f>
        <v/>
      </c>
      <c r="J44">
        <f>IF(F44=0,0,SUMIFS(DATA_TRANSPORT!$P:$P,DATA_TRANSPORT!$A:$A,B44,DATA_TRANSPORT!$E:$E,$B$6,DATA_TRANSPORT!$AB:$AB,$B$7))</f>
        <v/>
      </c>
      <c r="K44">
        <f>IF(F44=0,0,SUMIFS(DATA_TRANSPORT!$I:$I,DATA_TRANSPORT!$A:$A,B44,DATA_TRANSPORT!$E:$E,$B$6,DATA_TRANSPORT!$AB:$AB,$B$7))</f>
        <v/>
      </c>
      <c r="L44">
        <f>IF(F44=0,0,SUMIFS(DATA_TRANSPORT!$I:$I,DATA_TRANSPORT!$A:$A,B44,DATA_TRANSPORT!$E:$E,$B$6,DATA_TRANSPORT!$AB:$AB,$B$7,DATA_TRANSPORT!$U:$U,"Ran"))</f>
        <v/>
      </c>
      <c r="M44">
        <f>IF(F44=0,0,SUMIFS(DATA_TRANSPORT!$L:$L,DATA_TRANSPORT!$A:$A,B44,DATA_TRANSPORT!$E:$E,$B$6,DATA_TRANSPORT!$AB:$AB,$B$7))</f>
        <v/>
      </c>
      <c r="N44">
        <f>IF(F44=0,0,SUMIFS(DATA_TRANSPORT!$R:$R,DATA_TRANSPORT!$A:$A,B44,DATA_TRANSPORT!$E:$E,$B$6,DATA_TRANSPORT!$AB:$AB,$B$7))</f>
        <v/>
      </c>
      <c r="O44">
        <f>IF(F44=0,0,SUMIFS(DATA_TRANSPORT!$S:$S,DATA_TRANSPORT!$A:$A,B44,DATA_TRANSPORT!$E:$E,$B$6,DATA_TRANSPORT!$AB:$AB,$B$7))</f>
        <v/>
      </c>
      <c r="P44">
        <f>IF(OR(B44="",$B$17),0,SUMIFS(DATA_TRANSPORT_COSTS!$M:$M,DATA_TRANSPORT_COSTS!$A:$A,B44,DATA_TRANSPORT_COSTS!$D:$D,$B$6))</f>
        <v/>
      </c>
      <c r="Q44">
        <f>O44+P44</f>
        <v/>
      </c>
      <c r="R44">
        <f>P44+IF(F44=0,0,SUMIFS(DATA_TRANSPORT!$S:$S,DATA_TRANSPORT!$A:$A,B44,DATA_TRANSPORT!$E:$E,$B$6,DATA_TRANSPORT!$AB:$AB,$B$7,DATA_TRANSPORT!$T:$T,"Central"))</f>
        <v/>
      </c>
      <c r="S44">
        <f>IF(F44=0,0,SUMIFS(DATA_TRANSPORT!$S:$S,DATA_TRANSPORT!$A:$A,B44,DATA_TRANSPORT!$E:$E,$B$6,DATA_TRANSPORT!$AB:$AB,$B$7,DATA_TRANSPORT!$T:$T,"Members"))</f>
        <v/>
      </c>
      <c r="T44">
        <f>IF(OR(B44="",$B$17),0,SUMIFS(DATA_TRANSPORT_BUDGET!$G:$G,DATA_TRANSPORT_BUDGET!$A:$A,B44,DATA_TRANSPORT_BUDGET!$D:$D,$B$6))</f>
        <v/>
      </c>
      <c r="U44">
        <f>IF(F44=0,0,SUMIFS(DATA_TRANSPORT!$S:$S,DATA_TRANSPORT!$A:$A,B44,DATA_TRANSPORT!$E:$E,$B$6,DATA_TRANSPORT!$AB:$AB,$B$7,DATA_TRANSPORT!$C:$C,"FT Procured"))</f>
        <v/>
      </c>
      <c r="V44">
        <f>IF(F44=0,0,COUNTIFS(DATA_TRANSPORT!$A:$A,B44,DATA_TRANSPORT!$E:$E,$B$6,DATA_TRANSPORT!$AB:$AB,$B$7,DATA_TRANSPORT!$U:$U,"Breakdown"))</f>
        <v/>
      </c>
      <c r="W44">
        <f>IF(M44=0,0,N44/M44)</f>
        <v/>
      </c>
      <c r="X44">
        <f>IF(F44&gt;0,1,0)</f>
        <v/>
      </c>
      <c r="Y44">
        <f>IF(AND(A44&gt;=1,A44&lt;=$B$11),X44,0)</f>
        <v/>
      </c>
      <c r="Z44">
        <f>IF(AND(C44=$B$12,E44=$B$14),X44,0)</f>
        <v/>
      </c>
      <c r="AA44">
        <f>IF(AND(D44=$B$13,E44=$B$14),X44,0)</f>
        <v/>
      </c>
      <c r="AB44">
        <f>IF(E44=$B$14,X44,0)</f>
        <v/>
      </c>
      <c r="AE44">
        <f>IFERROR(INDEX(MASTER_AREAS!$B:$B,43)&amp;"","")</f>
        <v/>
      </c>
      <c r="AF44">
        <f>IF(OR(AE44="",$B$10=0),0,SUMIFS(DATA_TRANSPORT!$Q:$Q,DATA_TRANSPORT!$A:$A,$B$10,DATA_TRANSPORT!$E:$E,AE44))</f>
        <v/>
      </c>
      <c r="AG44">
        <f>IF(OR(AE44="",$B$10=0),0,SUMIFS(DATA_TRANSPORT!$I:$I,DATA_TRANSPORT!$A:$A,$B$10,DATA_TRANSPORT!$E:$E,AE44,DATA_TRANSPORT!$U:$U,"Ran"))</f>
        <v/>
      </c>
      <c r="AH44">
        <f>IF(OR(AE44="",$B$10=0),0,SUMIFS(DATA_TRANSPORT!$L:$L,DATA_TRANSPORT!$A:$A,$B$10,DATA_TRANSPORT!$E:$E,AE44))</f>
        <v/>
      </c>
      <c r="AI44">
        <f>IF(OR(AE44="",$B$10=0),0,SUMIFS(DATA_TRANSPORT!$R:$R,DATA_TRANSPORT!$A:$A,$B$10,DATA_TRANSPORT!$E:$E,AE44))</f>
        <v/>
      </c>
      <c r="AJ44">
        <f>IF(AH44=0,"",AI44/AH44)</f>
        <v/>
      </c>
      <c r="AK44">
        <f>IF(OR(AE44="",$B$10=0),0,SUMIFS(DATA_TRANSPORT!$S:$S,DATA_TRANSPORT!$A:$A,$B$10,DATA_TRANSPORT!$E:$E,AE44))+IF(OR(AE44="",$B$10=0),0,SUMIFS(DATA_TRANSPORT_COSTS!$M:$M,DATA_TRANSPORT_COSTS!$A:$A,$B$10,DATA_TRANSPORT_COSTS!$D:$D,AE44))</f>
        <v/>
      </c>
      <c r="AL44">
        <f>IF(OR(AF44=0,AK44=0),"",AK44/AF44)</f>
        <v/>
      </c>
      <c r="AM44">
        <f>IF(OR(AE44="",$B$10=0),0,SUMIFS(DATA_TRANSPORT!$S:$S,DATA_TRANSPORT!$A:$A,$B$10,DATA_TRANSPORT!$E:$E,AE44,DATA_TRANSPORT!$C:$C,"FT Procured"))</f>
        <v/>
      </c>
      <c r="AN44">
        <f>IF(OR(AE44="",$B$10=0),0,SUMIFS(DATA_TRANSPORT_BUDGET!$G:$G,DATA_TRANSPORT_BUDGET!$A:$A,$B$10,DATA_TRANSPORT_BUDGET!$D:$D,AE44))</f>
        <v/>
      </c>
      <c r="AO44">
        <f>IF(AN44=0,"",AM44-AN44)</f>
        <v/>
      </c>
      <c r="AP44">
        <f>IF(OR(AE44="",$B$10=0),0,COUNTIFS(DATA_TRANSPORT!$A:$A,$B$10,DATA_TRANSPORT!$E:$E,AE44,DATA_TRANSPORT!$C:$C,"FT Procured",DATA_TRANSPORT!$Y:$Y,"Y"))</f>
        <v/>
      </c>
      <c r="AQ44">
        <f>IF(OR(AE44="",$B$10=0),0,SUMIFS(DATA_TRANSPORT_BUDGET!$E:$E,DATA_TRANSPORT_BUDGET!$A:$A,$B$10,DATA_TRANSPORT_BUDGET!$D:$D,AE44))</f>
        <v/>
      </c>
      <c r="AR44">
        <f>IF(OR(AE44="",$B$10=0),0,COUNTIFS(DATA_TRANSPORT!$A:$A,$B$10,DATA_TRANSPORT!$E:$E,AE44,DATA_TRANSPORT!$U:$U,"Breakdown"))</f>
        <v/>
      </c>
      <c r="AS44">
        <f>IF(IF(OR(AE44="",$B$10=0),0,SUMIFS(DATA_TRANSPORT!$L:$L,DATA_TRANSPORT!$A:$A,$B$10-7,DATA_TRANSPORT!$E:$E,AE44))=0,"",IF(OR(AE44="",$B$10=0),0,SUMIFS(DATA_TRANSPORT!$R:$R,DATA_TRANSPORT!$A:$A,$B$10-7,DATA_TRANSPORT!$E:$E,AE44))/IF(OR(AE44="",$B$10=0),0,SUMIFS(DATA_TRANSPORT!$L:$L,DATA_TRANSPORT!$A:$A,$B$10-7,DATA_TRANSPORT!$E:$E,AE44)))</f>
        <v/>
      </c>
      <c r="AT44">
        <f>IF(IF(OR(AE44="",$B$10=0),0,SUMIFS(DATA_TRANSPORT!$L:$L,DATA_TRANSPORT!$A:$A,$B$10-14,DATA_TRANSPORT!$E:$E,AE44))=0,"",IF(OR(AE44="",$B$10=0),0,SUMIFS(DATA_TRANSPORT!$R:$R,DATA_TRANSPORT!$A:$A,$B$10-14,DATA_TRANSPORT!$E:$E,AE44))/IF(OR(AE44="",$B$10=0),0,SUMIFS(DATA_TRANSPORT!$L:$L,DATA_TRANSPORT!$A:$A,$B$10-14,DATA_TRANSPORT!$E:$E,AE44)))</f>
        <v/>
      </c>
      <c r="AU44">
        <f>IF(IF(OR(AE44="",$B$10=0),0,SUMIFS(DATA_TRANSPORT!$L:$L,DATA_TRANSPORT!$A:$A,$B$10-21,DATA_TRANSPORT!$E:$E,AE44))=0,"",IF(OR(AE44="",$B$10=0),0,SUMIFS(DATA_TRANSPORT!$R:$R,DATA_TRANSPORT!$A:$A,$B$10-21,DATA_TRANSPORT!$E:$E,AE44))/IF(OR(AE44="",$B$10=0),0,SUMIFS(DATA_TRANSPORT!$L:$L,DATA_TRANSPORT!$A:$A,$B$10-21,DATA_TRANSPORT!$E:$E,AE44)))</f>
        <v/>
      </c>
      <c r="AV44">
        <f>IF(AND(ISNUMBER(AJ44),AJ44&lt;UtilLow),1,0)+IF(AND(ISNUMBER(AS44),AS44&lt;UtilLow),1,0)+IF(AND(ISNUMBER(AT44),AT44&lt;UtilLow),1,0)+IF(AND(ISNUMBER(AU44),AU44&lt;UtilLow),1,0)</f>
        <v/>
      </c>
      <c r="AW44">
        <f>IF(AV44&gt;=UtilLowWeeks,AE44&amp;": seats only "&amp;TEXT(AJ44,"0%")&amp;" full, under "&amp;TEXT(UtilLow,"0%")&amp;" for "&amp;AV44&amp;" weeks running",IF(AND(ISNUMBER(AJ44),AJ44&gt;UtilHigh),AE44&amp;": demand exceeds seats ("&amp;TEXT(AJ44,"0%")&amp;" full) — consider more buses",IF(AND(ISNUMBER(AO44),AO44&gt;0),AE44&amp;": FT spend ₦"&amp;TEXT(AO44,"#,##0")&amp;" over the weekly budget",IF(AR44&gt;0,AE44&amp;": "&amp;AR44&amp;" coaster breakdown(s) this week",""))))</f>
        <v/>
      </c>
      <c r="AX44">
        <f>IF(ISNUMBER(AJ44),AJ44+ROW()/1000000000,"")</f>
        <v/>
      </c>
      <c r="AY44">
        <f>IF(ISNUMBER(AL44),AL44+ROW()/1000000,"")</f>
        <v/>
      </c>
      <c r="AZ44">
        <f>IF(AND(ISNUMBER(AO44),AO44&gt;0),AO44+ROW()/1000000,"")</f>
        <v/>
      </c>
      <c r="BA44">
        <f>IF(AF44&gt;0,AF44+ROW()/1000000,"")</f>
        <v/>
      </c>
      <c r="BB44">
        <f>IF(AW44="","",ROW())</f>
        <v/>
      </c>
    </row>
    <row r="45">
      <c r="A45" t="n">
        <v>24</v>
      </c>
      <c r="B45" s="170">
        <f>IF($B$10=0,"",$B$10-7*A45)</f>
        <v/>
      </c>
      <c r="C45">
        <f>IF(B45="","",MONTH(B45))</f>
        <v/>
      </c>
      <c r="D45">
        <f>IF(B45="","",ROUNDUP(MONTH(B45)/3,0))</f>
        <v/>
      </c>
      <c r="E45">
        <f>IF(B45="","",YEAR(B45))</f>
        <v/>
      </c>
      <c r="F45">
        <f>IF(B45="",0,COUNTIFS(DATA_TRANSPORT!$A:$A,B45,DATA_TRANSPORT!$E:$E,$B$6,DATA_TRANSPORT!$AB:$AB,$B$7))</f>
        <v/>
      </c>
      <c r="G45">
        <f>IF(F45=0,0,SUMIFS(DATA_TRANSPORT!$Q:$Q,DATA_TRANSPORT!$A:$A,B45,DATA_TRANSPORT!$E:$E,$B$6,DATA_TRANSPORT!$AB:$AB,$B$7))</f>
        <v/>
      </c>
      <c r="H45">
        <f>IF(F45=0,0,SUMIFS(DATA_TRANSPORT!$M:$M,DATA_TRANSPORT!$A:$A,B45,DATA_TRANSPORT!$E:$E,$B$6,DATA_TRANSPORT!$AB:$AB,$B$7))</f>
        <v/>
      </c>
      <c r="I45">
        <f>IF(F45=0,0,SUMIFS(DATA_TRANSPORT!$N:$N,DATA_TRANSPORT!$A:$A,B45,DATA_TRANSPORT!$E:$E,$B$6,DATA_TRANSPORT!$AB:$AB,$B$7))</f>
        <v/>
      </c>
      <c r="J45">
        <f>IF(F45=0,0,SUMIFS(DATA_TRANSPORT!$P:$P,DATA_TRANSPORT!$A:$A,B45,DATA_TRANSPORT!$E:$E,$B$6,DATA_TRANSPORT!$AB:$AB,$B$7))</f>
        <v/>
      </c>
      <c r="K45">
        <f>IF(F45=0,0,SUMIFS(DATA_TRANSPORT!$I:$I,DATA_TRANSPORT!$A:$A,B45,DATA_TRANSPORT!$E:$E,$B$6,DATA_TRANSPORT!$AB:$AB,$B$7))</f>
        <v/>
      </c>
      <c r="L45">
        <f>IF(F45=0,0,SUMIFS(DATA_TRANSPORT!$I:$I,DATA_TRANSPORT!$A:$A,B45,DATA_TRANSPORT!$E:$E,$B$6,DATA_TRANSPORT!$AB:$AB,$B$7,DATA_TRANSPORT!$U:$U,"Ran"))</f>
        <v/>
      </c>
      <c r="M45">
        <f>IF(F45=0,0,SUMIFS(DATA_TRANSPORT!$L:$L,DATA_TRANSPORT!$A:$A,B45,DATA_TRANSPORT!$E:$E,$B$6,DATA_TRANSPORT!$AB:$AB,$B$7))</f>
        <v/>
      </c>
      <c r="N45">
        <f>IF(F45=0,0,SUMIFS(DATA_TRANSPORT!$R:$R,DATA_TRANSPORT!$A:$A,B45,DATA_TRANSPORT!$E:$E,$B$6,DATA_TRANSPORT!$AB:$AB,$B$7))</f>
        <v/>
      </c>
      <c r="O45">
        <f>IF(F45=0,0,SUMIFS(DATA_TRANSPORT!$S:$S,DATA_TRANSPORT!$A:$A,B45,DATA_TRANSPORT!$E:$E,$B$6,DATA_TRANSPORT!$AB:$AB,$B$7))</f>
        <v/>
      </c>
      <c r="P45">
        <f>IF(OR(B45="",$B$17),0,SUMIFS(DATA_TRANSPORT_COSTS!$M:$M,DATA_TRANSPORT_COSTS!$A:$A,B45,DATA_TRANSPORT_COSTS!$D:$D,$B$6))</f>
        <v/>
      </c>
      <c r="Q45">
        <f>O45+P45</f>
        <v/>
      </c>
      <c r="R45">
        <f>P45+IF(F45=0,0,SUMIFS(DATA_TRANSPORT!$S:$S,DATA_TRANSPORT!$A:$A,B45,DATA_TRANSPORT!$E:$E,$B$6,DATA_TRANSPORT!$AB:$AB,$B$7,DATA_TRANSPORT!$T:$T,"Central"))</f>
        <v/>
      </c>
      <c r="S45">
        <f>IF(F45=0,0,SUMIFS(DATA_TRANSPORT!$S:$S,DATA_TRANSPORT!$A:$A,B45,DATA_TRANSPORT!$E:$E,$B$6,DATA_TRANSPORT!$AB:$AB,$B$7,DATA_TRANSPORT!$T:$T,"Members"))</f>
        <v/>
      </c>
      <c r="T45">
        <f>IF(OR(B45="",$B$17),0,SUMIFS(DATA_TRANSPORT_BUDGET!$G:$G,DATA_TRANSPORT_BUDGET!$A:$A,B45,DATA_TRANSPORT_BUDGET!$D:$D,$B$6))</f>
        <v/>
      </c>
      <c r="U45">
        <f>IF(F45=0,0,SUMIFS(DATA_TRANSPORT!$S:$S,DATA_TRANSPORT!$A:$A,B45,DATA_TRANSPORT!$E:$E,$B$6,DATA_TRANSPORT!$AB:$AB,$B$7,DATA_TRANSPORT!$C:$C,"FT Procured"))</f>
        <v/>
      </c>
      <c r="V45">
        <f>IF(F45=0,0,COUNTIFS(DATA_TRANSPORT!$A:$A,B45,DATA_TRANSPORT!$E:$E,$B$6,DATA_TRANSPORT!$AB:$AB,$B$7,DATA_TRANSPORT!$U:$U,"Breakdown"))</f>
        <v/>
      </c>
      <c r="W45">
        <f>IF(M45=0,0,N45/M45)</f>
        <v/>
      </c>
      <c r="X45">
        <f>IF(F45&gt;0,1,0)</f>
        <v/>
      </c>
      <c r="Y45">
        <f>IF(AND(A45&gt;=1,A45&lt;=$B$11),X45,0)</f>
        <v/>
      </c>
      <c r="Z45">
        <f>IF(AND(C45=$B$12,E45=$B$14),X45,0)</f>
        <v/>
      </c>
      <c r="AA45">
        <f>IF(AND(D45=$B$13,E45=$B$14),X45,0)</f>
        <v/>
      </c>
      <c r="AB45">
        <f>IF(E45=$B$14,X45,0)</f>
        <v/>
      </c>
      <c r="AE45">
        <f>IFERROR(INDEX(MASTER_AREAS!$B:$B,44)&amp;"","")</f>
        <v/>
      </c>
      <c r="AF45">
        <f>IF(OR(AE45="",$B$10=0),0,SUMIFS(DATA_TRANSPORT!$Q:$Q,DATA_TRANSPORT!$A:$A,$B$10,DATA_TRANSPORT!$E:$E,AE45))</f>
        <v/>
      </c>
      <c r="AG45">
        <f>IF(OR(AE45="",$B$10=0),0,SUMIFS(DATA_TRANSPORT!$I:$I,DATA_TRANSPORT!$A:$A,$B$10,DATA_TRANSPORT!$E:$E,AE45,DATA_TRANSPORT!$U:$U,"Ran"))</f>
        <v/>
      </c>
      <c r="AH45">
        <f>IF(OR(AE45="",$B$10=0),0,SUMIFS(DATA_TRANSPORT!$L:$L,DATA_TRANSPORT!$A:$A,$B$10,DATA_TRANSPORT!$E:$E,AE45))</f>
        <v/>
      </c>
      <c r="AI45">
        <f>IF(OR(AE45="",$B$10=0),0,SUMIFS(DATA_TRANSPORT!$R:$R,DATA_TRANSPORT!$A:$A,$B$10,DATA_TRANSPORT!$E:$E,AE45))</f>
        <v/>
      </c>
      <c r="AJ45">
        <f>IF(AH45=0,"",AI45/AH45)</f>
        <v/>
      </c>
      <c r="AK45">
        <f>IF(OR(AE45="",$B$10=0),0,SUMIFS(DATA_TRANSPORT!$S:$S,DATA_TRANSPORT!$A:$A,$B$10,DATA_TRANSPORT!$E:$E,AE45))+IF(OR(AE45="",$B$10=0),0,SUMIFS(DATA_TRANSPORT_COSTS!$M:$M,DATA_TRANSPORT_COSTS!$A:$A,$B$10,DATA_TRANSPORT_COSTS!$D:$D,AE45))</f>
        <v/>
      </c>
      <c r="AL45">
        <f>IF(OR(AF45=0,AK45=0),"",AK45/AF45)</f>
        <v/>
      </c>
      <c r="AM45">
        <f>IF(OR(AE45="",$B$10=0),0,SUMIFS(DATA_TRANSPORT!$S:$S,DATA_TRANSPORT!$A:$A,$B$10,DATA_TRANSPORT!$E:$E,AE45,DATA_TRANSPORT!$C:$C,"FT Procured"))</f>
        <v/>
      </c>
      <c r="AN45">
        <f>IF(OR(AE45="",$B$10=0),0,SUMIFS(DATA_TRANSPORT_BUDGET!$G:$G,DATA_TRANSPORT_BUDGET!$A:$A,$B$10,DATA_TRANSPORT_BUDGET!$D:$D,AE45))</f>
        <v/>
      </c>
      <c r="AO45">
        <f>IF(AN45=0,"",AM45-AN45)</f>
        <v/>
      </c>
      <c r="AP45">
        <f>IF(OR(AE45="",$B$10=0),0,COUNTIFS(DATA_TRANSPORT!$A:$A,$B$10,DATA_TRANSPORT!$E:$E,AE45,DATA_TRANSPORT!$C:$C,"FT Procured",DATA_TRANSPORT!$Y:$Y,"Y"))</f>
        <v/>
      </c>
      <c r="AQ45">
        <f>IF(OR(AE45="",$B$10=0),0,SUMIFS(DATA_TRANSPORT_BUDGET!$E:$E,DATA_TRANSPORT_BUDGET!$A:$A,$B$10,DATA_TRANSPORT_BUDGET!$D:$D,AE45))</f>
        <v/>
      </c>
      <c r="AR45">
        <f>IF(OR(AE45="",$B$10=0),0,COUNTIFS(DATA_TRANSPORT!$A:$A,$B$10,DATA_TRANSPORT!$E:$E,AE45,DATA_TRANSPORT!$U:$U,"Breakdown"))</f>
        <v/>
      </c>
      <c r="AS45">
        <f>IF(IF(OR(AE45="",$B$10=0),0,SUMIFS(DATA_TRANSPORT!$L:$L,DATA_TRANSPORT!$A:$A,$B$10-7,DATA_TRANSPORT!$E:$E,AE45))=0,"",IF(OR(AE45="",$B$10=0),0,SUMIFS(DATA_TRANSPORT!$R:$R,DATA_TRANSPORT!$A:$A,$B$10-7,DATA_TRANSPORT!$E:$E,AE45))/IF(OR(AE45="",$B$10=0),0,SUMIFS(DATA_TRANSPORT!$L:$L,DATA_TRANSPORT!$A:$A,$B$10-7,DATA_TRANSPORT!$E:$E,AE45)))</f>
        <v/>
      </c>
      <c r="AT45">
        <f>IF(IF(OR(AE45="",$B$10=0),0,SUMIFS(DATA_TRANSPORT!$L:$L,DATA_TRANSPORT!$A:$A,$B$10-14,DATA_TRANSPORT!$E:$E,AE45))=0,"",IF(OR(AE45="",$B$10=0),0,SUMIFS(DATA_TRANSPORT!$R:$R,DATA_TRANSPORT!$A:$A,$B$10-14,DATA_TRANSPORT!$E:$E,AE45))/IF(OR(AE45="",$B$10=0),0,SUMIFS(DATA_TRANSPORT!$L:$L,DATA_TRANSPORT!$A:$A,$B$10-14,DATA_TRANSPORT!$E:$E,AE45)))</f>
        <v/>
      </c>
      <c r="AU45">
        <f>IF(IF(OR(AE45="",$B$10=0),0,SUMIFS(DATA_TRANSPORT!$L:$L,DATA_TRANSPORT!$A:$A,$B$10-21,DATA_TRANSPORT!$E:$E,AE45))=0,"",IF(OR(AE45="",$B$10=0),0,SUMIFS(DATA_TRANSPORT!$R:$R,DATA_TRANSPORT!$A:$A,$B$10-21,DATA_TRANSPORT!$E:$E,AE45))/IF(OR(AE45="",$B$10=0),0,SUMIFS(DATA_TRANSPORT!$L:$L,DATA_TRANSPORT!$A:$A,$B$10-21,DATA_TRANSPORT!$E:$E,AE45)))</f>
        <v/>
      </c>
      <c r="AV45">
        <f>IF(AND(ISNUMBER(AJ45),AJ45&lt;UtilLow),1,0)+IF(AND(ISNUMBER(AS45),AS45&lt;UtilLow),1,0)+IF(AND(ISNUMBER(AT45),AT45&lt;UtilLow),1,0)+IF(AND(ISNUMBER(AU45),AU45&lt;UtilLow),1,0)</f>
        <v/>
      </c>
      <c r="AW45">
        <f>IF(AV45&gt;=UtilLowWeeks,AE45&amp;": seats only "&amp;TEXT(AJ45,"0%")&amp;" full, under "&amp;TEXT(UtilLow,"0%")&amp;" for "&amp;AV45&amp;" weeks running",IF(AND(ISNUMBER(AJ45),AJ45&gt;UtilHigh),AE45&amp;": demand exceeds seats ("&amp;TEXT(AJ45,"0%")&amp;" full) — consider more buses",IF(AND(ISNUMBER(AO45),AO45&gt;0),AE45&amp;": FT spend ₦"&amp;TEXT(AO45,"#,##0")&amp;" over the weekly budget",IF(AR45&gt;0,AE45&amp;": "&amp;AR45&amp;" coaster breakdown(s) this week",""))))</f>
        <v/>
      </c>
      <c r="AX45">
        <f>IF(ISNUMBER(AJ45),AJ45+ROW()/1000000000,"")</f>
        <v/>
      </c>
      <c r="AY45">
        <f>IF(ISNUMBER(AL45),AL45+ROW()/1000000,"")</f>
        <v/>
      </c>
      <c r="AZ45">
        <f>IF(AND(ISNUMBER(AO45),AO45&gt;0),AO45+ROW()/1000000,"")</f>
        <v/>
      </c>
      <c r="BA45">
        <f>IF(AF45&gt;0,AF45+ROW()/1000000,"")</f>
        <v/>
      </c>
      <c r="BB45">
        <f>IF(AW45="","",ROW())</f>
        <v/>
      </c>
    </row>
    <row r="46">
      <c r="A46" t="n">
        <v>25</v>
      </c>
      <c r="B46" s="170">
        <f>IF($B$10=0,"",$B$10-7*A46)</f>
        <v/>
      </c>
      <c r="C46">
        <f>IF(B46="","",MONTH(B46))</f>
        <v/>
      </c>
      <c r="D46">
        <f>IF(B46="","",ROUNDUP(MONTH(B46)/3,0))</f>
        <v/>
      </c>
      <c r="E46">
        <f>IF(B46="","",YEAR(B46))</f>
        <v/>
      </c>
      <c r="F46">
        <f>IF(B46="",0,COUNTIFS(DATA_TRANSPORT!$A:$A,B46,DATA_TRANSPORT!$E:$E,$B$6,DATA_TRANSPORT!$AB:$AB,$B$7))</f>
        <v/>
      </c>
      <c r="G46">
        <f>IF(F46=0,0,SUMIFS(DATA_TRANSPORT!$Q:$Q,DATA_TRANSPORT!$A:$A,B46,DATA_TRANSPORT!$E:$E,$B$6,DATA_TRANSPORT!$AB:$AB,$B$7))</f>
        <v/>
      </c>
      <c r="H46">
        <f>IF(F46=0,0,SUMIFS(DATA_TRANSPORT!$M:$M,DATA_TRANSPORT!$A:$A,B46,DATA_TRANSPORT!$E:$E,$B$6,DATA_TRANSPORT!$AB:$AB,$B$7))</f>
        <v/>
      </c>
      <c r="I46">
        <f>IF(F46=0,0,SUMIFS(DATA_TRANSPORT!$N:$N,DATA_TRANSPORT!$A:$A,B46,DATA_TRANSPORT!$E:$E,$B$6,DATA_TRANSPORT!$AB:$AB,$B$7))</f>
        <v/>
      </c>
      <c r="J46">
        <f>IF(F46=0,0,SUMIFS(DATA_TRANSPORT!$P:$P,DATA_TRANSPORT!$A:$A,B46,DATA_TRANSPORT!$E:$E,$B$6,DATA_TRANSPORT!$AB:$AB,$B$7))</f>
        <v/>
      </c>
      <c r="K46">
        <f>IF(F46=0,0,SUMIFS(DATA_TRANSPORT!$I:$I,DATA_TRANSPORT!$A:$A,B46,DATA_TRANSPORT!$E:$E,$B$6,DATA_TRANSPORT!$AB:$AB,$B$7))</f>
        <v/>
      </c>
      <c r="L46">
        <f>IF(F46=0,0,SUMIFS(DATA_TRANSPORT!$I:$I,DATA_TRANSPORT!$A:$A,B46,DATA_TRANSPORT!$E:$E,$B$6,DATA_TRANSPORT!$AB:$AB,$B$7,DATA_TRANSPORT!$U:$U,"Ran"))</f>
        <v/>
      </c>
      <c r="M46">
        <f>IF(F46=0,0,SUMIFS(DATA_TRANSPORT!$L:$L,DATA_TRANSPORT!$A:$A,B46,DATA_TRANSPORT!$E:$E,$B$6,DATA_TRANSPORT!$AB:$AB,$B$7))</f>
        <v/>
      </c>
      <c r="N46">
        <f>IF(F46=0,0,SUMIFS(DATA_TRANSPORT!$R:$R,DATA_TRANSPORT!$A:$A,B46,DATA_TRANSPORT!$E:$E,$B$6,DATA_TRANSPORT!$AB:$AB,$B$7))</f>
        <v/>
      </c>
      <c r="O46">
        <f>IF(F46=0,0,SUMIFS(DATA_TRANSPORT!$S:$S,DATA_TRANSPORT!$A:$A,B46,DATA_TRANSPORT!$E:$E,$B$6,DATA_TRANSPORT!$AB:$AB,$B$7))</f>
        <v/>
      </c>
      <c r="P46">
        <f>IF(OR(B46="",$B$17),0,SUMIFS(DATA_TRANSPORT_COSTS!$M:$M,DATA_TRANSPORT_COSTS!$A:$A,B46,DATA_TRANSPORT_COSTS!$D:$D,$B$6))</f>
        <v/>
      </c>
      <c r="Q46">
        <f>O46+P46</f>
        <v/>
      </c>
      <c r="R46">
        <f>P46+IF(F46=0,0,SUMIFS(DATA_TRANSPORT!$S:$S,DATA_TRANSPORT!$A:$A,B46,DATA_TRANSPORT!$E:$E,$B$6,DATA_TRANSPORT!$AB:$AB,$B$7,DATA_TRANSPORT!$T:$T,"Central"))</f>
        <v/>
      </c>
      <c r="S46">
        <f>IF(F46=0,0,SUMIFS(DATA_TRANSPORT!$S:$S,DATA_TRANSPORT!$A:$A,B46,DATA_TRANSPORT!$E:$E,$B$6,DATA_TRANSPORT!$AB:$AB,$B$7,DATA_TRANSPORT!$T:$T,"Members"))</f>
        <v/>
      </c>
      <c r="T46">
        <f>IF(OR(B46="",$B$17),0,SUMIFS(DATA_TRANSPORT_BUDGET!$G:$G,DATA_TRANSPORT_BUDGET!$A:$A,B46,DATA_TRANSPORT_BUDGET!$D:$D,$B$6))</f>
        <v/>
      </c>
      <c r="U46">
        <f>IF(F46=0,0,SUMIFS(DATA_TRANSPORT!$S:$S,DATA_TRANSPORT!$A:$A,B46,DATA_TRANSPORT!$E:$E,$B$6,DATA_TRANSPORT!$AB:$AB,$B$7,DATA_TRANSPORT!$C:$C,"FT Procured"))</f>
        <v/>
      </c>
      <c r="V46">
        <f>IF(F46=0,0,COUNTIFS(DATA_TRANSPORT!$A:$A,B46,DATA_TRANSPORT!$E:$E,$B$6,DATA_TRANSPORT!$AB:$AB,$B$7,DATA_TRANSPORT!$U:$U,"Breakdown"))</f>
        <v/>
      </c>
      <c r="W46">
        <f>IF(M46=0,0,N46/M46)</f>
        <v/>
      </c>
      <c r="X46">
        <f>IF(F46&gt;0,1,0)</f>
        <v/>
      </c>
      <c r="Y46">
        <f>IF(AND(A46&gt;=1,A46&lt;=$B$11),X46,0)</f>
        <v/>
      </c>
      <c r="Z46">
        <f>IF(AND(C46=$B$12,E46=$B$14),X46,0)</f>
        <v/>
      </c>
      <c r="AA46">
        <f>IF(AND(D46=$B$13,E46=$B$14),X46,0)</f>
        <v/>
      </c>
      <c r="AB46">
        <f>IF(E46=$B$14,X46,0)</f>
        <v/>
      </c>
      <c r="AE46">
        <f>IFERROR(INDEX(MASTER_AREAS!$B:$B,45)&amp;"","")</f>
        <v/>
      </c>
      <c r="AF46">
        <f>IF(OR(AE46="",$B$10=0),0,SUMIFS(DATA_TRANSPORT!$Q:$Q,DATA_TRANSPORT!$A:$A,$B$10,DATA_TRANSPORT!$E:$E,AE46))</f>
        <v/>
      </c>
      <c r="AG46">
        <f>IF(OR(AE46="",$B$10=0),0,SUMIFS(DATA_TRANSPORT!$I:$I,DATA_TRANSPORT!$A:$A,$B$10,DATA_TRANSPORT!$E:$E,AE46,DATA_TRANSPORT!$U:$U,"Ran"))</f>
        <v/>
      </c>
      <c r="AH46">
        <f>IF(OR(AE46="",$B$10=0),0,SUMIFS(DATA_TRANSPORT!$L:$L,DATA_TRANSPORT!$A:$A,$B$10,DATA_TRANSPORT!$E:$E,AE46))</f>
        <v/>
      </c>
      <c r="AI46">
        <f>IF(OR(AE46="",$B$10=0),0,SUMIFS(DATA_TRANSPORT!$R:$R,DATA_TRANSPORT!$A:$A,$B$10,DATA_TRANSPORT!$E:$E,AE46))</f>
        <v/>
      </c>
      <c r="AJ46">
        <f>IF(AH46=0,"",AI46/AH46)</f>
        <v/>
      </c>
      <c r="AK46">
        <f>IF(OR(AE46="",$B$10=0),0,SUMIFS(DATA_TRANSPORT!$S:$S,DATA_TRANSPORT!$A:$A,$B$10,DATA_TRANSPORT!$E:$E,AE46))+IF(OR(AE46="",$B$10=0),0,SUMIFS(DATA_TRANSPORT_COSTS!$M:$M,DATA_TRANSPORT_COSTS!$A:$A,$B$10,DATA_TRANSPORT_COSTS!$D:$D,AE46))</f>
        <v/>
      </c>
      <c r="AL46">
        <f>IF(OR(AF46=0,AK46=0),"",AK46/AF46)</f>
        <v/>
      </c>
      <c r="AM46">
        <f>IF(OR(AE46="",$B$10=0),0,SUMIFS(DATA_TRANSPORT!$S:$S,DATA_TRANSPORT!$A:$A,$B$10,DATA_TRANSPORT!$E:$E,AE46,DATA_TRANSPORT!$C:$C,"FT Procured"))</f>
        <v/>
      </c>
      <c r="AN46">
        <f>IF(OR(AE46="",$B$10=0),0,SUMIFS(DATA_TRANSPORT_BUDGET!$G:$G,DATA_TRANSPORT_BUDGET!$A:$A,$B$10,DATA_TRANSPORT_BUDGET!$D:$D,AE46))</f>
        <v/>
      </c>
      <c r="AO46">
        <f>IF(AN46=0,"",AM46-AN46)</f>
        <v/>
      </c>
      <c r="AP46">
        <f>IF(OR(AE46="",$B$10=0),0,COUNTIFS(DATA_TRANSPORT!$A:$A,$B$10,DATA_TRANSPORT!$E:$E,AE46,DATA_TRANSPORT!$C:$C,"FT Procured",DATA_TRANSPORT!$Y:$Y,"Y"))</f>
        <v/>
      </c>
      <c r="AQ46">
        <f>IF(OR(AE46="",$B$10=0),0,SUMIFS(DATA_TRANSPORT_BUDGET!$E:$E,DATA_TRANSPORT_BUDGET!$A:$A,$B$10,DATA_TRANSPORT_BUDGET!$D:$D,AE46))</f>
        <v/>
      </c>
      <c r="AR46">
        <f>IF(OR(AE46="",$B$10=0),0,COUNTIFS(DATA_TRANSPORT!$A:$A,$B$10,DATA_TRANSPORT!$E:$E,AE46,DATA_TRANSPORT!$U:$U,"Breakdown"))</f>
        <v/>
      </c>
      <c r="AS46">
        <f>IF(IF(OR(AE46="",$B$10=0),0,SUMIFS(DATA_TRANSPORT!$L:$L,DATA_TRANSPORT!$A:$A,$B$10-7,DATA_TRANSPORT!$E:$E,AE46))=0,"",IF(OR(AE46="",$B$10=0),0,SUMIFS(DATA_TRANSPORT!$R:$R,DATA_TRANSPORT!$A:$A,$B$10-7,DATA_TRANSPORT!$E:$E,AE46))/IF(OR(AE46="",$B$10=0),0,SUMIFS(DATA_TRANSPORT!$L:$L,DATA_TRANSPORT!$A:$A,$B$10-7,DATA_TRANSPORT!$E:$E,AE46)))</f>
        <v/>
      </c>
      <c r="AT46">
        <f>IF(IF(OR(AE46="",$B$10=0),0,SUMIFS(DATA_TRANSPORT!$L:$L,DATA_TRANSPORT!$A:$A,$B$10-14,DATA_TRANSPORT!$E:$E,AE46))=0,"",IF(OR(AE46="",$B$10=0),0,SUMIFS(DATA_TRANSPORT!$R:$R,DATA_TRANSPORT!$A:$A,$B$10-14,DATA_TRANSPORT!$E:$E,AE46))/IF(OR(AE46="",$B$10=0),0,SUMIFS(DATA_TRANSPORT!$L:$L,DATA_TRANSPORT!$A:$A,$B$10-14,DATA_TRANSPORT!$E:$E,AE46)))</f>
        <v/>
      </c>
      <c r="AU46">
        <f>IF(IF(OR(AE46="",$B$10=0),0,SUMIFS(DATA_TRANSPORT!$L:$L,DATA_TRANSPORT!$A:$A,$B$10-21,DATA_TRANSPORT!$E:$E,AE46))=0,"",IF(OR(AE46="",$B$10=0),0,SUMIFS(DATA_TRANSPORT!$R:$R,DATA_TRANSPORT!$A:$A,$B$10-21,DATA_TRANSPORT!$E:$E,AE46))/IF(OR(AE46="",$B$10=0),0,SUMIFS(DATA_TRANSPORT!$L:$L,DATA_TRANSPORT!$A:$A,$B$10-21,DATA_TRANSPORT!$E:$E,AE46)))</f>
        <v/>
      </c>
      <c r="AV46">
        <f>IF(AND(ISNUMBER(AJ46),AJ46&lt;UtilLow),1,0)+IF(AND(ISNUMBER(AS46),AS46&lt;UtilLow),1,0)+IF(AND(ISNUMBER(AT46),AT46&lt;UtilLow),1,0)+IF(AND(ISNUMBER(AU46),AU46&lt;UtilLow),1,0)</f>
        <v/>
      </c>
      <c r="AW46">
        <f>IF(AV46&gt;=UtilLowWeeks,AE46&amp;": seats only "&amp;TEXT(AJ46,"0%")&amp;" full, under "&amp;TEXT(UtilLow,"0%")&amp;" for "&amp;AV46&amp;" weeks running",IF(AND(ISNUMBER(AJ46),AJ46&gt;UtilHigh),AE46&amp;": demand exceeds seats ("&amp;TEXT(AJ46,"0%")&amp;" full) — consider more buses",IF(AND(ISNUMBER(AO46),AO46&gt;0),AE46&amp;": FT spend ₦"&amp;TEXT(AO46,"#,##0")&amp;" over the weekly budget",IF(AR46&gt;0,AE46&amp;": "&amp;AR46&amp;" coaster breakdown(s) this week",""))))</f>
        <v/>
      </c>
      <c r="AX46">
        <f>IF(ISNUMBER(AJ46),AJ46+ROW()/1000000000,"")</f>
        <v/>
      </c>
      <c r="AY46">
        <f>IF(ISNUMBER(AL46),AL46+ROW()/1000000,"")</f>
        <v/>
      </c>
      <c r="AZ46">
        <f>IF(AND(ISNUMBER(AO46),AO46&gt;0),AO46+ROW()/1000000,"")</f>
        <v/>
      </c>
      <c r="BA46">
        <f>IF(AF46&gt;0,AF46+ROW()/1000000,"")</f>
        <v/>
      </c>
      <c r="BB46">
        <f>IF(AW46="","",ROW())</f>
        <v/>
      </c>
    </row>
    <row r="47">
      <c r="A47" t="n">
        <v>26</v>
      </c>
      <c r="B47" s="170">
        <f>IF($B$10=0,"",$B$10-7*A47)</f>
        <v/>
      </c>
      <c r="C47">
        <f>IF(B47="","",MONTH(B47))</f>
        <v/>
      </c>
      <c r="D47">
        <f>IF(B47="","",ROUNDUP(MONTH(B47)/3,0))</f>
        <v/>
      </c>
      <c r="E47">
        <f>IF(B47="","",YEAR(B47))</f>
        <v/>
      </c>
      <c r="F47">
        <f>IF(B47="",0,COUNTIFS(DATA_TRANSPORT!$A:$A,B47,DATA_TRANSPORT!$E:$E,$B$6,DATA_TRANSPORT!$AB:$AB,$B$7))</f>
        <v/>
      </c>
      <c r="G47">
        <f>IF(F47=0,0,SUMIFS(DATA_TRANSPORT!$Q:$Q,DATA_TRANSPORT!$A:$A,B47,DATA_TRANSPORT!$E:$E,$B$6,DATA_TRANSPORT!$AB:$AB,$B$7))</f>
        <v/>
      </c>
      <c r="H47">
        <f>IF(F47=0,0,SUMIFS(DATA_TRANSPORT!$M:$M,DATA_TRANSPORT!$A:$A,B47,DATA_TRANSPORT!$E:$E,$B$6,DATA_TRANSPORT!$AB:$AB,$B$7))</f>
        <v/>
      </c>
      <c r="I47">
        <f>IF(F47=0,0,SUMIFS(DATA_TRANSPORT!$N:$N,DATA_TRANSPORT!$A:$A,B47,DATA_TRANSPORT!$E:$E,$B$6,DATA_TRANSPORT!$AB:$AB,$B$7))</f>
        <v/>
      </c>
      <c r="J47">
        <f>IF(F47=0,0,SUMIFS(DATA_TRANSPORT!$P:$P,DATA_TRANSPORT!$A:$A,B47,DATA_TRANSPORT!$E:$E,$B$6,DATA_TRANSPORT!$AB:$AB,$B$7))</f>
        <v/>
      </c>
      <c r="K47">
        <f>IF(F47=0,0,SUMIFS(DATA_TRANSPORT!$I:$I,DATA_TRANSPORT!$A:$A,B47,DATA_TRANSPORT!$E:$E,$B$6,DATA_TRANSPORT!$AB:$AB,$B$7))</f>
        <v/>
      </c>
      <c r="L47">
        <f>IF(F47=0,0,SUMIFS(DATA_TRANSPORT!$I:$I,DATA_TRANSPORT!$A:$A,B47,DATA_TRANSPORT!$E:$E,$B$6,DATA_TRANSPORT!$AB:$AB,$B$7,DATA_TRANSPORT!$U:$U,"Ran"))</f>
        <v/>
      </c>
      <c r="M47">
        <f>IF(F47=0,0,SUMIFS(DATA_TRANSPORT!$L:$L,DATA_TRANSPORT!$A:$A,B47,DATA_TRANSPORT!$E:$E,$B$6,DATA_TRANSPORT!$AB:$AB,$B$7))</f>
        <v/>
      </c>
      <c r="N47">
        <f>IF(F47=0,0,SUMIFS(DATA_TRANSPORT!$R:$R,DATA_TRANSPORT!$A:$A,B47,DATA_TRANSPORT!$E:$E,$B$6,DATA_TRANSPORT!$AB:$AB,$B$7))</f>
        <v/>
      </c>
      <c r="O47">
        <f>IF(F47=0,0,SUMIFS(DATA_TRANSPORT!$S:$S,DATA_TRANSPORT!$A:$A,B47,DATA_TRANSPORT!$E:$E,$B$6,DATA_TRANSPORT!$AB:$AB,$B$7))</f>
        <v/>
      </c>
      <c r="P47">
        <f>IF(OR(B47="",$B$17),0,SUMIFS(DATA_TRANSPORT_COSTS!$M:$M,DATA_TRANSPORT_COSTS!$A:$A,B47,DATA_TRANSPORT_COSTS!$D:$D,$B$6))</f>
        <v/>
      </c>
      <c r="Q47">
        <f>O47+P47</f>
        <v/>
      </c>
      <c r="R47">
        <f>P47+IF(F47=0,0,SUMIFS(DATA_TRANSPORT!$S:$S,DATA_TRANSPORT!$A:$A,B47,DATA_TRANSPORT!$E:$E,$B$6,DATA_TRANSPORT!$AB:$AB,$B$7,DATA_TRANSPORT!$T:$T,"Central"))</f>
        <v/>
      </c>
      <c r="S47">
        <f>IF(F47=0,0,SUMIFS(DATA_TRANSPORT!$S:$S,DATA_TRANSPORT!$A:$A,B47,DATA_TRANSPORT!$E:$E,$B$6,DATA_TRANSPORT!$AB:$AB,$B$7,DATA_TRANSPORT!$T:$T,"Members"))</f>
        <v/>
      </c>
      <c r="T47">
        <f>IF(OR(B47="",$B$17),0,SUMIFS(DATA_TRANSPORT_BUDGET!$G:$G,DATA_TRANSPORT_BUDGET!$A:$A,B47,DATA_TRANSPORT_BUDGET!$D:$D,$B$6))</f>
        <v/>
      </c>
      <c r="U47">
        <f>IF(F47=0,0,SUMIFS(DATA_TRANSPORT!$S:$S,DATA_TRANSPORT!$A:$A,B47,DATA_TRANSPORT!$E:$E,$B$6,DATA_TRANSPORT!$AB:$AB,$B$7,DATA_TRANSPORT!$C:$C,"FT Procured"))</f>
        <v/>
      </c>
      <c r="V47">
        <f>IF(F47=0,0,COUNTIFS(DATA_TRANSPORT!$A:$A,B47,DATA_TRANSPORT!$E:$E,$B$6,DATA_TRANSPORT!$AB:$AB,$B$7,DATA_TRANSPORT!$U:$U,"Breakdown"))</f>
        <v/>
      </c>
      <c r="W47">
        <f>IF(M47=0,0,N47/M47)</f>
        <v/>
      </c>
      <c r="X47">
        <f>IF(F47&gt;0,1,0)</f>
        <v/>
      </c>
      <c r="Y47">
        <f>IF(AND(A47&gt;=1,A47&lt;=$B$11),X47,0)</f>
        <v/>
      </c>
      <c r="Z47">
        <f>IF(AND(C47=$B$12,E47=$B$14),X47,0)</f>
        <v/>
      </c>
      <c r="AA47">
        <f>IF(AND(D47=$B$13,E47=$B$14),X47,0)</f>
        <v/>
      </c>
      <c r="AB47">
        <f>IF(E47=$B$14,X47,0)</f>
        <v/>
      </c>
      <c r="AE47">
        <f>IFERROR(INDEX(MASTER_AREAS!$B:$B,46)&amp;"","")</f>
        <v/>
      </c>
      <c r="AF47">
        <f>IF(OR(AE47="",$B$10=0),0,SUMIFS(DATA_TRANSPORT!$Q:$Q,DATA_TRANSPORT!$A:$A,$B$10,DATA_TRANSPORT!$E:$E,AE47))</f>
        <v/>
      </c>
      <c r="AG47">
        <f>IF(OR(AE47="",$B$10=0),0,SUMIFS(DATA_TRANSPORT!$I:$I,DATA_TRANSPORT!$A:$A,$B$10,DATA_TRANSPORT!$E:$E,AE47,DATA_TRANSPORT!$U:$U,"Ran"))</f>
        <v/>
      </c>
      <c r="AH47">
        <f>IF(OR(AE47="",$B$10=0),0,SUMIFS(DATA_TRANSPORT!$L:$L,DATA_TRANSPORT!$A:$A,$B$10,DATA_TRANSPORT!$E:$E,AE47))</f>
        <v/>
      </c>
      <c r="AI47">
        <f>IF(OR(AE47="",$B$10=0),0,SUMIFS(DATA_TRANSPORT!$R:$R,DATA_TRANSPORT!$A:$A,$B$10,DATA_TRANSPORT!$E:$E,AE47))</f>
        <v/>
      </c>
      <c r="AJ47">
        <f>IF(AH47=0,"",AI47/AH47)</f>
        <v/>
      </c>
      <c r="AK47">
        <f>IF(OR(AE47="",$B$10=0),0,SUMIFS(DATA_TRANSPORT!$S:$S,DATA_TRANSPORT!$A:$A,$B$10,DATA_TRANSPORT!$E:$E,AE47))+IF(OR(AE47="",$B$10=0),0,SUMIFS(DATA_TRANSPORT_COSTS!$M:$M,DATA_TRANSPORT_COSTS!$A:$A,$B$10,DATA_TRANSPORT_COSTS!$D:$D,AE47))</f>
        <v/>
      </c>
      <c r="AL47">
        <f>IF(OR(AF47=0,AK47=0),"",AK47/AF47)</f>
        <v/>
      </c>
      <c r="AM47">
        <f>IF(OR(AE47="",$B$10=0),0,SUMIFS(DATA_TRANSPORT!$S:$S,DATA_TRANSPORT!$A:$A,$B$10,DATA_TRANSPORT!$E:$E,AE47,DATA_TRANSPORT!$C:$C,"FT Procured"))</f>
        <v/>
      </c>
      <c r="AN47">
        <f>IF(OR(AE47="",$B$10=0),0,SUMIFS(DATA_TRANSPORT_BUDGET!$G:$G,DATA_TRANSPORT_BUDGET!$A:$A,$B$10,DATA_TRANSPORT_BUDGET!$D:$D,AE47))</f>
        <v/>
      </c>
      <c r="AO47">
        <f>IF(AN47=0,"",AM47-AN47)</f>
        <v/>
      </c>
      <c r="AP47">
        <f>IF(OR(AE47="",$B$10=0),0,COUNTIFS(DATA_TRANSPORT!$A:$A,$B$10,DATA_TRANSPORT!$E:$E,AE47,DATA_TRANSPORT!$C:$C,"FT Procured",DATA_TRANSPORT!$Y:$Y,"Y"))</f>
        <v/>
      </c>
      <c r="AQ47">
        <f>IF(OR(AE47="",$B$10=0),0,SUMIFS(DATA_TRANSPORT_BUDGET!$E:$E,DATA_TRANSPORT_BUDGET!$A:$A,$B$10,DATA_TRANSPORT_BUDGET!$D:$D,AE47))</f>
        <v/>
      </c>
      <c r="AR47">
        <f>IF(OR(AE47="",$B$10=0),0,COUNTIFS(DATA_TRANSPORT!$A:$A,$B$10,DATA_TRANSPORT!$E:$E,AE47,DATA_TRANSPORT!$U:$U,"Breakdown"))</f>
        <v/>
      </c>
      <c r="AS47">
        <f>IF(IF(OR(AE47="",$B$10=0),0,SUMIFS(DATA_TRANSPORT!$L:$L,DATA_TRANSPORT!$A:$A,$B$10-7,DATA_TRANSPORT!$E:$E,AE47))=0,"",IF(OR(AE47="",$B$10=0),0,SUMIFS(DATA_TRANSPORT!$R:$R,DATA_TRANSPORT!$A:$A,$B$10-7,DATA_TRANSPORT!$E:$E,AE47))/IF(OR(AE47="",$B$10=0),0,SUMIFS(DATA_TRANSPORT!$L:$L,DATA_TRANSPORT!$A:$A,$B$10-7,DATA_TRANSPORT!$E:$E,AE47)))</f>
        <v/>
      </c>
      <c r="AT47">
        <f>IF(IF(OR(AE47="",$B$10=0),0,SUMIFS(DATA_TRANSPORT!$L:$L,DATA_TRANSPORT!$A:$A,$B$10-14,DATA_TRANSPORT!$E:$E,AE47))=0,"",IF(OR(AE47="",$B$10=0),0,SUMIFS(DATA_TRANSPORT!$R:$R,DATA_TRANSPORT!$A:$A,$B$10-14,DATA_TRANSPORT!$E:$E,AE47))/IF(OR(AE47="",$B$10=0),0,SUMIFS(DATA_TRANSPORT!$L:$L,DATA_TRANSPORT!$A:$A,$B$10-14,DATA_TRANSPORT!$E:$E,AE47)))</f>
        <v/>
      </c>
      <c r="AU47">
        <f>IF(IF(OR(AE47="",$B$10=0),0,SUMIFS(DATA_TRANSPORT!$L:$L,DATA_TRANSPORT!$A:$A,$B$10-21,DATA_TRANSPORT!$E:$E,AE47))=0,"",IF(OR(AE47="",$B$10=0),0,SUMIFS(DATA_TRANSPORT!$R:$R,DATA_TRANSPORT!$A:$A,$B$10-21,DATA_TRANSPORT!$E:$E,AE47))/IF(OR(AE47="",$B$10=0),0,SUMIFS(DATA_TRANSPORT!$L:$L,DATA_TRANSPORT!$A:$A,$B$10-21,DATA_TRANSPORT!$E:$E,AE47)))</f>
        <v/>
      </c>
      <c r="AV47">
        <f>IF(AND(ISNUMBER(AJ47),AJ47&lt;UtilLow),1,0)+IF(AND(ISNUMBER(AS47),AS47&lt;UtilLow),1,0)+IF(AND(ISNUMBER(AT47),AT47&lt;UtilLow),1,0)+IF(AND(ISNUMBER(AU47),AU47&lt;UtilLow),1,0)</f>
        <v/>
      </c>
      <c r="AW47">
        <f>IF(AV47&gt;=UtilLowWeeks,AE47&amp;": seats only "&amp;TEXT(AJ47,"0%")&amp;" full, under "&amp;TEXT(UtilLow,"0%")&amp;" for "&amp;AV47&amp;" weeks running",IF(AND(ISNUMBER(AJ47),AJ47&gt;UtilHigh),AE47&amp;": demand exceeds seats ("&amp;TEXT(AJ47,"0%")&amp;" full) — consider more buses",IF(AND(ISNUMBER(AO47),AO47&gt;0),AE47&amp;": FT spend ₦"&amp;TEXT(AO47,"#,##0")&amp;" over the weekly budget",IF(AR47&gt;0,AE47&amp;": "&amp;AR47&amp;" coaster breakdown(s) this week",""))))</f>
        <v/>
      </c>
      <c r="AX47">
        <f>IF(ISNUMBER(AJ47),AJ47+ROW()/1000000000,"")</f>
        <v/>
      </c>
      <c r="AY47">
        <f>IF(ISNUMBER(AL47),AL47+ROW()/1000000,"")</f>
        <v/>
      </c>
      <c r="AZ47">
        <f>IF(AND(ISNUMBER(AO47),AO47&gt;0),AO47+ROW()/1000000,"")</f>
        <v/>
      </c>
      <c r="BA47">
        <f>IF(AF47&gt;0,AF47+ROW()/1000000,"")</f>
        <v/>
      </c>
      <c r="BB47">
        <f>IF(AW47="","",ROW())</f>
        <v/>
      </c>
    </row>
    <row r="48">
      <c r="A48" t="n">
        <v>27</v>
      </c>
      <c r="B48" s="170">
        <f>IF($B$10=0,"",$B$10-7*A48)</f>
        <v/>
      </c>
      <c r="C48">
        <f>IF(B48="","",MONTH(B48))</f>
        <v/>
      </c>
      <c r="D48">
        <f>IF(B48="","",ROUNDUP(MONTH(B48)/3,0))</f>
        <v/>
      </c>
      <c r="E48">
        <f>IF(B48="","",YEAR(B48))</f>
        <v/>
      </c>
      <c r="F48">
        <f>IF(B48="",0,COUNTIFS(DATA_TRANSPORT!$A:$A,B48,DATA_TRANSPORT!$E:$E,$B$6,DATA_TRANSPORT!$AB:$AB,$B$7))</f>
        <v/>
      </c>
      <c r="G48">
        <f>IF(F48=0,0,SUMIFS(DATA_TRANSPORT!$Q:$Q,DATA_TRANSPORT!$A:$A,B48,DATA_TRANSPORT!$E:$E,$B$6,DATA_TRANSPORT!$AB:$AB,$B$7))</f>
        <v/>
      </c>
      <c r="H48">
        <f>IF(F48=0,0,SUMIFS(DATA_TRANSPORT!$M:$M,DATA_TRANSPORT!$A:$A,B48,DATA_TRANSPORT!$E:$E,$B$6,DATA_TRANSPORT!$AB:$AB,$B$7))</f>
        <v/>
      </c>
      <c r="I48">
        <f>IF(F48=0,0,SUMIFS(DATA_TRANSPORT!$N:$N,DATA_TRANSPORT!$A:$A,B48,DATA_TRANSPORT!$E:$E,$B$6,DATA_TRANSPORT!$AB:$AB,$B$7))</f>
        <v/>
      </c>
      <c r="J48">
        <f>IF(F48=0,0,SUMIFS(DATA_TRANSPORT!$P:$P,DATA_TRANSPORT!$A:$A,B48,DATA_TRANSPORT!$E:$E,$B$6,DATA_TRANSPORT!$AB:$AB,$B$7))</f>
        <v/>
      </c>
      <c r="K48">
        <f>IF(F48=0,0,SUMIFS(DATA_TRANSPORT!$I:$I,DATA_TRANSPORT!$A:$A,B48,DATA_TRANSPORT!$E:$E,$B$6,DATA_TRANSPORT!$AB:$AB,$B$7))</f>
        <v/>
      </c>
      <c r="L48">
        <f>IF(F48=0,0,SUMIFS(DATA_TRANSPORT!$I:$I,DATA_TRANSPORT!$A:$A,B48,DATA_TRANSPORT!$E:$E,$B$6,DATA_TRANSPORT!$AB:$AB,$B$7,DATA_TRANSPORT!$U:$U,"Ran"))</f>
        <v/>
      </c>
      <c r="M48">
        <f>IF(F48=0,0,SUMIFS(DATA_TRANSPORT!$L:$L,DATA_TRANSPORT!$A:$A,B48,DATA_TRANSPORT!$E:$E,$B$6,DATA_TRANSPORT!$AB:$AB,$B$7))</f>
        <v/>
      </c>
      <c r="N48">
        <f>IF(F48=0,0,SUMIFS(DATA_TRANSPORT!$R:$R,DATA_TRANSPORT!$A:$A,B48,DATA_TRANSPORT!$E:$E,$B$6,DATA_TRANSPORT!$AB:$AB,$B$7))</f>
        <v/>
      </c>
      <c r="O48">
        <f>IF(F48=0,0,SUMIFS(DATA_TRANSPORT!$S:$S,DATA_TRANSPORT!$A:$A,B48,DATA_TRANSPORT!$E:$E,$B$6,DATA_TRANSPORT!$AB:$AB,$B$7))</f>
        <v/>
      </c>
      <c r="P48">
        <f>IF(OR(B48="",$B$17),0,SUMIFS(DATA_TRANSPORT_COSTS!$M:$M,DATA_TRANSPORT_COSTS!$A:$A,B48,DATA_TRANSPORT_COSTS!$D:$D,$B$6))</f>
        <v/>
      </c>
      <c r="Q48">
        <f>O48+P48</f>
        <v/>
      </c>
      <c r="R48">
        <f>P48+IF(F48=0,0,SUMIFS(DATA_TRANSPORT!$S:$S,DATA_TRANSPORT!$A:$A,B48,DATA_TRANSPORT!$E:$E,$B$6,DATA_TRANSPORT!$AB:$AB,$B$7,DATA_TRANSPORT!$T:$T,"Central"))</f>
        <v/>
      </c>
      <c r="S48">
        <f>IF(F48=0,0,SUMIFS(DATA_TRANSPORT!$S:$S,DATA_TRANSPORT!$A:$A,B48,DATA_TRANSPORT!$E:$E,$B$6,DATA_TRANSPORT!$AB:$AB,$B$7,DATA_TRANSPORT!$T:$T,"Members"))</f>
        <v/>
      </c>
      <c r="T48">
        <f>IF(OR(B48="",$B$17),0,SUMIFS(DATA_TRANSPORT_BUDGET!$G:$G,DATA_TRANSPORT_BUDGET!$A:$A,B48,DATA_TRANSPORT_BUDGET!$D:$D,$B$6))</f>
        <v/>
      </c>
      <c r="U48">
        <f>IF(F48=0,0,SUMIFS(DATA_TRANSPORT!$S:$S,DATA_TRANSPORT!$A:$A,B48,DATA_TRANSPORT!$E:$E,$B$6,DATA_TRANSPORT!$AB:$AB,$B$7,DATA_TRANSPORT!$C:$C,"FT Procured"))</f>
        <v/>
      </c>
      <c r="V48">
        <f>IF(F48=0,0,COUNTIFS(DATA_TRANSPORT!$A:$A,B48,DATA_TRANSPORT!$E:$E,$B$6,DATA_TRANSPORT!$AB:$AB,$B$7,DATA_TRANSPORT!$U:$U,"Breakdown"))</f>
        <v/>
      </c>
      <c r="W48">
        <f>IF(M48=0,0,N48/M48)</f>
        <v/>
      </c>
      <c r="X48">
        <f>IF(F48&gt;0,1,0)</f>
        <v/>
      </c>
      <c r="Y48">
        <f>IF(AND(A48&gt;=1,A48&lt;=$B$11),X48,0)</f>
        <v/>
      </c>
      <c r="Z48">
        <f>IF(AND(C48=$B$12,E48=$B$14),X48,0)</f>
        <v/>
      </c>
      <c r="AA48">
        <f>IF(AND(D48=$B$13,E48=$B$14),X48,0)</f>
        <v/>
      </c>
      <c r="AB48">
        <f>IF(E48=$B$14,X48,0)</f>
        <v/>
      </c>
      <c r="AE48">
        <f>IFERROR(INDEX(MASTER_AREAS!$B:$B,47)&amp;"","")</f>
        <v/>
      </c>
      <c r="AF48">
        <f>IF(OR(AE48="",$B$10=0),0,SUMIFS(DATA_TRANSPORT!$Q:$Q,DATA_TRANSPORT!$A:$A,$B$10,DATA_TRANSPORT!$E:$E,AE48))</f>
        <v/>
      </c>
      <c r="AG48">
        <f>IF(OR(AE48="",$B$10=0),0,SUMIFS(DATA_TRANSPORT!$I:$I,DATA_TRANSPORT!$A:$A,$B$10,DATA_TRANSPORT!$E:$E,AE48,DATA_TRANSPORT!$U:$U,"Ran"))</f>
        <v/>
      </c>
      <c r="AH48">
        <f>IF(OR(AE48="",$B$10=0),0,SUMIFS(DATA_TRANSPORT!$L:$L,DATA_TRANSPORT!$A:$A,$B$10,DATA_TRANSPORT!$E:$E,AE48))</f>
        <v/>
      </c>
      <c r="AI48">
        <f>IF(OR(AE48="",$B$10=0),0,SUMIFS(DATA_TRANSPORT!$R:$R,DATA_TRANSPORT!$A:$A,$B$10,DATA_TRANSPORT!$E:$E,AE48))</f>
        <v/>
      </c>
      <c r="AJ48">
        <f>IF(AH48=0,"",AI48/AH48)</f>
        <v/>
      </c>
      <c r="AK48">
        <f>IF(OR(AE48="",$B$10=0),0,SUMIFS(DATA_TRANSPORT!$S:$S,DATA_TRANSPORT!$A:$A,$B$10,DATA_TRANSPORT!$E:$E,AE48))+IF(OR(AE48="",$B$10=0),0,SUMIFS(DATA_TRANSPORT_COSTS!$M:$M,DATA_TRANSPORT_COSTS!$A:$A,$B$10,DATA_TRANSPORT_COSTS!$D:$D,AE48))</f>
        <v/>
      </c>
      <c r="AL48">
        <f>IF(OR(AF48=0,AK48=0),"",AK48/AF48)</f>
        <v/>
      </c>
      <c r="AM48">
        <f>IF(OR(AE48="",$B$10=0),0,SUMIFS(DATA_TRANSPORT!$S:$S,DATA_TRANSPORT!$A:$A,$B$10,DATA_TRANSPORT!$E:$E,AE48,DATA_TRANSPORT!$C:$C,"FT Procured"))</f>
        <v/>
      </c>
      <c r="AN48">
        <f>IF(OR(AE48="",$B$10=0),0,SUMIFS(DATA_TRANSPORT_BUDGET!$G:$G,DATA_TRANSPORT_BUDGET!$A:$A,$B$10,DATA_TRANSPORT_BUDGET!$D:$D,AE48))</f>
        <v/>
      </c>
      <c r="AO48">
        <f>IF(AN48=0,"",AM48-AN48)</f>
        <v/>
      </c>
      <c r="AP48">
        <f>IF(OR(AE48="",$B$10=0),0,COUNTIFS(DATA_TRANSPORT!$A:$A,$B$10,DATA_TRANSPORT!$E:$E,AE48,DATA_TRANSPORT!$C:$C,"FT Procured",DATA_TRANSPORT!$Y:$Y,"Y"))</f>
        <v/>
      </c>
      <c r="AQ48">
        <f>IF(OR(AE48="",$B$10=0),0,SUMIFS(DATA_TRANSPORT_BUDGET!$E:$E,DATA_TRANSPORT_BUDGET!$A:$A,$B$10,DATA_TRANSPORT_BUDGET!$D:$D,AE48))</f>
        <v/>
      </c>
      <c r="AR48">
        <f>IF(OR(AE48="",$B$10=0),0,COUNTIFS(DATA_TRANSPORT!$A:$A,$B$10,DATA_TRANSPORT!$E:$E,AE48,DATA_TRANSPORT!$U:$U,"Breakdown"))</f>
        <v/>
      </c>
      <c r="AS48">
        <f>IF(IF(OR(AE48="",$B$10=0),0,SUMIFS(DATA_TRANSPORT!$L:$L,DATA_TRANSPORT!$A:$A,$B$10-7,DATA_TRANSPORT!$E:$E,AE48))=0,"",IF(OR(AE48="",$B$10=0),0,SUMIFS(DATA_TRANSPORT!$R:$R,DATA_TRANSPORT!$A:$A,$B$10-7,DATA_TRANSPORT!$E:$E,AE48))/IF(OR(AE48="",$B$10=0),0,SUMIFS(DATA_TRANSPORT!$L:$L,DATA_TRANSPORT!$A:$A,$B$10-7,DATA_TRANSPORT!$E:$E,AE48)))</f>
        <v/>
      </c>
      <c r="AT48">
        <f>IF(IF(OR(AE48="",$B$10=0),0,SUMIFS(DATA_TRANSPORT!$L:$L,DATA_TRANSPORT!$A:$A,$B$10-14,DATA_TRANSPORT!$E:$E,AE48))=0,"",IF(OR(AE48="",$B$10=0),0,SUMIFS(DATA_TRANSPORT!$R:$R,DATA_TRANSPORT!$A:$A,$B$10-14,DATA_TRANSPORT!$E:$E,AE48))/IF(OR(AE48="",$B$10=0),0,SUMIFS(DATA_TRANSPORT!$L:$L,DATA_TRANSPORT!$A:$A,$B$10-14,DATA_TRANSPORT!$E:$E,AE48)))</f>
        <v/>
      </c>
      <c r="AU48">
        <f>IF(IF(OR(AE48="",$B$10=0),0,SUMIFS(DATA_TRANSPORT!$L:$L,DATA_TRANSPORT!$A:$A,$B$10-21,DATA_TRANSPORT!$E:$E,AE48))=0,"",IF(OR(AE48="",$B$10=0),0,SUMIFS(DATA_TRANSPORT!$R:$R,DATA_TRANSPORT!$A:$A,$B$10-21,DATA_TRANSPORT!$E:$E,AE48))/IF(OR(AE48="",$B$10=0),0,SUMIFS(DATA_TRANSPORT!$L:$L,DATA_TRANSPORT!$A:$A,$B$10-21,DATA_TRANSPORT!$E:$E,AE48)))</f>
        <v/>
      </c>
      <c r="AV48">
        <f>IF(AND(ISNUMBER(AJ48),AJ48&lt;UtilLow),1,0)+IF(AND(ISNUMBER(AS48),AS48&lt;UtilLow),1,0)+IF(AND(ISNUMBER(AT48),AT48&lt;UtilLow),1,0)+IF(AND(ISNUMBER(AU48),AU48&lt;UtilLow),1,0)</f>
        <v/>
      </c>
      <c r="AW48">
        <f>IF(AV48&gt;=UtilLowWeeks,AE48&amp;": seats only "&amp;TEXT(AJ48,"0%")&amp;" full, under "&amp;TEXT(UtilLow,"0%")&amp;" for "&amp;AV48&amp;" weeks running",IF(AND(ISNUMBER(AJ48),AJ48&gt;UtilHigh),AE48&amp;": demand exceeds seats ("&amp;TEXT(AJ48,"0%")&amp;" full) — consider more buses",IF(AND(ISNUMBER(AO48),AO48&gt;0),AE48&amp;": FT spend ₦"&amp;TEXT(AO48,"#,##0")&amp;" over the weekly budget",IF(AR48&gt;0,AE48&amp;": "&amp;AR48&amp;" coaster breakdown(s) this week",""))))</f>
        <v/>
      </c>
      <c r="AX48">
        <f>IF(ISNUMBER(AJ48),AJ48+ROW()/1000000000,"")</f>
        <v/>
      </c>
      <c r="AY48">
        <f>IF(ISNUMBER(AL48),AL48+ROW()/1000000,"")</f>
        <v/>
      </c>
      <c r="AZ48">
        <f>IF(AND(ISNUMBER(AO48),AO48&gt;0),AO48+ROW()/1000000,"")</f>
        <v/>
      </c>
      <c r="BA48">
        <f>IF(AF48&gt;0,AF48+ROW()/1000000,"")</f>
        <v/>
      </c>
      <c r="BB48">
        <f>IF(AW48="","",ROW())</f>
        <v/>
      </c>
    </row>
    <row r="49">
      <c r="A49" t="n">
        <v>28</v>
      </c>
      <c r="B49" s="170">
        <f>IF($B$10=0,"",$B$10-7*A49)</f>
        <v/>
      </c>
      <c r="C49">
        <f>IF(B49="","",MONTH(B49))</f>
        <v/>
      </c>
      <c r="D49">
        <f>IF(B49="","",ROUNDUP(MONTH(B49)/3,0))</f>
        <v/>
      </c>
      <c r="E49">
        <f>IF(B49="","",YEAR(B49))</f>
        <v/>
      </c>
      <c r="F49">
        <f>IF(B49="",0,COUNTIFS(DATA_TRANSPORT!$A:$A,B49,DATA_TRANSPORT!$E:$E,$B$6,DATA_TRANSPORT!$AB:$AB,$B$7))</f>
        <v/>
      </c>
      <c r="G49">
        <f>IF(F49=0,0,SUMIFS(DATA_TRANSPORT!$Q:$Q,DATA_TRANSPORT!$A:$A,B49,DATA_TRANSPORT!$E:$E,$B$6,DATA_TRANSPORT!$AB:$AB,$B$7))</f>
        <v/>
      </c>
      <c r="H49">
        <f>IF(F49=0,0,SUMIFS(DATA_TRANSPORT!$M:$M,DATA_TRANSPORT!$A:$A,B49,DATA_TRANSPORT!$E:$E,$B$6,DATA_TRANSPORT!$AB:$AB,$B$7))</f>
        <v/>
      </c>
      <c r="I49">
        <f>IF(F49=0,0,SUMIFS(DATA_TRANSPORT!$N:$N,DATA_TRANSPORT!$A:$A,B49,DATA_TRANSPORT!$E:$E,$B$6,DATA_TRANSPORT!$AB:$AB,$B$7))</f>
        <v/>
      </c>
      <c r="J49">
        <f>IF(F49=0,0,SUMIFS(DATA_TRANSPORT!$P:$P,DATA_TRANSPORT!$A:$A,B49,DATA_TRANSPORT!$E:$E,$B$6,DATA_TRANSPORT!$AB:$AB,$B$7))</f>
        <v/>
      </c>
      <c r="K49">
        <f>IF(F49=0,0,SUMIFS(DATA_TRANSPORT!$I:$I,DATA_TRANSPORT!$A:$A,B49,DATA_TRANSPORT!$E:$E,$B$6,DATA_TRANSPORT!$AB:$AB,$B$7))</f>
        <v/>
      </c>
      <c r="L49">
        <f>IF(F49=0,0,SUMIFS(DATA_TRANSPORT!$I:$I,DATA_TRANSPORT!$A:$A,B49,DATA_TRANSPORT!$E:$E,$B$6,DATA_TRANSPORT!$AB:$AB,$B$7,DATA_TRANSPORT!$U:$U,"Ran"))</f>
        <v/>
      </c>
      <c r="M49">
        <f>IF(F49=0,0,SUMIFS(DATA_TRANSPORT!$L:$L,DATA_TRANSPORT!$A:$A,B49,DATA_TRANSPORT!$E:$E,$B$6,DATA_TRANSPORT!$AB:$AB,$B$7))</f>
        <v/>
      </c>
      <c r="N49">
        <f>IF(F49=0,0,SUMIFS(DATA_TRANSPORT!$R:$R,DATA_TRANSPORT!$A:$A,B49,DATA_TRANSPORT!$E:$E,$B$6,DATA_TRANSPORT!$AB:$AB,$B$7))</f>
        <v/>
      </c>
      <c r="O49">
        <f>IF(F49=0,0,SUMIFS(DATA_TRANSPORT!$S:$S,DATA_TRANSPORT!$A:$A,B49,DATA_TRANSPORT!$E:$E,$B$6,DATA_TRANSPORT!$AB:$AB,$B$7))</f>
        <v/>
      </c>
      <c r="P49">
        <f>IF(OR(B49="",$B$17),0,SUMIFS(DATA_TRANSPORT_COSTS!$M:$M,DATA_TRANSPORT_COSTS!$A:$A,B49,DATA_TRANSPORT_COSTS!$D:$D,$B$6))</f>
        <v/>
      </c>
      <c r="Q49">
        <f>O49+P49</f>
        <v/>
      </c>
      <c r="R49">
        <f>P49+IF(F49=0,0,SUMIFS(DATA_TRANSPORT!$S:$S,DATA_TRANSPORT!$A:$A,B49,DATA_TRANSPORT!$E:$E,$B$6,DATA_TRANSPORT!$AB:$AB,$B$7,DATA_TRANSPORT!$T:$T,"Central"))</f>
        <v/>
      </c>
      <c r="S49">
        <f>IF(F49=0,0,SUMIFS(DATA_TRANSPORT!$S:$S,DATA_TRANSPORT!$A:$A,B49,DATA_TRANSPORT!$E:$E,$B$6,DATA_TRANSPORT!$AB:$AB,$B$7,DATA_TRANSPORT!$T:$T,"Members"))</f>
        <v/>
      </c>
      <c r="T49">
        <f>IF(OR(B49="",$B$17),0,SUMIFS(DATA_TRANSPORT_BUDGET!$G:$G,DATA_TRANSPORT_BUDGET!$A:$A,B49,DATA_TRANSPORT_BUDGET!$D:$D,$B$6))</f>
        <v/>
      </c>
      <c r="U49">
        <f>IF(F49=0,0,SUMIFS(DATA_TRANSPORT!$S:$S,DATA_TRANSPORT!$A:$A,B49,DATA_TRANSPORT!$E:$E,$B$6,DATA_TRANSPORT!$AB:$AB,$B$7,DATA_TRANSPORT!$C:$C,"FT Procured"))</f>
        <v/>
      </c>
      <c r="V49">
        <f>IF(F49=0,0,COUNTIFS(DATA_TRANSPORT!$A:$A,B49,DATA_TRANSPORT!$E:$E,$B$6,DATA_TRANSPORT!$AB:$AB,$B$7,DATA_TRANSPORT!$U:$U,"Breakdown"))</f>
        <v/>
      </c>
      <c r="W49">
        <f>IF(M49=0,0,N49/M49)</f>
        <v/>
      </c>
      <c r="X49">
        <f>IF(F49&gt;0,1,0)</f>
        <v/>
      </c>
      <c r="Y49">
        <f>IF(AND(A49&gt;=1,A49&lt;=$B$11),X49,0)</f>
        <v/>
      </c>
      <c r="Z49">
        <f>IF(AND(C49=$B$12,E49=$B$14),X49,0)</f>
        <v/>
      </c>
      <c r="AA49">
        <f>IF(AND(D49=$B$13,E49=$B$14),X49,0)</f>
        <v/>
      </c>
      <c r="AB49">
        <f>IF(E49=$B$14,X49,0)</f>
        <v/>
      </c>
      <c r="AE49">
        <f>IFERROR(INDEX(MASTER_AREAS!$B:$B,48)&amp;"","")</f>
        <v/>
      </c>
      <c r="AF49">
        <f>IF(OR(AE49="",$B$10=0),0,SUMIFS(DATA_TRANSPORT!$Q:$Q,DATA_TRANSPORT!$A:$A,$B$10,DATA_TRANSPORT!$E:$E,AE49))</f>
        <v/>
      </c>
      <c r="AG49">
        <f>IF(OR(AE49="",$B$10=0),0,SUMIFS(DATA_TRANSPORT!$I:$I,DATA_TRANSPORT!$A:$A,$B$10,DATA_TRANSPORT!$E:$E,AE49,DATA_TRANSPORT!$U:$U,"Ran"))</f>
        <v/>
      </c>
      <c r="AH49">
        <f>IF(OR(AE49="",$B$10=0),0,SUMIFS(DATA_TRANSPORT!$L:$L,DATA_TRANSPORT!$A:$A,$B$10,DATA_TRANSPORT!$E:$E,AE49))</f>
        <v/>
      </c>
      <c r="AI49">
        <f>IF(OR(AE49="",$B$10=0),0,SUMIFS(DATA_TRANSPORT!$R:$R,DATA_TRANSPORT!$A:$A,$B$10,DATA_TRANSPORT!$E:$E,AE49))</f>
        <v/>
      </c>
      <c r="AJ49">
        <f>IF(AH49=0,"",AI49/AH49)</f>
        <v/>
      </c>
      <c r="AK49">
        <f>IF(OR(AE49="",$B$10=0),0,SUMIFS(DATA_TRANSPORT!$S:$S,DATA_TRANSPORT!$A:$A,$B$10,DATA_TRANSPORT!$E:$E,AE49))+IF(OR(AE49="",$B$10=0),0,SUMIFS(DATA_TRANSPORT_COSTS!$M:$M,DATA_TRANSPORT_COSTS!$A:$A,$B$10,DATA_TRANSPORT_COSTS!$D:$D,AE49))</f>
        <v/>
      </c>
      <c r="AL49">
        <f>IF(OR(AF49=0,AK49=0),"",AK49/AF49)</f>
        <v/>
      </c>
      <c r="AM49">
        <f>IF(OR(AE49="",$B$10=0),0,SUMIFS(DATA_TRANSPORT!$S:$S,DATA_TRANSPORT!$A:$A,$B$10,DATA_TRANSPORT!$E:$E,AE49,DATA_TRANSPORT!$C:$C,"FT Procured"))</f>
        <v/>
      </c>
      <c r="AN49">
        <f>IF(OR(AE49="",$B$10=0),0,SUMIFS(DATA_TRANSPORT_BUDGET!$G:$G,DATA_TRANSPORT_BUDGET!$A:$A,$B$10,DATA_TRANSPORT_BUDGET!$D:$D,AE49))</f>
        <v/>
      </c>
      <c r="AO49">
        <f>IF(AN49=0,"",AM49-AN49)</f>
        <v/>
      </c>
      <c r="AP49">
        <f>IF(OR(AE49="",$B$10=0),0,COUNTIFS(DATA_TRANSPORT!$A:$A,$B$10,DATA_TRANSPORT!$E:$E,AE49,DATA_TRANSPORT!$C:$C,"FT Procured",DATA_TRANSPORT!$Y:$Y,"Y"))</f>
        <v/>
      </c>
      <c r="AQ49">
        <f>IF(OR(AE49="",$B$10=0),0,SUMIFS(DATA_TRANSPORT_BUDGET!$E:$E,DATA_TRANSPORT_BUDGET!$A:$A,$B$10,DATA_TRANSPORT_BUDGET!$D:$D,AE49))</f>
        <v/>
      </c>
      <c r="AR49">
        <f>IF(OR(AE49="",$B$10=0),0,COUNTIFS(DATA_TRANSPORT!$A:$A,$B$10,DATA_TRANSPORT!$E:$E,AE49,DATA_TRANSPORT!$U:$U,"Breakdown"))</f>
        <v/>
      </c>
      <c r="AS49">
        <f>IF(IF(OR(AE49="",$B$10=0),0,SUMIFS(DATA_TRANSPORT!$L:$L,DATA_TRANSPORT!$A:$A,$B$10-7,DATA_TRANSPORT!$E:$E,AE49))=0,"",IF(OR(AE49="",$B$10=0),0,SUMIFS(DATA_TRANSPORT!$R:$R,DATA_TRANSPORT!$A:$A,$B$10-7,DATA_TRANSPORT!$E:$E,AE49))/IF(OR(AE49="",$B$10=0),0,SUMIFS(DATA_TRANSPORT!$L:$L,DATA_TRANSPORT!$A:$A,$B$10-7,DATA_TRANSPORT!$E:$E,AE49)))</f>
        <v/>
      </c>
      <c r="AT49">
        <f>IF(IF(OR(AE49="",$B$10=0),0,SUMIFS(DATA_TRANSPORT!$L:$L,DATA_TRANSPORT!$A:$A,$B$10-14,DATA_TRANSPORT!$E:$E,AE49))=0,"",IF(OR(AE49="",$B$10=0),0,SUMIFS(DATA_TRANSPORT!$R:$R,DATA_TRANSPORT!$A:$A,$B$10-14,DATA_TRANSPORT!$E:$E,AE49))/IF(OR(AE49="",$B$10=0),0,SUMIFS(DATA_TRANSPORT!$L:$L,DATA_TRANSPORT!$A:$A,$B$10-14,DATA_TRANSPORT!$E:$E,AE49)))</f>
        <v/>
      </c>
      <c r="AU49">
        <f>IF(IF(OR(AE49="",$B$10=0),0,SUMIFS(DATA_TRANSPORT!$L:$L,DATA_TRANSPORT!$A:$A,$B$10-21,DATA_TRANSPORT!$E:$E,AE49))=0,"",IF(OR(AE49="",$B$10=0),0,SUMIFS(DATA_TRANSPORT!$R:$R,DATA_TRANSPORT!$A:$A,$B$10-21,DATA_TRANSPORT!$E:$E,AE49))/IF(OR(AE49="",$B$10=0),0,SUMIFS(DATA_TRANSPORT!$L:$L,DATA_TRANSPORT!$A:$A,$B$10-21,DATA_TRANSPORT!$E:$E,AE49)))</f>
        <v/>
      </c>
      <c r="AV49">
        <f>IF(AND(ISNUMBER(AJ49),AJ49&lt;UtilLow),1,0)+IF(AND(ISNUMBER(AS49),AS49&lt;UtilLow),1,0)+IF(AND(ISNUMBER(AT49),AT49&lt;UtilLow),1,0)+IF(AND(ISNUMBER(AU49),AU49&lt;UtilLow),1,0)</f>
        <v/>
      </c>
      <c r="AW49">
        <f>IF(AV49&gt;=UtilLowWeeks,AE49&amp;": seats only "&amp;TEXT(AJ49,"0%")&amp;" full, under "&amp;TEXT(UtilLow,"0%")&amp;" for "&amp;AV49&amp;" weeks running",IF(AND(ISNUMBER(AJ49),AJ49&gt;UtilHigh),AE49&amp;": demand exceeds seats ("&amp;TEXT(AJ49,"0%")&amp;" full) — consider more buses",IF(AND(ISNUMBER(AO49),AO49&gt;0),AE49&amp;": FT spend ₦"&amp;TEXT(AO49,"#,##0")&amp;" over the weekly budget",IF(AR49&gt;0,AE49&amp;": "&amp;AR49&amp;" coaster breakdown(s) this week",""))))</f>
        <v/>
      </c>
      <c r="AX49">
        <f>IF(ISNUMBER(AJ49),AJ49+ROW()/1000000000,"")</f>
        <v/>
      </c>
      <c r="AY49">
        <f>IF(ISNUMBER(AL49),AL49+ROW()/1000000,"")</f>
        <v/>
      </c>
      <c r="AZ49">
        <f>IF(AND(ISNUMBER(AO49),AO49&gt;0),AO49+ROW()/1000000,"")</f>
        <v/>
      </c>
      <c r="BA49">
        <f>IF(AF49&gt;0,AF49+ROW()/1000000,"")</f>
        <v/>
      </c>
      <c r="BB49">
        <f>IF(AW49="","",ROW())</f>
        <v/>
      </c>
    </row>
    <row r="50">
      <c r="A50" t="n">
        <v>29</v>
      </c>
      <c r="B50" s="170">
        <f>IF($B$10=0,"",$B$10-7*A50)</f>
        <v/>
      </c>
      <c r="C50">
        <f>IF(B50="","",MONTH(B50))</f>
        <v/>
      </c>
      <c r="D50">
        <f>IF(B50="","",ROUNDUP(MONTH(B50)/3,0))</f>
        <v/>
      </c>
      <c r="E50">
        <f>IF(B50="","",YEAR(B50))</f>
        <v/>
      </c>
      <c r="F50">
        <f>IF(B50="",0,COUNTIFS(DATA_TRANSPORT!$A:$A,B50,DATA_TRANSPORT!$E:$E,$B$6,DATA_TRANSPORT!$AB:$AB,$B$7))</f>
        <v/>
      </c>
      <c r="G50">
        <f>IF(F50=0,0,SUMIFS(DATA_TRANSPORT!$Q:$Q,DATA_TRANSPORT!$A:$A,B50,DATA_TRANSPORT!$E:$E,$B$6,DATA_TRANSPORT!$AB:$AB,$B$7))</f>
        <v/>
      </c>
      <c r="H50">
        <f>IF(F50=0,0,SUMIFS(DATA_TRANSPORT!$M:$M,DATA_TRANSPORT!$A:$A,B50,DATA_TRANSPORT!$E:$E,$B$6,DATA_TRANSPORT!$AB:$AB,$B$7))</f>
        <v/>
      </c>
      <c r="I50">
        <f>IF(F50=0,0,SUMIFS(DATA_TRANSPORT!$N:$N,DATA_TRANSPORT!$A:$A,B50,DATA_TRANSPORT!$E:$E,$B$6,DATA_TRANSPORT!$AB:$AB,$B$7))</f>
        <v/>
      </c>
      <c r="J50">
        <f>IF(F50=0,0,SUMIFS(DATA_TRANSPORT!$P:$P,DATA_TRANSPORT!$A:$A,B50,DATA_TRANSPORT!$E:$E,$B$6,DATA_TRANSPORT!$AB:$AB,$B$7))</f>
        <v/>
      </c>
      <c r="K50">
        <f>IF(F50=0,0,SUMIFS(DATA_TRANSPORT!$I:$I,DATA_TRANSPORT!$A:$A,B50,DATA_TRANSPORT!$E:$E,$B$6,DATA_TRANSPORT!$AB:$AB,$B$7))</f>
        <v/>
      </c>
      <c r="L50">
        <f>IF(F50=0,0,SUMIFS(DATA_TRANSPORT!$I:$I,DATA_TRANSPORT!$A:$A,B50,DATA_TRANSPORT!$E:$E,$B$6,DATA_TRANSPORT!$AB:$AB,$B$7,DATA_TRANSPORT!$U:$U,"Ran"))</f>
        <v/>
      </c>
      <c r="M50">
        <f>IF(F50=0,0,SUMIFS(DATA_TRANSPORT!$L:$L,DATA_TRANSPORT!$A:$A,B50,DATA_TRANSPORT!$E:$E,$B$6,DATA_TRANSPORT!$AB:$AB,$B$7))</f>
        <v/>
      </c>
      <c r="N50">
        <f>IF(F50=0,0,SUMIFS(DATA_TRANSPORT!$R:$R,DATA_TRANSPORT!$A:$A,B50,DATA_TRANSPORT!$E:$E,$B$6,DATA_TRANSPORT!$AB:$AB,$B$7))</f>
        <v/>
      </c>
      <c r="O50">
        <f>IF(F50=0,0,SUMIFS(DATA_TRANSPORT!$S:$S,DATA_TRANSPORT!$A:$A,B50,DATA_TRANSPORT!$E:$E,$B$6,DATA_TRANSPORT!$AB:$AB,$B$7))</f>
        <v/>
      </c>
      <c r="P50">
        <f>IF(OR(B50="",$B$17),0,SUMIFS(DATA_TRANSPORT_COSTS!$M:$M,DATA_TRANSPORT_COSTS!$A:$A,B50,DATA_TRANSPORT_COSTS!$D:$D,$B$6))</f>
        <v/>
      </c>
      <c r="Q50">
        <f>O50+P50</f>
        <v/>
      </c>
      <c r="R50">
        <f>P50+IF(F50=0,0,SUMIFS(DATA_TRANSPORT!$S:$S,DATA_TRANSPORT!$A:$A,B50,DATA_TRANSPORT!$E:$E,$B$6,DATA_TRANSPORT!$AB:$AB,$B$7,DATA_TRANSPORT!$T:$T,"Central"))</f>
        <v/>
      </c>
      <c r="S50">
        <f>IF(F50=0,0,SUMIFS(DATA_TRANSPORT!$S:$S,DATA_TRANSPORT!$A:$A,B50,DATA_TRANSPORT!$E:$E,$B$6,DATA_TRANSPORT!$AB:$AB,$B$7,DATA_TRANSPORT!$T:$T,"Members"))</f>
        <v/>
      </c>
      <c r="T50">
        <f>IF(OR(B50="",$B$17),0,SUMIFS(DATA_TRANSPORT_BUDGET!$G:$G,DATA_TRANSPORT_BUDGET!$A:$A,B50,DATA_TRANSPORT_BUDGET!$D:$D,$B$6))</f>
        <v/>
      </c>
      <c r="U50">
        <f>IF(F50=0,0,SUMIFS(DATA_TRANSPORT!$S:$S,DATA_TRANSPORT!$A:$A,B50,DATA_TRANSPORT!$E:$E,$B$6,DATA_TRANSPORT!$AB:$AB,$B$7,DATA_TRANSPORT!$C:$C,"FT Procured"))</f>
        <v/>
      </c>
      <c r="V50">
        <f>IF(F50=0,0,COUNTIFS(DATA_TRANSPORT!$A:$A,B50,DATA_TRANSPORT!$E:$E,$B$6,DATA_TRANSPORT!$AB:$AB,$B$7,DATA_TRANSPORT!$U:$U,"Breakdown"))</f>
        <v/>
      </c>
      <c r="W50">
        <f>IF(M50=0,0,N50/M50)</f>
        <v/>
      </c>
      <c r="X50">
        <f>IF(F50&gt;0,1,0)</f>
        <v/>
      </c>
      <c r="Y50">
        <f>IF(AND(A50&gt;=1,A50&lt;=$B$11),X50,0)</f>
        <v/>
      </c>
      <c r="Z50">
        <f>IF(AND(C50=$B$12,E50=$B$14),X50,0)</f>
        <v/>
      </c>
      <c r="AA50">
        <f>IF(AND(D50=$B$13,E50=$B$14),X50,0)</f>
        <v/>
      </c>
      <c r="AB50">
        <f>IF(E50=$B$14,X50,0)</f>
        <v/>
      </c>
      <c r="AE50">
        <f>IFERROR(INDEX(MASTER_AREAS!$B:$B,49)&amp;"","")</f>
        <v/>
      </c>
      <c r="AF50">
        <f>IF(OR(AE50="",$B$10=0),0,SUMIFS(DATA_TRANSPORT!$Q:$Q,DATA_TRANSPORT!$A:$A,$B$10,DATA_TRANSPORT!$E:$E,AE50))</f>
        <v/>
      </c>
      <c r="AG50">
        <f>IF(OR(AE50="",$B$10=0),0,SUMIFS(DATA_TRANSPORT!$I:$I,DATA_TRANSPORT!$A:$A,$B$10,DATA_TRANSPORT!$E:$E,AE50,DATA_TRANSPORT!$U:$U,"Ran"))</f>
        <v/>
      </c>
      <c r="AH50">
        <f>IF(OR(AE50="",$B$10=0),0,SUMIFS(DATA_TRANSPORT!$L:$L,DATA_TRANSPORT!$A:$A,$B$10,DATA_TRANSPORT!$E:$E,AE50))</f>
        <v/>
      </c>
      <c r="AI50">
        <f>IF(OR(AE50="",$B$10=0),0,SUMIFS(DATA_TRANSPORT!$R:$R,DATA_TRANSPORT!$A:$A,$B$10,DATA_TRANSPORT!$E:$E,AE50))</f>
        <v/>
      </c>
      <c r="AJ50">
        <f>IF(AH50=0,"",AI50/AH50)</f>
        <v/>
      </c>
      <c r="AK50">
        <f>IF(OR(AE50="",$B$10=0),0,SUMIFS(DATA_TRANSPORT!$S:$S,DATA_TRANSPORT!$A:$A,$B$10,DATA_TRANSPORT!$E:$E,AE50))+IF(OR(AE50="",$B$10=0),0,SUMIFS(DATA_TRANSPORT_COSTS!$M:$M,DATA_TRANSPORT_COSTS!$A:$A,$B$10,DATA_TRANSPORT_COSTS!$D:$D,AE50))</f>
        <v/>
      </c>
      <c r="AL50">
        <f>IF(OR(AF50=0,AK50=0),"",AK50/AF50)</f>
        <v/>
      </c>
      <c r="AM50">
        <f>IF(OR(AE50="",$B$10=0),0,SUMIFS(DATA_TRANSPORT!$S:$S,DATA_TRANSPORT!$A:$A,$B$10,DATA_TRANSPORT!$E:$E,AE50,DATA_TRANSPORT!$C:$C,"FT Procured"))</f>
        <v/>
      </c>
      <c r="AN50">
        <f>IF(OR(AE50="",$B$10=0),0,SUMIFS(DATA_TRANSPORT_BUDGET!$G:$G,DATA_TRANSPORT_BUDGET!$A:$A,$B$10,DATA_TRANSPORT_BUDGET!$D:$D,AE50))</f>
        <v/>
      </c>
      <c r="AO50">
        <f>IF(AN50=0,"",AM50-AN50)</f>
        <v/>
      </c>
      <c r="AP50">
        <f>IF(OR(AE50="",$B$10=0),0,COUNTIFS(DATA_TRANSPORT!$A:$A,$B$10,DATA_TRANSPORT!$E:$E,AE50,DATA_TRANSPORT!$C:$C,"FT Procured",DATA_TRANSPORT!$Y:$Y,"Y"))</f>
        <v/>
      </c>
      <c r="AQ50">
        <f>IF(OR(AE50="",$B$10=0),0,SUMIFS(DATA_TRANSPORT_BUDGET!$E:$E,DATA_TRANSPORT_BUDGET!$A:$A,$B$10,DATA_TRANSPORT_BUDGET!$D:$D,AE50))</f>
        <v/>
      </c>
      <c r="AR50">
        <f>IF(OR(AE50="",$B$10=0),0,COUNTIFS(DATA_TRANSPORT!$A:$A,$B$10,DATA_TRANSPORT!$E:$E,AE50,DATA_TRANSPORT!$U:$U,"Breakdown"))</f>
        <v/>
      </c>
      <c r="AS50">
        <f>IF(IF(OR(AE50="",$B$10=0),0,SUMIFS(DATA_TRANSPORT!$L:$L,DATA_TRANSPORT!$A:$A,$B$10-7,DATA_TRANSPORT!$E:$E,AE50))=0,"",IF(OR(AE50="",$B$10=0),0,SUMIFS(DATA_TRANSPORT!$R:$R,DATA_TRANSPORT!$A:$A,$B$10-7,DATA_TRANSPORT!$E:$E,AE50))/IF(OR(AE50="",$B$10=0),0,SUMIFS(DATA_TRANSPORT!$L:$L,DATA_TRANSPORT!$A:$A,$B$10-7,DATA_TRANSPORT!$E:$E,AE50)))</f>
        <v/>
      </c>
      <c r="AT50">
        <f>IF(IF(OR(AE50="",$B$10=0),0,SUMIFS(DATA_TRANSPORT!$L:$L,DATA_TRANSPORT!$A:$A,$B$10-14,DATA_TRANSPORT!$E:$E,AE50))=0,"",IF(OR(AE50="",$B$10=0),0,SUMIFS(DATA_TRANSPORT!$R:$R,DATA_TRANSPORT!$A:$A,$B$10-14,DATA_TRANSPORT!$E:$E,AE50))/IF(OR(AE50="",$B$10=0),0,SUMIFS(DATA_TRANSPORT!$L:$L,DATA_TRANSPORT!$A:$A,$B$10-14,DATA_TRANSPORT!$E:$E,AE50)))</f>
        <v/>
      </c>
      <c r="AU50">
        <f>IF(IF(OR(AE50="",$B$10=0),0,SUMIFS(DATA_TRANSPORT!$L:$L,DATA_TRANSPORT!$A:$A,$B$10-21,DATA_TRANSPORT!$E:$E,AE50))=0,"",IF(OR(AE50="",$B$10=0),0,SUMIFS(DATA_TRANSPORT!$R:$R,DATA_TRANSPORT!$A:$A,$B$10-21,DATA_TRANSPORT!$E:$E,AE50))/IF(OR(AE50="",$B$10=0),0,SUMIFS(DATA_TRANSPORT!$L:$L,DATA_TRANSPORT!$A:$A,$B$10-21,DATA_TRANSPORT!$E:$E,AE50)))</f>
        <v/>
      </c>
      <c r="AV50">
        <f>IF(AND(ISNUMBER(AJ50),AJ50&lt;UtilLow),1,0)+IF(AND(ISNUMBER(AS50),AS50&lt;UtilLow),1,0)+IF(AND(ISNUMBER(AT50),AT50&lt;UtilLow),1,0)+IF(AND(ISNUMBER(AU50),AU50&lt;UtilLow),1,0)</f>
        <v/>
      </c>
      <c r="AW50">
        <f>IF(AV50&gt;=UtilLowWeeks,AE50&amp;": seats only "&amp;TEXT(AJ50,"0%")&amp;" full, under "&amp;TEXT(UtilLow,"0%")&amp;" for "&amp;AV50&amp;" weeks running",IF(AND(ISNUMBER(AJ50),AJ50&gt;UtilHigh),AE50&amp;": demand exceeds seats ("&amp;TEXT(AJ50,"0%")&amp;" full) — consider more buses",IF(AND(ISNUMBER(AO50),AO50&gt;0),AE50&amp;": FT spend ₦"&amp;TEXT(AO50,"#,##0")&amp;" over the weekly budget",IF(AR50&gt;0,AE50&amp;": "&amp;AR50&amp;" coaster breakdown(s) this week",""))))</f>
        <v/>
      </c>
      <c r="AX50">
        <f>IF(ISNUMBER(AJ50),AJ50+ROW()/1000000000,"")</f>
        <v/>
      </c>
      <c r="AY50">
        <f>IF(ISNUMBER(AL50),AL50+ROW()/1000000,"")</f>
        <v/>
      </c>
      <c r="AZ50">
        <f>IF(AND(ISNUMBER(AO50),AO50&gt;0),AO50+ROW()/1000000,"")</f>
        <v/>
      </c>
      <c r="BA50">
        <f>IF(AF50&gt;0,AF50+ROW()/1000000,"")</f>
        <v/>
      </c>
      <c r="BB50">
        <f>IF(AW50="","",ROW())</f>
        <v/>
      </c>
    </row>
    <row r="51">
      <c r="A51" t="n">
        <v>30</v>
      </c>
      <c r="B51" s="170">
        <f>IF($B$10=0,"",$B$10-7*A51)</f>
        <v/>
      </c>
      <c r="C51">
        <f>IF(B51="","",MONTH(B51))</f>
        <v/>
      </c>
      <c r="D51">
        <f>IF(B51="","",ROUNDUP(MONTH(B51)/3,0))</f>
        <v/>
      </c>
      <c r="E51">
        <f>IF(B51="","",YEAR(B51))</f>
        <v/>
      </c>
      <c r="F51">
        <f>IF(B51="",0,COUNTIFS(DATA_TRANSPORT!$A:$A,B51,DATA_TRANSPORT!$E:$E,$B$6,DATA_TRANSPORT!$AB:$AB,$B$7))</f>
        <v/>
      </c>
      <c r="G51">
        <f>IF(F51=0,0,SUMIFS(DATA_TRANSPORT!$Q:$Q,DATA_TRANSPORT!$A:$A,B51,DATA_TRANSPORT!$E:$E,$B$6,DATA_TRANSPORT!$AB:$AB,$B$7))</f>
        <v/>
      </c>
      <c r="H51">
        <f>IF(F51=0,0,SUMIFS(DATA_TRANSPORT!$M:$M,DATA_TRANSPORT!$A:$A,B51,DATA_TRANSPORT!$E:$E,$B$6,DATA_TRANSPORT!$AB:$AB,$B$7))</f>
        <v/>
      </c>
      <c r="I51">
        <f>IF(F51=0,0,SUMIFS(DATA_TRANSPORT!$N:$N,DATA_TRANSPORT!$A:$A,B51,DATA_TRANSPORT!$E:$E,$B$6,DATA_TRANSPORT!$AB:$AB,$B$7))</f>
        <v/>
      </c>
      <c r="J51">
        <f>IF(F51=0,0,SUMIFS(DATA_TRANSPORT!$P:$P,DATA_TRANSPORT!$A:$A,B51,DATA_TRANSPORT!$E:$E,$B$6,DATA_TRANSPORT!$AB:$AB,$B$7))</f>
        <v/>
      </c>
      <c r="K51">
        <f>IF(F51=0,0,SUMIFS(DATA_TRANSPORT!$I:$I,DATA_TRANSPORT!$A:$A,B51,DATA_TRANSPORT!$E:$E,$B$6,DATA_TRANSPORT!$AB:$AB,$B$7))</f>
        <v/>
      </c>
      <c r="L51">
        <f>IF(F51=0,0,SUMIFS(DATA_TRANSPORT!$I:$I,DATA_TRANSPORT!$A:$A,B51,DATA_TRANSPORT!$E:$E,$B$6,DATA_TRANSPORT!$AB:$AB,$B$7,DATA_TRANSPORT!$U:$U,"Ran"))</f>
        <v/>
      </c>
      <c r="M51">
        <f>IF(F51=0,0,SUMIFS(DATA_TRANSPORT!$L:$L,DATA_TRANSPORT!$A:$A,B51,DATA_TRANSPORT!$E:$E,$B$6,DATA_TRANSPORT!$AB:$AB,$B$7))</f>
        <v/>
      </c>
      <c r="N51">
        <f>IF(F51=0,0,SUMIFS(DATA_TRANSPORT!$R:$R,DATA_TRANSPORT!$A:$A,B51,DATA_TRANSPORT!$E:$E,$B$6,DATA_TRANSPORT!$AB:$AB,$B$7))</f>
        <v/>
      </c>
      <c r="O51">
        <f>IF(F51=0,0,SUMIFS(DATA_TRANSPORT!$S:$S,DATA_TRANSPORT!$A:$A,B51,DATA_TRANSPORT!$E:$E,$B$6,DATA_TRANSPORT!$AB:$AB,$B$7))</f>
        <v/>
      </c>
      <c r="P51">
        <f>IF(OR(B51="",$B$17),0,SUMIFS(DATA_TRANSPORT_COSTS!$M:$M,DATA_TRANSPORT_COSTS!$A:$A,B51,DATA_TRANSPORT_COSTS!$D:$D,$B$6))</f>
        <v/>
      </c>
      <c r="Q51">
        <f>O51+P51</f>
        <v/>
      </c>
      <c r="R51">
        <f>P51+IF(F51=0,0,SUMIFS(DATA_TRANSPORT!$S:$S,DATA_TRANSPORT!$A:$A,B51,DATA_TRANSPORT!$E:$E,$B$6,DATA_TRANSPORT!$AB:$AB,$B$7,DATA_TRANSPORT!$T:$T,"Central"))</f>
        <v/>
      </c>
      <c r="S51">
        <f>IF(F51=0,0,SUMIFS(DATA_TRANSPORT!$S:$S,DATA_TRANSPORT!$A:$A,B51,DATA_TRANSPORT!$E:$E,$B$6,DATA_TRANSPORT!$AB:$AB,$B$7,DATA_TRANSPORT!$T:$T,"Members"))</f>
        <v/>
      </c>
      <c r="T51">
        <f>IF(OR(B51="",$B$17),0,SUMIFS(DATA_TRANSPORT_BUDGET!$G:$G,DATA_TRANSPORT_BUDGET!$A:$A,B51,DATA_TRANSPORT_BUDGET!$D:$D,$B$6))</f>
        <v/>
      </c>
      <c r="U51">
        <f>IF(F51=0,0,SUMIFS(DATA_TRANSPORT!$S:$S,DATA_TRANSPORT!$A:$A,B51,DATA_TRANSPORT!$E:$E,$B$6,DATA_TRANSPORT!$AB:$AB,$B$7,DATA_TRANSPORT!$C:$C,"FT Procured"))</f>
        <v/>
      </c>
      <c r="V51">
        <f>IF(F51=0,0,COUNTIFS(DATA_TRANSPORT!$A:$A,B51,DATA_TRANSPORT!$E:$E,$B$6,DATA_TRANSPORT!$AB:$AB,$B$7,DATA_TRANSPORT!$U:$U,"Breakdown"))</f>
        <v/>
      </c>
      <c r="W51">
        <f>IF(M51=0,0,N51/M51)</f>
        <v/>
      </c>
      <c r="X51">
        <f>IF(F51&gt;0,1,0)</f>
        <v/>
      </c>
      <c r="Y51">
        <f>IF(AND(A51&gt;=1,A51&lt;=$B$11),X51,0)</f>
        <v/>
      </c>
      <c r="Z51">
        <f>IF(AND(C51=$B$12,E51=$B$14),X51,0)</f>
        <v/>
      </c>
      <c r="AA51">
        <f>IF(AND(D51=$B$13,E51=$B$14),X51,0)</f>
        <v/>
      </c>
      <c r="AB51">
        <f>IF(E51=$B$14,X51,0)</f>
        <v/>
      </c>
      <c r="AE51">
        <f>IFERROR(INDEX(MASTER_AREAS!$B:$B,50)&amp;"","")</f>
        <v/>
      </c>
      <c r="AF51">
        <f>IF(OR(AE51="",$B$10=0),0,SUMIFS(DATA_TRANSPORT!$Q:$Q,DATA_TRANSPORT!$A:$A,$B$10,DATA_TRANSPORT!$E:$E,AE51))</f>
        <v/>
      </c>
      <c r="AG51">
        <f>IF(OR(AE51="",$B$10=0),0,SUMIFS(DATA_TRANSPORT!$I:$I,DATA_TRANSPORT!$A:$A,$B$10,DATA_TRANSPORT!$E:$E,AE51,DATA_TRANSPORT!$U:$U,"Ran"))</f>
        <v/>
      </c>
      <c r="AH51">
        <f>IF(OR(AE51="",$B$10=0),0,SUMIFS(DATA_TRANSPORT!$L:$L,DATA_TRANSPORT!$A:$A,$B$10,DATA_TRANSPORT!$E:$E,AE51))</f>
        <v/>
      </c>
      <c r="AI51">
        <f>IF(OR(AE51="",$B$10=0),0,SUMIFS(DATA_TRANSPORT!$R:$R,DATA_TRANSPORT!$A:$A,$B$10,DATA_TRANSPORT!$E:$E,AE51))</f>
        <v/>
      </c>
      <c r="AJ51">
        <f>IF(AH51=0,"",AI51/AH51)</f>
        <v/>
      </c>
      <c r="AK51">
        <f>IF(OR(AE51="",$B$10=0),0,SUMIFS(DATA_TRANSPORT!$S:$S,DATA_TRANSPORT!$A:$A,$B$10,DATA_TRANSPORT!$E:$E,AE51))+IF(OR(AE51="",$B$10=0),0,SUMIFS(DATA_TRANSPORT_COSTS!$M:$M,DATA_TRANSPORT_COSTS!$A:$A,$B$10,DATA_TRANSPORT_COSTS!$D:$D,AE51))</f>
        <v/>
      </c>
      <c r="AL51">
        <f>IF(OR(AF51=0,AK51=0),"",AK51/AF51)</f>
        <v/>
      </c>
      <c r="AM51">
        <f>IF(OR(AE51="",$B$10=0),0,SUMIFS(DATA_TRANSPORT!$S:$S,DATA_TRANSPORT!$A:$A,$B$10,DATA_TRANSPORT!$E:$E,AE51,DATA_TRANSPORT!$C:$C,"FT Procured"))</f>
        <v/>
      </c>
      <c r="AN51">
        <f>IF(OR(AE51="",$B$10=0),0,SUMIFS(DATA_TRANSPORT_BUDGET!$G:$G,DATA_TRANSPORT_BUDGET!$A:$A,$B$10,DATA_TRANSPORT_BUDGET!$D:$D,AE51))</f>
        <v/>
      </c>
      <c r="AO51">
        <f>IF(AN51=0,"",AM51-AN51)</f>
        <v/>
      </c>
      <c r="AP51">
        <f>IF(OR(AE51="",$B$10=0),0,COUNTIFS(DATA_TRANSPORT!$A:$A,$B$10,DATA_TRANSPORT!$E:$E,AE51,DATA_TRANSPORT!$C:$C,"FT Procured",DATA_TRANSPORT!$Y:$Y,"Y"))</f>
        <v/>
      </c>
      <c r="AQ51">
        <f>IF(OR(AE51="",$B$10=0),0,SUMIFS(DATA_TRANSPORT_BUDGET!$E:$E,DATA_TRANSPORT_BUDGET!$A:$A,$B$10,DATA_TRANSPORT_BUDGET!$D:$D,AE51))</f>
        <v/>
      </c>
      <c r="AR51">
        <f>IF(OR(AE51="",$B$10=0),0,COUNTIFS(DATA_TRANSPORT!$A:$A,$B$10,DATA_TRANSPORT!$E:$E,AE51,DATA_TRANSPORT!$U:$U,"Breakdown"))</f>
        <v/>
      </c>
      <c r="AS51">
        <f>IF(IF(OR(AE51="",$B$10=0),0,SUMIFS(DATA_TRANSPORT!$L:$L,DATA_TRANSPORT!$A:$A,$B$10-7,DATA_TRANSPORT!$E:$E,AE51))=0,"",IF(OR(AE51="",$B$10=0),0,SUMIFS(DATA_TRANSPORT!$R:$R,DATA_TRANSPORT!$A:$A,$B$10-7,DATA_TRANSPORT!$E:$E,AE51))/IF(OR(AE51="",$B$10=0),0,SUMIFS(DATA_TRANSPORT!$L:$L,DATA_TRANSPORT!$A:$A,$B$10-7,DATA_TRANSPORT!$E:$E,AE51)))</f>
        <v/>
      </c>
      <c r="AT51">
        <f>IF(IF(OR(AE51="",$B$10=0),0,SUMIFS(DATA_TRANSPORT!$L:$L,DATA_TRANSPORT!$A:$A,$B$10-14,DATA_TRANSPORT!$E:$E,AE51))=0,"",IF(OR(AE51="",$B$10=0),0,SUMIFS(DATA_TRANSPORT!$R:$R,DATA_TRANSPORT!$A:$A,$B$10-14,DATA_TRANSPORT!$E:$E,AE51))/IF(OR(AE51="",$B$10=0),0,SUMIFS(DATA_TRANSPORT!$L:$L,DATA_TRANSPORT!$A:$A,$B$10-14,DATA_TRANSPORT!$E:$E,AE51)))</f>
        <v/>
      </c>
      <c r="AU51">
        <f>IF(IF(OR(AE51="",$B$10=0),0,SUMIFS(DATA_TRANSPORT!$L:$L,DATA_TRANSPORT!$A:$A,$B$10-21,DATA_TRANSPORT!$E:$E,AE51))=0,"",IF(OR(AE51="",$B$10=0),0,SUMIFS(DATA_TRANSPORT!$R:$R,DATA_TRANSPORT!$A:$A,$B$10-21,DATA_TRANSPORT!$E:$E,AE51))/IF(OR(AE51="",$B$10=0),0,SUMIFS(DATA_TRANSPORT!$L:$L,DATA_TRANSPORT!$A:$A,$B$10-21,DATA_TRANSPORT!$E:$E,AE51)))</f>
        <v/>
      </c>
      <c r="AV51">
        <f>IF(AND(ISNUMBER(AJ51),AJ51&lt;UtilLow),1,0)+IF(AND(ISNUMBER(AS51),AS51&lt;UtilLow),1,0)+IF(AND(ISNUMBER(AT51),AT51&lt;UtilLow),1,0)+IF(AND(ISNUMBER(AU51),AU51&lt;UtilLow),1,0)</f>
        <v/>
      </c>
      <c r="AW51">
        <f>IF(AV51&gt;=UtilLowWeeks,AE51&amp;": seats only "&amp;TEXT(AJ51,"0%")&amp;" full, under "&amp;TEXT(UtilLow,"0%")&amp;" for "&amp;AV51&amp;" weeks running",IF(AND(ISNUMBER(AJ51),AJ51&gt;UtilHigh),AE51&amp;": demand exceeds seats ("&amp;TEXT(AJ51,"0%")&amp;" full) — consider more buses",IF(AND(ISNUMBER(AO51),AO51&gt;0),AE51&amp;": FT spend ₦"&amp;TEXT(AO51,"#,##0")&amp;" over the weekly budget",IF(AR51&gt;0,AE51&amp;": "&amp;AR51&amp;" coaster breakdown(s) this week",""))))</f>
        <v/>
      </c>
      <c r="AX51">
        <f>IF(ISNUMBER(AJ51),AJ51+ROW()/1000000000,"")</f>
        <v/>
      </c>
      <c r="AY51">
        <f>IF(ISNUMBER(AL51),AL51+ROW()/1000000,"")</f>
        <v/>
      </c>
      <c r="AZ51">
        <f>IF(AND(ISNUMBER(AO51),AO51&gt;0),AO51+ROW()/1000000,"")</f>
        <v/>
      </c>
      <c r="BA51">
        <f>IF(AF51&gt;0,AF51+ROW()/1000000,"")</f>
        <v/>
      </c>
      <c r="BB51">
        <f>IF(AW51="","",ROW())</f>
        <v/>
      </c>
    </row>
    <row r="52">
      <c r="A52" t="n">
        <v>31</v>
      </c>
      <c r="B52" s="170">
        <f>IF($B$10=0,"",$B$10-7*A52)</f>
        <v/>
      </c>
      <c r="C52">
        <f>IF(B52="","",MONTH(B52))</f>
        <v/>
      </c>
      <c r="D52">
        <f>IF(B52="","",ROUNDUP(MONTH(B52)/3,0))</f>
        <v/>
      </c>
      <c r="E52">
        <f>IF(B52="","",YEAR(B52))</f>
        <v/>
      </c>
      <c r="F52">
        <f>IF(B52="",0,COUNTIFS(DATA_TRANSPORT!$A:$A,B52,DATA_TRANSPORT!$E:$E,$B$6,DATA_TRANSPORT!$AB:$AB,$B$7))</f>
        <v/>
      </c>
      <c r="G52">
        <f>IF(F52=0,0,SUMIFS(DATA_TRANSPORT!$Q:$Q,DATA_TRANSPORT!$A:$A,B52,DATA_TRANSPORT!$E:$E,$B$6,DATA_TRANSPORT!$AB:$AB,$B$7))</f>
        <v/>
      </c>
      <c r="H52">
        <f>IF(F52=0,0,SUMIFS(DATA_TRANSPORT!$M:$M,DATA_TRANSPORT!$A:$A,B52,DATA_TRANSPORT!$E:$E,$B$6,DATA_TRANSPORT!$AB:$AB,$B$7))</f>
        <v/>
      </c>
      <c r="I52">
        <f>IF(F52=0,0,SUMIFS(DATA_TRANSPORT!$N:$N,DATA_TRANSPORT!$A:$A,B52,DATA_TRANSPORT!$E:$E,$B$6,DATA_TRANSPORT!$AB:$AB,$B$7))</f>
        <v/>
      </c>
      <c r="J52">
        <f>IF(F52=0,0,SUMIFS(DATA_TRANSPORT!$P:$P,DATA_TRANSPORT!$A:$A,B52,DATA_TRANSPORT!$E:$E,$B$6,DATA_TRANSPORT!$AB:$AB,$B$7))</f>
        <v/>
      </c>
      <c r="K52">
        <f>IF(F52=0,0,SUMIFS(DATA_TRANSPORT!$I:$I,DATA_TRANSPORT!$A:$A,B52,DATA_TRANSPORT!$E:$E,$B$6,DATA_TRANSPORT!$AB:$AB,$B$7))</f>
        <v/>
      </c>
      <c r="L52">
        <f>IF(F52=0,0,SUMIFS(DATA_TRANSPORT!$I:$I,DATA_TRANSPORT!$A:$A,B52,DATA_TRANSPORT!$E:$E,$B$6,DATA_TRANSPORT!$AB:$AB,$B$7,DATA_TRANSPORT!$U:$U,"Ran"))</f>
        <v/>
      </c>
      <c r="M52">
        <f>IF(F52=0,0,SUMIFS(DATA_TRANSPORT!$L:$L,DATA_TRANSPORT!$A:$A,B52,DATA_TRANSPORT!$E:$E,$B$6,DATA_TRANSPORT!$AB:$AB,$B$7))</f>
        <v/>
      </c>
      <c r="N52">
        <f>IF(F52=0,0,SUMIFS(DATA_TRANSPORT!$R:$R,DATA_TRANSPORT!$A:$A,B52,DATA_TRANSPORT!$E:$E,$B$6,DATA_TRANSPORT!$AB:$AB,$B$7))</f>
        <v/>
      </c>
      <c r="O52">
        <f>IF(F52=0,0,SUMIFS(DATA_TRANSPORT!$S:$S,DATA_TRANSPORT!$A:$A,B52,DATA_TRANSPORT!$E:$E,$B$6,DATA_TRANSPORT!$AB:$AB,$B$7))</f>
        <v/>
      </c>
      <c r="P52">
        <f>IF(OR(B52="",$B$17),0,SUMIFS(DATA_TRANSPORT_COSTS!$M:$M,DATA_TRANSPORT_COSTS!$A:$A,B52,DATA_TRANSPORT_COSTS!$D:$D,$B$6))</f>
        <v/>
      </c>
      <c r="Q52">
        <f>O52+P52</f>
        <v/>
      </c>
      <c r="R52">
        <f>P52+IF(F52=0,0,SUMIFS(DATA_TRANSPORT!$S:$S,DATA_TRANSPORT!$A:$A,B52,DATA_TRANSPORT!$E:$E,$B$6,DATA_TRANSPORT!$AB:$AB,$B$7,DATA_TRANSPORT!$T:$T,"Central"))</f>
        <v/>
      </c>
      <c r="S52">
        <f>IF(F52=0,0,SUMIFS(DATA_TRANSPORT!$S:$S,DATA_TRANSPORT!$A:$A,B52,DATA_TRANSPORT!$E:$E,$B$6,DATA_TRANSPORT!$AB:$AB,$B$7,DATA_TRANSPORT!$T:$T,"Members"))</f>
        <v/>
      </c>
      <c r="T52">
        <f>IF(OR(B52="",$B$17),0,SUMIFS(DATA_TRANSPORT_BUDGET!$G:$G,DATA_TRANSPORT_BUDGET!$A:$A,B52,DATA_TRANSPORT_BUDGET!$D:$D,$B$6))</f>
        <v/>
      </c>
      <c r="U52">
        <f>IF(F52=0,0,SUMIFS(DATA_TRANSPORT!$S:$S,DATA_TRANSPORT!$A:$A,B52,DATA_TRANSPORT!$E:$E,$B$6,DATA_TRANSPORT!$AB:$AB,$B$7,DATA_TRANSPORT!$C:$C,"FT Procured"))</f>
        <v/>
      </c>
      <c r="V52">
        <f>IF(F52=0,0,COUNTIFS(DATA_TRANSPORT!$A:$A,B52,DATA_TRANSPORT!$E:$E,$B$6,DATA_TRANSPORT!$AB:$AB,$B$7,DATA_TRANSPORT!$U:$U,"Breakdown"))</f>
        <v/>
      </c>
      <c r="W52">
        <f>IF(M52=0,0,N52/M52)</f>
        <v/>
      </c>
      <c r="X52">
        <f>IF(F52&gt;0,1,0)</f>
        <v/>
      </c>
      <c r="Y52">
        <f>IF(AND(A52&gt;=1,A52&lt;=$B$11),X52,0)</f>
        <v/>
      </c>
      <c r="Z52">
        <f>IF(AND(C52=$B$12,E52=$B$14),X52,0)</f>
        <v/>
      </c>
      <c r="AA52">
        <f>IF(AND(D52=$B$13,E52=$B$14),X52,0)</f>
        <v/>
      </c>
      <c r="AB52">
        <f>IF(E52=$B$14,X52,0)</f>
        <v/>
      </c>
      <c r="AE52">
        <f>IFERROR(INDEX(MASTER_AREAS!$B:$B,51)&amp;"","")</f>
        <v/>
      </c>
      <c r="AF52">
        <f>IF(OR(AE52="",$B$10=0),0,SUMIFS(DATA_TRANSPORT!$Q:$Q,DATA_TRANSPORT!$A:$A,$B$10,DATA_TRANSPORT!$E:$E,AE52))</f>
        <v/>
      </c>
      <c r="AG52">
        <f>IF(OR(AE52="",$B$10=0),0,SUMIFS(DATA_TRANSPORT!$I:$I,DATA_TRANSPORT!$A:$A,$B$10,DATA_TRANSPORT!$E:$E,AE52,DATA_TRANSPORT!$U:$U,"Ran"))</f>
        <v/>
      </c>
      <c r="AH52">
        <f>IF(OR(AE52="",$B$10=0),0,SUMIFS(DATA_TRANSPORT!$L:$L,DATA_TRANSPORT!$A:$A,$B$10,DATA_TRANSPORT!$E:$E,AE52))</f>
        <v/>
      </c>
      <c r="AI52">
        <f>IF(OR(AE52="",$B$10=0),0,SUMIFS(DATA_TRANSPORT!$R:$R,DATA_TRANSPORT!$A:$A,$B$10,DATA_TRANSPORT!$E:$E,AE52))</f>
        <v/>
      </c>
      <c r="AJ52">
        <f>IF(AH52=0,"",AI52/AH52)</f>
        <v/>
      </c>
      <c r="AK52">
        <f>IF(OR(AE52="",$B$10=0),0,SUMIFS(DATA_TRANSPORT!$S:$S,DATA_TRANSPORT!$A:$A,$B$10,DATA_TRANSPORT!$E:$E,AE52))+IF(OR(AE52="",$B$10=0),0,SUMIFS(DATA_TRANSPORT_COSTS!$M:$M,DATA_TRANSPORT_COSTS!$A:$A,$B$10,DATA_TRANSPORT_COSTS!$D:$D,AE52))</f>
        <v/>
      </c>
      <c r="AL52">
        <f>IF(OR(AF52=0,AK52=0),"",AK52/AF52)</f>
        <v/>
      </c>
      <c r="AM52">
        <f>IF(OR(AE52="",$B$10=0),0,SUMIFS(DATA_TRANSPORT!$S:$S,DATA_TRANSPORT!$A:$A,$B$10,DATA_TRANSPORT!$E:$E,AE52,DATA_TRANSPORT!$C:$C,"FT Procured"))</f>
        <v/>
      </c>
      <c r="AN52">
        <f>IF(OR(AE52="",$B$10=0),0,SUMIFS(DATA_TRANSPORT_BUDGET!$G:$G,DATA_TRANSPORT_BUDGET!$A:$A,$B$10,DATA_TRANSPORT_BUDGET!$D:$D,AE52))</f>
        <v/>
      </c>
      <c r="AO52">
        <f>IF(AN52=0,"",AM52-AN52)</f>
        <v/>
      </c>
      <c r="AP52">
        <f>IF(OR(AE52="",$B$10=0),0,COUNTIFS(DATA_TRANSPORT!$A:$A,$B$10,DATA_TRANSPORT!$E:$E,AE52,DATA_TRANSPORT!$C:$C,"FT Procured",DATA_TRANSPORT!$Y:$Y,"Y"))</f>
        <v/>
      </c>
      <c r="AQ52">
        <f>IF(OR(AE52="",$B$10=0),0,SUMIFS(DATA_TRANSPORT_BUDGET!$E:$E,DATA_TRANSPORT_BUDGET!$A:$A,$B$10,DATA_TRANSPORT_BUDGET!$D:$D,AE52))</f>
        <v/>
      </c>
      <c r="AR52">
        <f>IF(OR(AE52="",$B$10=0),0,COUNTIFS(DATA_TRANSPORT!$A:$A,$B$10,DATA_TRANSPORT!$E:$E,AE52,DATA_TRANSPORT!$U:$U,"Breakdown"))</f>
        <v/>
      </c>
      <c r="AS52">
        <f>IF(IF(OR(AE52="",$B$10=0),0,SUMIFS(DATA_TRANSPORT!$L:$L,DATA_TRANSPORT!$A:$A,$B$10-7,DATA_TRANSPORT!$E:$E,AE52))=0,"",IF(OR(AE52="",$B$10=0),0,SUMIFS(DATA_TRANSPORT!$R:$R,DATA_TRANSPORT!$A:$A,$B$10-7,DATA_TRANSPORT!$E:$E,AE52))/IF(OR(AE52="",$B$10=0),0,SUMIFS(DATA_TRANSPORT!$L:$L,DATA_TRANSPORT!$A:$A,$B$10-7,DATA_TRANSPORT!$E:$E,AE52)))</f>
        <v/>
      </c>
      <c r="AT52">
        <f>IF(IF(OR(AE52="",$B$10=0),0,SUMIFS(DATA_TRANSPORT!$L:$L,DATA_TRANSPORT!$A:$A,$B$10-14,DATA_TRANSPORT!$E:$E,AE52))=0,"",IF(OR(AE52="",$B$10=0),0,SUMIFS(DATA_TRANSPORT!$R:$R,DATA_TRANSPORT!$A:$A,$B$10-14,DATA_TRANSPORT!$E:$E,AE52))/IF(OR(AE52="",$B$10=0),0,SUMIFS(DATA_TRANSPORT!$L:$L,DATA_TRANSPORT!$A:$A,$B$10-14,DATA_TRANSPORT!$E:$E,AE52)))</f>
        <v/>
      </c>
      <c r="AU52">
        <f>IF(IF(OR(AE52="",$B$10=0),0,SUMIFS(DATA_TRANSPORT!$L:$L,DATA_TRANSPORT!$A:$A,$B$10-21,DATA_TRANSPORT!$E:$E,AE52))=0,"",IF(OR(AE52="",$B$10=0),0,SUMIFS(DATA_TRANSPORT!$R:$R,DATA_TRANSPORT!$A:$A,$B$10-21,DATA_TRANSPORT!$E:$E,AE52))/IF(OR(AE52="",$B$10=0),0,SUMIFS(DATA_TRANSPORT!$L:$L,DATA_TRANSPORT!$A:$A,$B$10-21,DATA_TRANSPORT!$E:$E,AE52)))</f>
        <v/>
      </c>
      <c r="AV52">
        <f>IF(AND(ISNUMBER(AJ52),AJ52&lt;UtilLow),1,0)+IF(AND(ISNUMBER(AS52),AS52&lt;UtilLow),1,0)+IF(AND(ISNUMBER(AT52),AT52&lt;UtilLow),1,0)+IF(AND(ISNUMBER(AU52),AU52&lt;UtilLow),1,0)</f>
        <v/>
      </c>
      <c r="AW52">
        <f>IF(AV52&gt;=UtilLowWeeks,AE52&amp;": seats only "&amp;TEXT(AJ52,"0%")&amp;" full, under "&amp;TEXT(UtilLow,"0%")&amp;" for "&amp;AV52&amp;" weeks running",IF(AND(ISNUMBER(AJ52),AJ52&gt;UtilHigh),AE52&amp;": demand exceeds seats ("&amp;TEXT(AJ52,"0%")&amp;" full) — consider more buses",IF(AND(ISNUMBER(AO52),AO52&gt;0),AE52&amp;": FT spend ₦"&amp;TEXT(AO52,"#,##0")&amp;" over the weekly budget",IF(AR52&gt;0,AE52&amp;": "&amp;AR52&amp;" coaster breakdown(s) this week",""))))</f>
        <v/>
      </c>
      <c r="AX52">
        <f>IF(ISNUMBER(AJ52),AJ52+ROW()/1000000000,"")</f>
        <v/>
      </c>
      <c r="AY52">
        <f>IF(ISNUMBER(AL52),AL52+ROW()/1000000,"")</f>
        <v/>
      </c>
      <c r="AZ52">
        <f>IF(AND(ISNUMBER(AO52),AO52&gt;0),AO52+ROW()/1000000,"")</f>
        <v/>
      </c>
      <c r="BA52">
        <f>IF(AF52&gt;0,AF52+ROW()/1000000,"")</f>
        <v/>
      </c>
      <c r="BB52">
        <f>IF(AW52="","",ROW())</f>
        <v/>
      </c>
    </row>
    <row r="53">
      <c r="A53" t="n">
        <v>32</v>
      </c>
      <c r="B53" s="170">
        <f>IF($B$10=0,"",$B$10-7*A53)</f>
        <v/>
      </c>
      <c r="C53">
        <f>IF(B53="","",MONTH(B53))</f>
        <v/>
      </c>
      <c r="D53">
        <f>IF(B53="","",ROUNDUP(MONTH(B53)/3,0))</f>
        <v/>
      </c>
      <c r="E53">
        <f>IF(B53="","",YEAR(B53))</f>
        <v/>
      </c>
      <c r="F53">
        <f>IF(B53="",0,COUNTIFS(DATA_TRANSPORT!$A:$A,B53,DATA_TRANSPORT!$E:$E,$B$6,DATA_TRANSPORT!$AB:$AB,$B$7))</f>
        <v/>
      </c>
      <c r="G53">
        <f>IF(F53=0,0,SUMIFS(DATA_TRANSPORT!$Q:$Q,DATA_TRANSPORT!$A:$A,B53,DATA_TRANSPORT!$E:$E,$B$6,DATA_TRANSPORT!$AB:$AB,$B$7))</f>
        <v/>
      </c>
      <c r="H53">
        <f>IF(F53=0,0,SUMIFS(DATA_TRANSPORT!$M:$M,DATA_TRANSPORT!$A:$A,B53,DATA_TRANSPORT!$E:$E,$B$6,DATA_TRANSPORT!$AB:$AB,$B$7))</f>
        <v/>
      </c>
      <c r="I53">
        <f>IF(F53=0,0,SUMIFS(DATA_TRANSPORT!$N:$N,DATA_TRANSPORT!$A:$A,B53,DATA_TRANSPORT!$E:$E,$B$6,DATA_TRANSPORT!$AB:$AB,$B$7))</f>
        <v/>
      </c>
      <c r="J53">
        <f>IF(F53=0,0,SUMIFS(DATA_TRANSPORT!$P:$P,DATA_TRANSPORT!$A:$A,B53,DATA_TRANSPORT!$E:$E,$B$6,DATA_TRANSPORT!$AB:$AB,$B$7))</f>
        <v/>
      </c>
      <c r="K53">
        <f>IF(F53=0,0,SUMIFS(DATA_TRANSPORT!$I:$I,DATA_TRANSPORT!$A:$A,B53,DATA_TRANSPORT!$E:$E,$B$6,DATA_TRANSPORT!$AB:$AB,$B$7))</f>
        <v/>
      </c>
      <c r="L53">
        <f>IF(F53=0,0,SUMIFS(DATA_TRANSPORT!$I:$I,DATA_TRANSPORT!$A:$A,B53,DATA_TRANSPORT!$E:$E,$B$6,DATA_TRANSPORT!$AB:$AB,$B$7,DATA_TRANSPORT!$U:$U,"Ran"))</f>
        <v/>
      </c>
      <c r="M53">
        <f>IF(F53=0,0,SUMIFS(DATA_TRANSPORT!$L:$L,DATA_TRANSPORT!$A:$A,B53,DATA_TRANSPORT!$E:$E,$B$6,DATA_TRANSPORT!$AB:$AB,$B$7))</f>
        <v/>
      </c>
      <c r="N53">
        <f>IF(F53=0,0,SUMIFS(DATA_TRANSPORT!$R:$R,DATA_TRANSPORT!$A:$A,B53,DATA_TRANSPORT!$E:$E,$B$6,DATA_TRANSPORT!$AB:$AB,$B$7))</f>
        <v/>
      </c>
      <c r="O53">
        <f>IF(F53=0,0,SUMIFS(DATA_TRANSPORT!$S:$S,DATA_TRANSPORT!$A:$A,B53,DATA_TRANSPORT!$E:$E,$B$6,DATA_TRANSPORT!$AB:$AB,$B$7))</f>
        <v/>
      </c>
      <c r="P53">
        <f>IF(OR(B53="",$B$17),0,SUMIFS(DATA_TRANSPORT_COSTS!$M:$M,DATA_TRANSPORT_COSTS!$A:$A,B53,DATA_TRANSPORT_COSTS!$D:$D,$B$6))</f>
        <v/>
      </c>
      <c r="Q53">
        <f>O53+P53</f>
        <v/>
      </c>
      <c r="R53">
        <f>P53+IF(F53=0,0,SUMIFS(DATA_TRANSPORT!$S:$S,DATA_TRANSPORT!$A:$A,B53,DATA_TRANSPORT!$E:$E,$B$6,DATA_TRANSPORT!$AB:$AB,$B$7,DATA_TRANSPORT!$T:$T,"Central"))</f>
        <v/>
      </c>
      <c r="S53">
        <f>IF(F53=0,0,SUMIFS(DATA_TRANSPORT!$S:$S,DATA_TRANSPORT!$A:$A,B53,DATA_TRANSPORT!$E:$E,$B$6,DATA_TRANSPORT!$AB:$AB,$B$7,DATA_TRANSPORT!$T:$T,"Members"))</f>
        <v/>
      </c>
      <c r="T53">
        <f>IF(OR(B53="",$B$17),0,SUMIFS(DATA_TRANSPORT_BUDGET!$G:$G,DATA_TRANSPORT_BUDGET!$A:$A,B53,DATA_TRANSPORT_BUDGET!$D:$D,$B$6))</f>
        <v/>
      </c>
      <c r="U53">
        <f>IF(F53=0,0,SUMIFS(DATA_TRANSPORT!$S:$S,DATA_TRANSPORT!$A:$A,B53,DATA_TRANSPORT!$E:$E,$B$6,DATA_TRANSPORT!$AB:$AB,$B$7,DATA_TRANSPORT!$C:$C,"FT Procured"))</f>
        <v/>
      </c>
      <c r="V53">
        <f>IF(F53=0,0,COUNTIFS(DATA_TRANSPORT!$A:$A,B53,DATA_TRANSPORT!$E:$E,$B$6,DATA_TRANSPORT!$AB:$AB,$B$7,DATA_TRANSPORT!$U:$U,"Breakdown"))</f>
        <v/>
      </c>
      <c r="W53">
        <f>IF(M53=0,0,N53/M53)</f>
        <v/>
      </c>
      <c r="X53">
        <f>IF(F53&gt;0,1,0)</f>
        <v/>
      </c>
      <c r="Y53">
        <f>IF(AND(A53&gt;=1,A53&lt;=$B$11),X53,0)</f>
        <v/>
      </c>
      <c r="Z53">
        <f>IF(AND(C53=$B$12,E53=$B$14),X53,0)</f>
        <v/>
      </c>
      <c r="AA53">
        <f>IF(AND(D53=$B$13,E53=$B$14),X53,0)</f>
        <v/>
      </c>
      <c r="AB53">
        <f>IF(E53=$B$14,X53,0)</f>
        <v/>
      </c>
      <c r="AE53">
        <f>IFERROR(INDEX(MASTER_AREAS!$B:$B,52)&amp;"","")</f>
        <v/>
      </c>
      <c r="AF53">
        <f>IF(OR(AE53="",$B$10=0),0,SUMIFS(DATA_TRANSPORT!$Q:$Q,DATA_TRANSPORT!$A:$A,$B$10,DATA_TRANSPORT!$E:$E,AE53))</f>
        <v/>
      </c>
      <c r="AG53">
        <f>IF(OR(AE53="",$B$10=0),0,SUMIFS(DATA_TRANSPORT!$I:$I,DATA_TRANSPORT!$A:$A,$B$10,DATA_TRANSPORT!$E:$E,AE53,DATA_TRANSPORT!$U:$U,"Ran"))</f>
        <v/>
      </c>
      <c r="AH53">
        <f>IF(OR(AE53="",$B$10=0),0,SUMIFS(DATA_TRANSPORT!$L:$L,DATA_TRANSPORT!$A:$A,$B$10,DATA_TRANSPORT!$E:$E,AE53))</f>
        <v/>
      </c>
      <c r="AI53">
        <f>IF(OR(AE53="",$B$10=0),0,SUMIFS(DATA_TRANSPORT!$R:$R,DATA_TRANSPORT!$A:$A,$B$10,DATA_TRANSPORT!$E:$E,AE53))</f>
        <v/>
      </c>
      <c r="AJ53">
        <f>IF(AH53=0,"",AI53/AH53)</f>
        <v/>
      </c>
      <c r="AK53">
        <f>IF(OR(AE53="",$B$10=0),0,SUMIFS(DATA_TRANSPORT!$S:$S,DATA_TRANSPORT!$A:$A,$B$10,DATA_TRANSPORT!$E:$E,AE53))+IF(OR(AE53="",$B$10=0),0,SUMIFS(DATA_TRANSPORT_COSTS!$M:$M,DATA_TRANSPORT_COSTS!$A:$A,$B$10,DATA_TRANSPORT_COSTS!$D:$D,AE53))</f>
        <v/>
      </c>
      <c r="AL53">
        <f>IF(OR(AF53=0,AK53=0),"",AK53/AF53)</f>
        <v/>
      </c>
      <c r="AM53">
        <f>IF(OR(AE53="",$B$10=0),0,SUMIFS(DATA_TRANSPORT!$S:$S,DATA_TRANSPORT!$A:$A,$B$10,DATA_TRANSPORT!$E:$E,AE53,DATA_TRANSPORT!$C:$C,"FT Procured"))</f>
        <v/>
      </c>
      <c r="AN53">
        <f>IF(OR(AE53="",$B$10=0),0,SUMIFS(DATA_TRANSPORT_BUDGET!$G:$G,DATA_TRANSPORT_BUDGET!$A:$A,$B$10,DATA_TRANSPORT_BUDGET!$D:$D,AE53))</f>
        <v/>
      </c>
      <c r="AO53">
        <f>IF(AN53=0,"",AM53-AN53)</f>
        <v/>
      </c>
      <c r="AP53">
        <f>IF(OR(AE53="",$B$10=0),0,COUNTIFS(DATA_TRANSPORT!$A:$A,$B$10,DATA_TRANSPORT!$E:$E,AE53,DATA_TRANSPORT!$C:$C,"FT Procured",DATA_TRANSPORT!$Y:$Y,"Y"))</f>
        <v/>
      </c>
      <c r="AQ53">
        <f>IF(OR(AE53="",$B$10=0),0,SUMIFS(DATA_TRANSPORT_BUDGET!$E:$E,DATA_TRANSPORT_BUDGET!$A:$A,$B$10,DATA_TRANSPORT_BUDGET!$D:$D,AE53))</f>
        <v/>
      </c>
      <c r="AR53">
        <f>IF(OR(AE53="",$B$10=0),0,COUNTIFS(DATA_TRANSPORT!$A:$A,$B$10,DATA_TRANSPORT!$E:$E,AE53,DATA_TRANSPORT!$U:$U,"Breakdown"))</f>
        <v/>
      </c>
      <c r="AS53">
        <f>IF(IF(OR(AE53="",$B$10=0),0,SUMIFS(DATA_TRANSPORT!$L:$L,DATA_TRANSPORT!$A:$A,$B$10-7,DATA_TRANSPORT!$E:$E,AE53))=0,"",IF(OR(AE53="",$B$10=0),0,SUMIFS(DATA_TRANSPORT!$R:$R,DATA_TRANSPORT!$A:$A,$B$10-7,DATA_TRANSPORT!$E:$E,AE53))/IF(OR(AE53="",$B$10=0),0,SUMIFS(DATA_TRANSPORT!$L:$L,DATA_TRANSPORT!$A:$A,$B$10-7,DATA_TRANSPORT!$E:$E,AE53)))</f>
        <v/>
      </c>
      <c r="AT53">
        <f>IF(IF(OR(AE53="",$B$10=0),0,SUMIFS(DATA_TRANSPORT!$L:$L,DATA_TRANSPORT!$A:$A,$B$10-14,DATA_TRANSPORT!$E:$E,AE53))=0,"",IF(OR(AE53="",$B$10=0),0,SUMIFS(DATA_TRANSPORT!$R:$R,DATA_TRANSPORT!$A:$A,$B$10-14,DATA_TRANSPORT!$E:$E,AE53))/IF(OR(AE53="",$B$10=0),0,SUMIFS(DATA_TRANSPORT!$L:$L,DATA_TRANSPORT!$A:$A,$B$10-14,DATA_TRANSPORT!$E:$E,AE53)))</f>
        <v/>
      </c>
      <c r="AU53">
        <f>IF(IF(OR(AE53="",$B$10=0),0,SUMIFS(DATA_TRANSPORT!$L:$L,DATA_TRANSPORT!$A:$A,$B$10-21,DATA_TRANSPORT!$E:$E,AE53))=0,"",IF(OR(AE53="",$B$10=0),0,SUMIFS(DATA_TRANSPORT!$R:$R,DATA_TRANSPORT!$A:$A,$B$10-21,DATA_TRANSPORT!$E:$E,AE53))/IF(OR(AE53="",$B$10=0),0,SUMIFS(DATA_TRANSPORT!$L:$L,DATA_TRANSPORT!$A:$A,$B$10-21,DATA_TRANSPORT!$E:$E,AE53)))</f>
        <v/>
      </c>
      <c r="AV53">
        <f>IF(AND(ISNUMBER(AJ53),AJ53&lt;UtilLow),1,0)+IF(AND(ISNUMBER(AS53),AS53&lt;UtilLow),1,0)+IF(AND(ISNUMBER(AT53),AT53&lt;UtilLow),1,0)+IF(AND(ISNUMBER(AU53),AU53&lt;UtilLow),1,0)</f>
        <v/>
      </c>
      <c r="AW53">
        <f>IF(AV53&gt;=UtilLowWeeks,AE53&amp;": seats only "&amp;TEXT(AJ53,"0%")&amp;" full, under "&amp;TEXT(UtilLow,"0%")&amp;" for "&amp;AV53&amp;" weeks running",IF(AND(ISNUMBER(AJ53),AJ53&gt;UtilHigh),AE53&amp;": demand exceeds seats ("&amp;TEXT(AJ53,"0%")&amp;" full) — consider more buses",IF(AND(ISNUMBER(AO53),AO53&gt;0),AE53&amp;": FT spend ₦"&amp;TEXT(AO53,"#,##0")&amp;" over the weekly budget",IF(AR53&gt;0,AE53&amp;": "&amp;AR53&amp;" coaster breakdown(s) this week",""))))</f>
        <v/>
      </c>
      <c r="AX53">
        <f>IF(ISNUMBER(AJ53),AJ53+ROW()/1000000000,"")</f>
        <v/>
      </c>
      <c r="AY53">
        <f>IF(ISNUMBER(AL53),AL53+ROW()/1000000,"")</f>
        <v/>
      </c>
      <c r="AZ53">
        <f>IF(AND(ISNUMBER(AO53),AO53&gt;0),AO53+ROW()/1000000,"")</f>
        <v/>
      </c>
      <c r="BA53">
        <f>IF(AF53&gt;0,AF53+ROW()/1000000,"")</f>
        <v/>
      </c>
      <c r="BB53">
        <f>IF(AW53="","",ROW())</f>
        <v/>
      </c>
    </row>
    <row r="54">
      <c r="A54" t="n">
        <v>33</v>
      </c>
      <c r="B54" s="170">
        <f>IF($B$10=0,"",$B$10-7*A54)</f>
        <v/>
      </c>
      <c r="C54">
        <f>IF(B54="","",MONTH(B54))</f>
        <v/>
      </c>
      <c r="D54">
        <f>IF(B54="","",ROUNDUP(MONTH(B54)/3,0))</f>
        <v/>
      </c>
      <c r="E54">
        <f>IF(B54="","",YEAR(B54))</f>
        <v/>
      </c>
      <c r="F54">
        <f>IF(B54="",0,COUNTIFS(DATA_TRANSPORT!$A:$A,B54,DATA_TRANSPORT!$E:$E,$B$6,DATA_TRANSPORT!$AB:$AB,$B$7))</f>
        <v/>
      </c>
      <c r="G54">
        <f>IF(F54=0,0,SUMIFS(DATA_TRANSPORT!$Q:$Q,DATA_TRANSPORT!$A:$A,B54,DATA_TRANSPORT!$E:$E,$B$6,DATA_TRANSPORT!$AB:$AB,$B$7))</f>
        <v/>
      </c>
      <c r="H54">
        <f>IF(F54=0,0,SUMIFS(DATA_TRANSPORT!$M:$M,DATA_TRANSPORT!$A:$A,B54,DATA_TRANSPORT!$E:$E,$B$6,DATA_TRANSPORT!$AB:$AB,$B$7))</f>
        <v/>
      </c>
      <c r="I54">
        <f>IF(F54=0,0,SUMIFS(DATA_TRANSPORT!$N:$N,DATA_TRANSPORT!$A:$A,B54,DATA_TRANSPORT!$E:$E,$B$6,DATA_TRANSPORT!$AB:$AB,$B$7))</f>
        <v/>
      </c>
      <c r="J54">
        <f>IF(F54=0,0,SUMIFS(DATA_TRANSPORT!$P:$P,DATA_TRANSPORT!$A:$A,B54,DATA_TRANSPORT!$E:$E,$B$6,DATA_TRANSPORT!$AB:$AB,$B$7))</f>
        <v/>
      </c>
      <c r="K54">
        <f>IF(F54=0,0,SUMIFS(DATA_TRANSPORT!$I:$I,DATA_TRANSPORT!$A:$A,B54,DATA_TRANSPORT!$E:$E,$B$6,DATA_TRANSPORT!$AB:$AB,$B$7))</f>
        <v/>
      </c>
      <c r="L54">
        <f>IF(F54=0,0,SUMIFS(DATA_TRANSPORT!$I:$I,DATA_TRANSPORT!$A:$A,B54,DATA_TRANSPORT!$E:$E,$B$6,DATA_TRANSPORT!$AB:$AB,$B$7,DATA_TRANSPORT!$U:$U,"Ran"))</f>
        <v/>
      </c>
      <c r="M54">
        <f>IF(F54=0,0,SUMIFS(DATA_TRANSPORT!$L:$L,DATA_TRANSPORT!$A:$A,B54,DATA_TRANSPORT!$E:$E,$B$6,DATA_TRANSPORT!$AB:$AB,$B$7))</f>
        <v/>
      </c>
      <c r="N54">
        <f>IF(F54=0,0,SUMIFS(DATA_TRANSPORT!$R:$R,DATA_TRANSPORT!$A:$A,B54,DATA_TRANSPORT!$E:$E,$B$6,DATA_TRANSPORT!$AB:$AB,$B$7))</f>
        <v/>
      </c>
      <c r="O54">
        <f>IF(F54=0,0,SUMIFS(DATA_TRANSPORT!$S:$S,DATA_TRANSPORT!$A:$A,B54,DATA_TRANSPORT!$E:$E,$B$6,DATA_TRANSPORT!$AB:$AB,$B$7))</f>
        <v/>
      </c>
      <c r="P54">
        <f>IF(OR(B54="",$B$17),0,SUMIFS(DATA_TRANSPORT_COSTS!$M:$M,DATA_TRANSPORT_COSTS!$A:$A,B54,DATA_TRANSPORT_COSTS!$D:$D,$B$6))</f>
        <v/>
      </c>
      <c r="Q54">
        <f>O54+P54</f>
        <v/>
      </c>
      <c r="R54">
        <f>P54+IF(F54=0,0,SUMIFS(DATA_TRANSPORT!$S:$S,DATA_TRANSPORT!$A:$A,B54,DATA_TRANSPORT!$E:$E,$B$6,DATA_TRANSPORT!$AB:$AB,$B$7,DATA_TRANSPORT!$T:$T,"Central"))</f>
        <v/>
      </c>
      <c r="S54">
        <f>IF(F54=0,0,SUMIFS(DATA_TRANSPORT!$S:$S,DATA_TRANSPORT!$A:$A,B54,DATA_TRANSPORT!$E:$E,$B$6,DATA_TRANSPORT!$AB:$AB,$B$7,DATA_TRANSPORT!$T:$T,"Members"))</f>
        <v/>
      </c>
      <c r="T54">
        <f>IF(OR(B54="",$B$17),0,SUMIFS(DATA_TRANSPORT_BUDGET!$G:$G,DATA_TRANSPORT_BUDGET!$A:$A,B54,DATA_TRANSPORT_BUDGET!$D:$D,$B$6))</f>
        <v/>
      </c>
      <c r="U54">
        <f>IF(F54=0,0,SUMIFS(DATA_TRANSPORT!$S:$S,DATA_TRANSPORT!$A:$A,B54,DATA_TRANSPORT!$E:$E,$B$6,DATA_TRANSPORT!$AB:$AB,$B$7,DATA_TRANSPORT!$C:$C,"FT Procured"))</f>
        <v/>
      </c>
      <c r="V54">
        <f>IF(F54=0,0,COUNTIFS(DATA_TRANSPORT!$A:$A,B54,DATA_TRANSPORT!$E:$E,$B$6,DATA_TRANSPORT!$AB:$AB,$B$7,DATA_TRANSPORT!$U:$U,"Breakdown"))</f>
        <v/>
      </c>
      <c r="W54">
        <f>IF(M54=0,0,N54/M54)</f>
        <v/>
      </c>
      <c r="X54">
        <f>IF(F54&gt;0,1,0)</f>
        <v/>
      </c>
      <c r="Y54">
        <f>IF(AND(A54&gt;=1,A54&lt;=$B$11),X54,0)</f>
        <v/>
      </c>
      <c r="Z54">
        <f>IF(AND(C54=$B$12,E54=$B$14),X54,0)</f>
        <v/>
      </c>
      <c r="AA54">
        <f>IF(AND(D54=$B$13,E54=$B$14),X54,0)</f>
        <v/>
      </c>
      <c r="AB54">
        <f>IF(E54=$B$14,X54,0)</f>
        <v/>
      </c>
      <c r="AE54">
        <f>IFERROR(INDEX(MASTER_AREAS!$B:$B,53)&amp;"","")</f>
        <v/>
      </c>
      <c r="AF54">
        <f>IF(OR(AE54="",$B$10=0),0,SUMIFS(DATA_TRANSPORT!$Q:$Q,DATA_TRANSPORT!$A:$A,$B$10,DATA_TRANSPORT!$E:$E,AE54))</f>
        <v/>
      </c>
      <c r="AG54">
        <f>IF(OR(AE54="",$B$10=0),0,SUMIFS(DATA_TRANSPORT!$I:$I,DATA_TRANSPORT!$A:$A,$B$10,DATA_TRANSPORT!$E:$E,AE54,DATA_TRANSPORT!$U:$U,"Ran"))</f>
        <v/>
      </c>
      <c r="AH54">
        <f>IF(OR(AE54="",$B$10=0),0,SUMIFS(DATA_TRANSPORT!$L:$L,DATA_TRANSPORT!$A:$A,$B$10,DATA_TRANSPORT!$E:$E,AE54))</f>
        <v/>
      </c>
      <c r="AI54">
        <f>IF(OR(AE54="",$B$10=0),0,SUMIFS(DATA_TRANSPORT!$R:$R,DATA_TRANSPORT!$A:$A,$B$10,DATA_TRANSPORT!$E:$E,AE54))</f>
        <v/>
      </c>
      <c r="AJ54">
        <f>IF(AH54=0,"",AI54/AH54)</f>
        <v/>
      </c>
      <c r="AK54">
        <f>IF(OR(AE54="",$B$10=0),0,SUMIFS(DATA_TRANSPORT!$S:$S,DATA_TRANSPORT!$A:$A,$B$10,DATA_TRANSPORT!$E:$E,AE54))+IF(OR(AE54="",$B$10=0),0,SUMIFS(DATA_TRANSPORT_COSTS!$M:$M,DATA_TRANSPORT_COSTS!$A:$A,$B$10,DATA_TRANSPORT_COSTS!$D:$D,AE54))</f>
        <v/>
      </c>
      <c r="AL54">
        <f>IF(OR(AF54=0,AK54=0),"",AK54/AF54)</f>
        <v/>
      </c>
      <c r="AM54">
        <f>IF(OR(AE54="",$B$10=0),0,SUMIFS(DATA_TRANSPORT!$S:$S,DATA_TRANSPORT!$A:$A,$B$10,DATA_TRANSPORT!$E:$E,AE54,DATA_TRANSPORT!$C:$C,"FT Procured"))</f>
        <v/>
      </c>
      <c r="AN54">
        <f>IF(OR(AE54="",$B$10=0),0,SUMIFS(DATA_TRANSPORT_BUDGET!$G:$G,DATA_TRANSPORT_BUDGET!$A:$A,$B$10,DATA_TRANSPORT_BUDGET!$D:$D,AE54))</f>
        <v/>
      </c>
      <c r="AO54">
        <f>IF(AN54=0,"",AM54-AN54)</f>
        <v/>
      </c>
      <c r="AP54">
        <f>IF(OR(AE54="",$B$10=0),0,COUNTIFS(DATA_TRANSPORT!$A:$A,$B$10,DATA_TRANSPORT!$E:$E,AE54,DATA_TRANSPORT!$C:$C,"FT Procured",DATA_TRANSPORT!$Y:$Y,"Y"))</f>
        <v/>
      </c>
      <c r="AQ54">
        <f>IF(OR(AE54="",$B$10=0),0,SUMIFS(DATA_TRANSPORT_BUDGET!$E:$E,DATA_TRANSPORT_BUDGET!$A:$A,$B$10,DATA_TRANSPORT_BUDGET!$D:$D,AE54))</f>
        <v/>
      </c>
      <c r="AR54">
        <f>IF(OR(AE54="",$B$10=0),0,COUNTIFS(DATA_TRANSPORT!$A:$A,$B$10,DATA_TRANSPORT!$E:$E,AE54,DATA_TRANSPORT!$U:$U,"Breakdown"))</f>
        <v/>
      </c>
      <c r="AS54">
        <f>IF(IF(OR(AE54="",$B$10=0),0,SUMIFS(DATA_TRANSPORT!$L:$L,DATA_TRANSPORT!$A:$A,$B$10-7,DATA_TRANSPORT!$E:$E,AE54))=0,"",IF(OR(AE54="",$B$10=0),0,SUMIFS(DATA_TRANSPORT!$R:$R,DATA_TRANSPORT!$A:$A,$B$10-7,DATA_TRANSPORT!$E:$E,AE54))/IF(OR(AE54="",$B$10=0),0,SUMIFS(DATA_TRANSPORT!$L:$L,DATA_TRANSPORT!$A:$A,$B$10-7,DATA_TRANSPORT!$E:$E,AE54)))</f>
        <v/>
      </c>
      <c r="AT54">
        <f>IF(IF(OR(AE54="",$B$10=0),0,SUMIFS(DATA_TRANSPORT!$L:$L,DATA_TRANSPORT!$A:$A,$B$10-14,DATA_TRANSPORT!$E:$E,AE54))=0,"",IF(OR(AE54="",$B$10=0),0,SUMIFS(DATA_TRANSPORT!$R:$R,DATA_TRANSPORT!$A:$A,$B$10-14,DATA_TRANSPORT!$E:$E,AE54))/IF(OR(AE54="",$B$10=0),0,SUMIFS(DATA_TRANSPORT!$L:$L,DATA_TRANSPORT!$A:$A,$B$10-14,DATA_TRANSPORT!$E:$E,AE54)))</f>
        <v/>
      </c>
      <c r="AU54">
        <f>IF(IF(OR(AE54="",$B$10=0),0,SUMIFS(DATA_TRANSPORT!$L:$L,DATA_TRANSPORT!$A:$A,$B$10-21,DATA_TRANSPORT!$E:$E,AE54))=0,"",IF(OR(AE54="",$B$10=0),0,SUMIFS(DATA_TRANSPORT!$R:$R,DATA_TRANSPORT!$A:$A,$B$10-21,DATA_TRANSPORT!$E:$E,AE54))/IF(OR(AE54="",$B$10=0),0,SUMIFS(DATA_TRANSPORT!$L:$L,DATA_TRANSPORT!$A:$A,$B$10-21,DATA_TRANSPORT!$E:$E,AE54)))</f>
        <v/>
      </c>
      <c r="AV54">
        <f>IF(AND(ISNUMBER(AJ54),AJ54&lt;UtilLow),1,0)+IF(AND(ISNUMBER(AS54),AS54&lt;UtilLow),1,0)+IF(AND(ISNUMBER(AT54),AT54&lt;UtilLow),1,0)+IF(AND(ISNUMBER(AU54),AU54&lt;UtilLow),1,0)</f>
        <v/>
      </c>
      <c r="AW54">
        <f>IF(AV54&gt;=UtilLowWeeks,AE54&amp;": seats only "&amp;TEXT(AJ54,"0%")&amp;" full, under "&amp;TEXT(UtilLow,"0%")&amp;" for "&amp;AV54&amp;" weeks running",IF(AND(ISNUMBER(AJ54),AJ54&gt;UtilHigh),AE54&amp;": demand exceeds seats ("&amp;TEXT(AJ54,"0%")&amp;" full) — consider more buses",IF(AND(ISNUMBER(AO54),AO54&gt;0),AE54&amp;": FT spend ₦"&amp;TEXT(AO54,"#,##0")&amp;" over the weekly budget",IF(AR54&gt;0,AE54&amp;": "&amp;AR54&amp;" coaster breakdown(s) this week",""))))</f>
        <v/>
      </c>
      <c r="AX54">
        <f>IF(ISNUMBER(AJ54),AJ54+ROW()/1000000000,"")</f>
        <v/>
      </c>
      <c r="AY54">
        <f>IF(ISNUMBER(AL54),AL54+ROW()/1000000,"")</f>
        <v/>
      </c>
      <c r="AZ54">
        <f>IF(AND(ISNUMBER(AO54),AO54&gt;0),AO54+ROW()/1000000,"")</f>
        <v/>
      </c>
      <c r="BA54">
        <f>IF(AF54&gt;0,AF54+ROW()/1000000,"")</f>
        <v/>
      </c>
      <c r="BB54">
        <f>IF(AW54="","",ROW())</f>
        <v/>
      </c>
    </row>
    <row r="55">
      <c r="A55" t="n">
        <v>34</v>
      </c>
      <c r="B55" s="170">
        <f>IF($B$10=0,"",$B$10-7*A55)</f>
        <v/>
      </c>
      <c r="C55">
        <f>IF(B55="","",MONTH(B55))</f>
        <v/>
      </c>
      <c r="D55">
        <f>IF(B55="","",ROUNDUP(MONTH(B55)/3,0))</f>
        <v/>
      </c>
      <c r="E55">
        <f>IF(B55="","",YEAR(B55))</f>
        <v/>
      </c>
      <c r="F55">
        <f>IF(B55="",0,COUNTIFS(DATA_TRANSPORT!$A:$A,B55,DATA_TRANSPORT!$E:$E,$B$6,DATA_TRANSPORT!$AB:$AB,$B$7))</f>
        <v/>
      </c>
      <c r="G55">
        <f>IF(F55=0,0,SUMIFS(DATA_TRANSPORT!$Q:$Q,DATA_TRANSPORT!$A:$A,B55,DATA_TRANSPORT!$E:$E,$B$6,DATA_TRANSPORT!$AB:$AB,$B$7))</f>
        <v/>
      </c>
      <c r="H55">
        <f>IF(F55=0,0,SUMIFS(DATA_TRANSPORT!$M:$M,DATA_TRANSPORT!$A:$A,B55,DATA_TRANSPORT!$E:$E,$B$6,DATA_TRANSPORT!$AB:$AB,$B$7))</f>
        <v/>
      </c>
      <c r="I55">
        <f>IF(F55=0,0,SUMIFS(DATA_TRANSPORT!$N:$N,DATA_TRANSPORT!$A:$A,B55,DATA_TRANSPORT!$E:$E,$B$6,DATA_TRANSPORT!$AB:$AB,$B$7))</f>
        <v/>
      </c>
      <c r="J55">
        <f>IF(F55=0,0,SUMIFS(DATA_TRANSPORT!$P:$P,DATA_TRANSPORT!$A:$A,B55,DATA_TRANSPORT!$E:$E,$B$6,DATA_TRANSPORT!$AB:$AB,$B$7))</f>
        <v/>
      </c>
      <c r="K55">
        <f>IF(F55=0,0,SUMIFS(DATA_TRANSPORT!$I:$I,DATA_TRANSPORT!$A:$A,B55,DATA_TRANSPORT!$E:$E,$B$6,DATA_TRANSPORT!$AB:$AB,$B$7))</f>
        <v/>
      </c>
      <c r="L55">
        <f>IF(F55=0,0,SUMIFS(DATA_TRANSPORT!$I:$I,DATA_TRANSPORT!$A:$A,B55,DATA_TRANSPORT!$E:$E,$B$6,DATA_TRANSPORT!$AB:$AB,$B$7,DATA_TRANSPORT!$U:$U,"Ran"))</f>
        <v/>
      </c>
      <c r="M55">
        <f>IF(F55=0,0,SUMIFS(DATA_TRANSPORT!$L:$L,DATA_TRANSPORT!$A:$A,B55,DATA_TRANSPORT!$E:$E,$B$6,DATA_TRANSPORT!$AB:$AB,$B$7))</f>
        <v/>
      </c>
      <c r="N55">
        <f>IF(F55=0,0,SUMIFS(DATA_TRANSPORT!$R:$R,DATA_TRANSPORT!$A:$A,B55,DATA_TRANSPORT!$E:$E,$B$6,DATA_TRANSPORT!$AB:$AB,$B$7))</f>
        <v/>
      </c>
      <c r="O55">
        <f>IF(F55=0,0,SUMIFS(DATA_TRANSPORT!$S:$S,DATA_TRANSPORT!$A:$A,B55,DATA_TRANSPORT!$E:$E,$B$6,DATA_TRANSPORT!$AB:$AB,$B$7))</f>
        <v/>
      </c>
      <c r="P55">
        <f>IF(OR(B55="",$B$17),0,SUMIFS(DATA_TRANSPORT_COSTS!$M:$M,DATA_TRANSPORT_COSTS!$A:$A,B55,DATA_TRANSPORT_COSTS!$D:$D,$B$6))</f>
        <v/>
      </c>
      <c r="Q55">
        <f>O55+P55</f>
        <v/>
      </c>
      <c r="R55">
        <f>P55+IF(F55=0,0,SUMIFS(DATA_TRANSPORT!$S:$S,DATA_TRANSPORT!$A:$A,B55,DATA_TRANSPORT!$E:$E,$B$6,DATA_TRANSPORT!$AB:$AB,$B$7,DATA_TRANSPORT!$T:$T,"Central"))</f>
        <v/>
      </c>
      <c r="S55">
        <f>IF(F55=0,0,SUMIFS(DATA_TRANSPORT!$S:$S,DATA_TRANSPORT!$A:$A,B55,DATA_TRANSPORT!$E:$E,$B$6,DATA_TRANSPORT!$AB:$AB,$B$7,DATA_TRANSPORT!$T:$T,"Members"))</f>
        <v/>
      </c>
      <c r="T55">
        <f>IF(OR(B55="",$B$17),0,SUMIFS(DATA_TRANSPORT_BUDGET!$G:$G,DATA_TRANSPORT_BUDGET!$A:$A,B55,DATA_TRANSPORT_BUDGET!$D:$D,$B$6))</f>
        <v/>
      </c>
      <c r="U55">
        <f>IF(F55=0,0,SUMIFS(DATA_TRANSPORT!$S:$S,DATA_TRANSPORT!$A:$A,B55,DATA_TRANSPORT!$E:$E,$B$6,DATA_TRANSPORT!$AB:$AB,$B$7,DATA_TRANSPORT!$C:$C,"FT Procured"))</f>
        <v/>
      </c>
      <c r="V55">
        <f>IF(F55=0,0,COUNTIFS(DATA_TRANSPORT!$A:$A,B55,DATA_TRANSPORT!$E:$E,$B$6,DATA_TRANSPORT!$AB:$AB,$B$7,DATA_TRANSPORT!$U:$U,"Breakdown"))</f>
        <v/>
      </c>
      <c r="W55">
        <f>IF(M55=0,0,N55/M55)</f>
        <v/>
      </c>
      <c r="X55">
        <f>IF(F55&gt;0,1,0)</f>
        <v/>
      </c>
      <c r="Y55">
        <f>IF(AND(A55&gt;=1,A55&lt;=$B$11),X55,0)</f>
        <v/>
      </c>
      <c r="Z55">
        <f>IF(AND(C55=$B$12,E55=$B$14),X55,0)</f>
        <v/>
      </c>
      <c r="AA55">
        <f>IF(AND(D55=$B$13,E55=$B$14),X55,0)</f>
        <v/>
      </c>
      <c r="AB55">
        <f>IF(E55=$B$14,X55,0)</f>
        <v/>
      </c>
      <c r="AE55">
        <f>IFERROR(INDEX(MASTER_AREAS!$B:$B,54)&amp;"","")</f>
        <v/>
      </c>
      <c r="AF55">
        <f>IF(OR(AE55="",$B$10=0),0,SUMIFS(DATA_TRANSPORT!$Q:$Q,DATA_TRANSPORT!$A:$A,$B$10,DATA_TRANSPORT!$E:$E,AE55))</f>
        <v/>
      </c>
      <c r="AG55">
        <f>IF(OR(AE55="",$B$10=0),0,SUMIFS(DATA_TRANSPORT!$I:$I,DATA_TRANSPORT!$A:$A,$B$10,DATA_TRANSPORT!$E:$E,AE55,DATA_TRANSPORT!$U:$U,"Ran"))</f>
        <v/>
      </c>
      <c r="AH55">
        <f>IF(OR(AE55="",$B$10=0),0,SUMIFS(DATA_TRANSPORT!$L:$L,DATA_TRANSPORT!$A:$A,$B$10,DATA_TRANSPORT!$E:$E,AE55))</f>
        <v/>
      </c>
      <c r="AI55">
        <f>IF(OR(AE55="",$B$10=0),0,SUMIFS(DATA_TRANSPORT!$R:$R,DATA_TRANSPORT!$A:$A,$B$10,DATA_TRANSPORT!$E:$E,AE55))</f>
        <v/>
      </c>
      <c r="AJ55">
        <f>IF(AH55=0,"",AI55/AH55)</f>
        <v/>
      </c>
      <c r="AK55">
        <f>IF(OR(AE55="",$B$10=0),0,SUMIFS(DATA_TRANSPORT!$S:$S,DATA_TRANSPORT!$A:$A,$B$10,DATA_TRANSPORT!$E:$E,AE55))+IF(OR(AE55="",$B$10=0),0,SUMIFS(DATA_TRANSPORT_COSTS!$M:$M,DATA_TRANSPORT_COSTS!$A:$A,$B$10,DATA_TRANSPORT_COSTS!$D:$D,AE55))</f>
        <v/>
      </c>
      <c r="AL55">
        <f>IF(OR(AF55=0,AK55=0),"",AK55/AF55)</f>
        <v/>
      </c>
      <c r="AM55">
        <f>IF(OR(AE55="",$B$10=0),0,SUMIFS(DATA_TRANSPORT!$S:$S,DATA_TRANSPORT!$A:$A,$B$10,DATA_TRANSPORT!$E:$E,AE55,DATA_TRANSPORT!$C:$C,"FT Procured"))</f>
        <v/>
      </c>
      <c r="AN55">
        <f>IF(OR(AE55="",$B$10=0),0,SUMIFS(DATA_TRANSPORT_BUDGET!$G:$G,DATA_TRANSPORT_BUDGET!$A:$A,$B$10,DATA_TRANSPORT_BUDGET!$D:$D,AE55))</f>
        <v/>
      </c>
      <c r="AO55">
        <f>IF(AN55=0,"",AM55-AN55)</f>
        <v/>
      </c>
      <c r="AP55">
        <f>IF(OR(AE55="",$B$10=0),0,COUNTIFS(DATA_TRANSPORT!$A:$A,$B$10,DATA_TRANSPORT!$E:$E,AE55,DATA_TRANSPORT!$C:$C,"FT Procured",DATA_TRANSPORT!$Y:$Y,"Y"))</f>
        <v/>
      </c>
      <c r="AQ55">
        <f>IF(OR(AE55="",$B$10=0),0,SUMIFS(DATA_TRANSPORT_BUDGET!$E:$E,DATA_TRANSPORT_BUDGET!$A:$A,$B$10,DATA_TRANSPORT_BUDGET!$D:$D,AE55))</f>
        <v/>
      </c>
      <c r="AR55">
        <f>IF(OR(AE55="",$B$10=0),0,COUNTIFS(DATA_TRANSPORT!$A:$A,$B$10,DATA_TRANSPORT!$E:$E,AE55,DATA_TRANSPORT!$U:$U,"Breakdown"))</f>
        <v/>
      </c>
      <c r="AS55">
        <f>IF(IF(OR(AE55="",$B$10=0),0,SUMIFS(DATA_TRANSPORT!$L:$L,DATA_TRANSPORT!$A:$A,$B$10-7,DATA_TRANSPORT!$E:$E,AE55))=0,"",IF(OR(AE55="",$B$10=0),0,SUMIFS(DATA_TRANSPORT!$R:$R,DATA_TRANSPORT!$A:$A,$B$10-7,DATA_TRANSPORT!$E:$E,AE55))/IF(OR(AE55="",$B$10=0),0,SUMIFS(DATA_TRANSPORT!$L:$L,DATA_TRANSPORT!$A:$A,$B$10-7,DATA_TRANSPORT!$E:$E,AE55)))</f>
        <v/>
      </c>
      <c r="AT55">
        <f>IF(IF(OR(AE55="",$B$10=0),0,SUMIFS(DATA_TRANSPORT!$L:$L,DATA_TRANSPORT!$A:$A,$B$10-14,DATA_TRANSPORT!$E:$E,AE55))=0,"",IF(OR(AE55="",$B$10=0),0,SUMIFS(DATA_TRANSPORT!$R:$R,DATA_TRANSPORT!$A:$A,$B$10-14,DATA_TRANSPORT!$E:$E,AE55))/IF(OR(AE55="",$B$10=0),0,SUMIFS(DATA_TRANSPORT!$L:$L,DATA_TRANSPORT!$A:$A,$B$10-14,DATA_TRANSPORT!$E:$E,AE55)))</f>
        <v/>
      </c>
      <c r="AU55">
        <f>IF(IF(OR(AE55="",$B$10=0),0,SUMIFS(DATA_TRANSPORT!$L:$L,DATA_TRANSPORT!$A:$A,$B$10-21,DATA_TRANSPORT!$E:$E,AE55))=0,"",IF(OR(AE55="",$B$10=0),0,SUMIFS(DATA_TRANSPORT!$R:$R,DATA_TRANSPORT!$A:$A,$B$10-21,DATA_TRANSPORT!$E:$E,AE55))/IF(OR(AE55="",$B$10=0),0,SUMIFS(DATA_TRANSPORT!$L:$L,DATA_TRANSPORT!$A:$A,$B$10-21,DATA_TRANSPORT!$E:$E,AE55)))</f>
        <v/>
      </c>
      <c r="AV55">
        <f>IF(AND(ISNUMBER(AJ55),AJ55&lt;UtilLow),1,0)+IF(AND(ISNUMBER(AS55),AS55&lt;UtilLow),1,0)+IF(AND(ISNUMBER(AT55),AT55&lt;UtilLow),1,0)+IF(AND(ISNUMBER(AU55),AU55&lt;UtilLow),1,0)</f>
        <v/>
      </c>
      <c r="AW55">
        <f>IF(AV55&gt;=UtilLowWeeks,AE55&amp;": seats only "&amp;TEXT(AJ55,"0%")&amp;" full, under "&amp;TEXT(UtilLow,"0%")&amp;" for "&amp;AV55&amp;" weeks running",IF(AND(ISNUMBER(AJ55),AJ55&gt;UtilHigh),AE55&amp;": demand exceeds seats ("&amp;TEXT(AJ55,"0%")&amp;" full) — consider more buses",IF(AND(ISNUMBER(AO55),AO55&gt;0),AE55&amp;": FT spend ₦"&amp;TEXT(AO55,"#,##0")&amp;" over the weekly budget",IF(AR55&gt;0,AE55&amp;": "&amp;AR55&amp;" coaster breakdown(s) this week",""))))</f>
        <v/>
      </c>
      <c r="AX55">
        <f>IF(ISNUMBER(AJ55),AJ55+ROW()/1000000000,"")</f>
        <v/>
      </c>
      <c r="AY55">
        <f>IF(ISNUMBER(AL55),AL55+ROW()/1000000,"")</f>
        <v/>
      </c>
      <c r="AZ55">
        <f>IF(AND(ISNUMBER(AO55),AO55&gt;0),AO55+ROW()/1000000,"")</f>
        <v/>
      </c>
      <c r="BA55">
        <f>IF(AF55&gt;0,AF55+ROW()/1000000,"")</f>
        <v/>
      </c>
      <c r="BB55">
        <f>IF(AW55="","",ROW())</f>
        <v/>
      </c>
    </row>
    <row r="56">
      <c r="A56" t="n">
        <v>35</v>
      </c>
      <c r="B56" s="170">
        <f>IF($B$10=0,"",$B$10-7*A56)</f>
        <v/>
      </c>
      <c r="C56">
        <f>IF(B56="","",MONTH(B56))</f>
        <v/>
      </c>
      <c r="D56">
        <f>IF(B56="","",ROUNDUP(MONTH(B56)/3,0))</f>
        <v/>
      </c>
      <c r="E56">
        <f>IF(B56="","",YEAR(B56))</f>
        <v/>
      </c>
      <c r="F56">
        <f>IF(B56="",0,COUNTIFS(DATA_TRANSPORT!$A:$A,B56,DATA_TRANSPORT!$E:$E,$B$6,DATA_TRANSPORT!$AB:$AB,$B$7))</f>
        <v/>
      </c>
      <c r="G56">
        <f>IF(F56=0,0,SUMIFS(DATA_TRANSPORT!$Q:$Q,DATA_TRANSPORT!$A:$A,B56,DATA_TRANSPORT!$E:$E,$B$6,DATA_TRANSPORT!$AB:$AB,$B$7))</f>
        <v/>
      </c>
      <c r="H56">
        <f>IF(F56=0,0,SUMIFS(DATA_TRANSPORT!$M:$M,DATA_TRANSPORT!$A:$A,B56,DATA_TRANSPORT!$E:$E,$B$6,DATA_TRANSPORT!$AB:$AB,$B$7))</f>
        <v/>
      </c>
      <c r="I56">
        <f>IF(F56=0,0,SUMIFS(DATA_TRANSPORT!$N:$N,DATA_TRANSPORT!$A:$A,B56,DATA_TRANSPORT!$E:$E,$B$6,DATA_TRANSPORT!$AB:$AB,$B$7))</f>
        <v/>
      </c>
      <c r="J56">
        <f>IF(F56=0,0,SUMIFS(DATA_TRANSPORT!$P:$P,DATA_TRANSPORT!$A:$A,B56,DATA_TRANSPORT!$E:$E,$B$6,DATA_TRANSPORT!$AB:$AB,$B$7))</f>
        <v/>
      </c>
      <c r="K56">
        <f>IF(F56=0,0,SUMIFS(DATA_TRANSPORT!$I:$I,DATA_TRANSPORT!$A:$A,B56,DATA_TRANSPORT!$E:$E,$B$6,DATA_TRANSPORT!$AB:$AB,$B$7))</f>
        <v/>
      </c>
      <c r="L56">
        <f>IF(F56=0,0,SUMIFS(DATA_TRANSPORT!$I:$I,DATA_TRANSPORT!$A:$A,B56,DATA_TRANSPORT!$E:$E,$B$6,DATA_TRANSPORT!$AB:$AB,$B$7,DATA_TRANSPORT!$U:$U,"Ran"))</f>
        <v/>
      </c>
      <c r="M56">
        <f>IF(F56=0,0,SUMIFS(DATA_TRANSPORT!$L:$L,DATA_TRANSPORT!$A:$A,B56,DATA_TRANSPORT!$E:$E,$B$6,DATA_TRANSPORT!$AB:$AB,$B$7))</f>
        <v/>
      </c>
      <c r="N56">
        <f>IF(F56=0,0,SUMIFS(DATA_TRANSPORT!$R:$R,DATA_TRANSPORT!$A:$A,B56,DATA_TRANSPORT!$E:$E,$B$6,DATA_TRANSPORT!$AB:$AB,$B$7))</f>
        <v/>
      </c>
      <c r="O56">
        <f>IF(F56=0,0,SUMIFS(DATA_TRANSPORT!$S:$S,DATA_TRANSPORT!$A:$A,B56,DATA_TRANSPORT!$E:$E,$B$6,DATA_TRANSPORT!$AB:$AB,$B$7))</f>
        <v/>
      </c>
      <c r="P56">
        <f>IF(OR(B56="",$B$17),0,SUMIFS(DATA_TRANSPORT_COSTS!$M:$M,DATA_TRANSPORT_COSTS!$A:$A,B56,DATA_TRANSPORT_COSTS!$D:$D,$B$6))</f>
        <v/>
      </c>
      <c r="Q56">
        <f>O56+P56</f>
        <v/>
      </c>
      <c r="R56">
        <f>P56+IF(F56=0,0,SUMIFS(DATA_TRANSPORT!$S:$S,DATA_TRANSPORT!$A:$A,B56,DATA_TRANSPORT!$E:$E,$B$6,DATA_TRANSPORT!$AB:$AB,$B$7,DATA_TRANSPORT!$T:$T,"Central"))</f>
        <v/>
      </c>
      <c r="S56">
        <f>IF(F56=0,0,SUMIFS(DATA_TRANSPORT!$S:$S,DATA_TRANSPORT!$A:$A,B56,DATA_TRANSPORT!$E:$E,$B$6,DATA_TRANSPORT!$AB:$AB,$B$7,DATA_TRANSPORT!$T:$T,"Members"))</f>
        <v/>
      </c>
      <c r="T56">
        <f>IF(OR(B56="",$B$17),0,SUMIFS(DATA_TRANSPORT_BUDGET!$G:$G,DATA_TRANSPORT_BUDGET!$A:$A,B56,DATA_TRANSPORT_BUDGET!$D:$D,$B$6))</f>
        <v/>
      </c>
      <c r="U56">
        <f>IF(F56=0,0,SUMIFS(DATA_TRANSPORT!$S:$S,DATA_TRANSPORT!$A:$A,B56,DATA_TRANSPORT!$E:$E,$B$6,DATA_TRANSPORT!$AB:$AB,$B$7,DATA_TRANSPORT!$C:$C,"FT Procured"))</f>
        <v/>
      </c>
      <c r="V56">
        <f>IF(F56=0,0,COUNTIFS(DATA_TRANSPORT!$A:$A,B56,DATA_TRANSPORT!$E:$E,$B$6,DATA_TRANSPORT!$AB:$AB,$B$7,DATA_TRANSPORT!$U:$U,"Breakdown"))</f>
        <v/>
      </c>
      <c r="W56">
        <f>IF(M56=0,0,N56/M56)</f>
        <v/>
      </c>
      <c r="X56">
        <f>IF(F56&gt;0,1,0)</f>
        <v/>
      </c>
      <c r="Y56">
        <f>IF(AND(A56&gt;=1,A56&lt;=$B$11),X56,0)</f>
        <v/>
      </c>
      <c r="Z56">
        <f>IF(AND(C56=$B$12,E56=$B$14),X56,0)</f>
        <v/>
      </c>
      <c r="AA56">
        <f>IF(AND(D56=$B$13,E56=$B$14),X56,0)</f>
        <v/>
      </c>
      <c r="AB56">
        <f>IF(E56=$B$14,X56,0)</f>
        <v/>
      </c>
      <c r="AE56">
        <f>IFERROR(INDEX(MASTER_AREAS!$B:$B,55)&amp;"","")</f>
        <v/>
      </c>
      <c r="AF56">
        <f>IF(OR(AE56="",$B$10=0),0,SUMIFS(DATA_TRANSPORT!$Q:$Q,DATA_TRANSPORT!$A:$A,$B$10,DATA_TRANSPORT!$E:$E,AE56))</f>
        <v/>
      </c>
      <c r="AG56">
        <f>IF(OR(AE56="",$B$10=0),0,SUMIFS(DATA_TRANSPORT!$I:$I,DATA_TRANSPORT!$A:$A,$B$10,DATA_TRANSPORT!$E:$E,AE56,DATA_TRANSPORT!$U:$U,"Ran"))</f>
        <v/>
      </c>
      <c r="AH56">
        <f>IF(OR(AE56="",$B$10=0),0,SUMIFS(DATA_TRANSPORT!$L:$L,DATA_TRANSPORT!$A:$A,$B$10,DATA_TRANSPORT!$E:$E,AE56))</f>
        <v/>
      </c>
      <c r="AI56">
        <f>IF(OR(AE56="",$B$10=0),0,SUMIFS(DATA_TRANSPORT!$R:$R,DATA_TRANSPORT!$A:$A,$B$10,DATA_TRANSPORT!$E:$E,AE56))</f>
        <v/>
      </c>
      <c r="AJ56">
        <f>IF(AH56=0,"",AI56/AH56)</f>
        <v/>
      </c>
      <c r="AK56">
        <f>IF(OR(AE56="",$B$10=0),0,SUMIFS(DATA_TRANSPORT!$S:$S,DATA_TRANSPORT!$A:$A,$B$10,DATA_TRANSPORT!$E:$E,AE56))+IF(OR(AE56="",$B$10=0),0,SUMIFS(DATA_TRANSPORT_COSTS!$M:$M,DATA_TRANSPORT_COSTS!$A:$A,$B$10,DATA_TRANSPORT_COSTS!$D:$D,AE56))</f>
        <v/>
      </c>
      <c r="AL56">
        <f>IF(OR(AF56=0,AK56=0),"",AK56/AF56)</f>
        <v/>
      </c>
      <c r="AM56">
        <f>IF(OR(AE56="",$B$10=0),0,SUMIFS(DATA_TRANSPORT!$S:$S,DATA_TRANSPORT!$A:$A,$B$10,DATA_TRANSPORT!$E:$E,AE56,DATA_TRANSPORT!$C:$C,"FT Procured"))</f>
        <v/>
      </c>
      <c r="AN56">
        <f>IF(OR(AE56="",$B$10=0),0,SUMIFS(DATA_TRANSPORT_BUDGET!$G:$G,DATA_TRANSPORT_BUDGET!$A:$A,$B$10,DATA_TRANSPORT_BUDGET!$D:$D,AE56))</f>
        <v/>
      </c>
      <c r="AO56">
        <f>IF(AN56=0,"",AM56-AN56)</f>
        <v/>
      </c>
      <c r="AP56">
        <f>IF(OR(AE56="",$B$10=0),0,COUNTIFS(DATA_TRANSPORT!$A:$A,$B$10,DATA_TRANSPORT!$E:$E,AE56,DATA_TRANSPORT!$C:$C,"FT Procured",DATA_TRANSPORT!$Y:$Y,"Y"))</f>
        <v/>
      </c>
      <c r="AQ56">
        <f>IF(OR(AE56="",$B$10=0),0,SUMIFS(DATA_TRANSPORT_BUDGET!$E:$E,DATA_TRANSPORT_BUDGET!$A:$A,$B$10,DATA_TRANSPORT_BUDGET!$D:$D,AE56))</f>
        <v/>
      </c>
      <c r="AR56">
        <f>IF(OR(AE56="",$B$10=0),0,COUNTIFS(DATA_TRANSPORT!$A:$A,$B$10,DATA_TRANSPORT!$E:$E,AE56,DATA_TRANSPORT!$U:$U,"Breakdown"))</f>
        <v/>
      </c>
      <c r="AS56">
        <f>IF(IF(OR(AE56="",$B$10=0),0,SUMIFS(DATA_TRANSPORT!$L:$L,DATA_TRANSPORT!$A:$A,$B$10-7,DATA_TRANSPORT!$E:$E,AE56))=0,"",IF(OR(AE56="",$B$10=0),0,SUMIFS(DATA_TRANSPORT!$R:$R,DATA_TRANSPORT!$A:$A,$B$10-7,DATA_TRANSPORT!$E:$E,AE56))/IF(OR(AE56="",$B$10=0),0,SUMIFS(DATA_TRANSPORT!$L:$L,DATA_TRANSPORT!$A:$A,$B$10-7,DATA_TRANSPORT!$E:$E,AE56)))</f>
        <v/>
      </c>
      <c r="AT56">
        <f>IF(IF(OR(AE56="",$B$10=0),0,SUMIFS(DATA_TRANSPORT!$L:$L,DATA_TRANSPORT!$A:$A,$B$10-14,DATA_TRANSPORT!$E:$E,AE56))=0,"",IF(OR(AE56="",$B$10=0),0,SUMIFS(DATA_TRANSPORT!$R:$R,DATA_TRANSPORT!$A:$A,$B$10-14,DATA_TRANSPORT!$E:$E,AE56))/IF(OR(AE56="",$B$10=0),0,SUMIFS(DATA_TRANSPORT!$L:$L,DATA_TRANSPORT!$A:$A,$B$10-14,DATA_TRANSPORT!$E:$E,AE56)))</f>
        <v/>
      </c>
      <c r="AU56">
        <f>IF(IF(OR(AE56="",$B$10=0),0,SUMIFS(DATA_TRANSPORT!$L:$L,DATA_TRANSPORT!$A:$A,$B$10-21,DATA_TRANSPORT!$E:$E,AE56))=0,"",IF(OR(AE56="",$B$10=0),0,SUMIFS(DATA_TRANSPORT!$R:$R,DATA_TRANSPORT!$A:$A,$B$10-21,DATA_TRANSPORT!$E:$E,AE56))/IF(OR(AE56="",$B$10=0),0,SUMIFS(DATA_TRANSPORT!$L:$L,DATA_TRANSPORT!$A:$A,$B$10-21,DATA_TRANSPORT!$E:$E,AE56)))</f>
        <v/>
      </c>
      <c r="AV56">
        <f>IF(AND(ISNUMBER(AJ56),AJ56&lt;UtilLow),1,0)+IF(AND(ISNUMBER(AS56),AS56&lt;UtilLow),1,0)+IF(AND(ISNUMBER(AT56),AT56&lt;UtilLow),1,0)+IF(AND(ISNUMBER(AU56),AU56&lt;UtilLow),1,0)</f>
        <v/>
      </c>
      <c r="AW56">
        <f>IF(AV56&gt;=UtilLowWeeks,AE56&amp;": seats only "&amp;TEXT(AJ56,"0%")&amp;" full, under "&amp;TEXT(UtilLow,"0%")&amp;" for "&amp;AV56&amp;" weeks running",IF(AND(ISNUMBER(AJ56),AJ56&gt;UtilHigh),AE56&amp;": demand exceeds seats ("&amp;TEXT(AJ56,"0%")&amp;" full) — consider more buses",IF(AND(ISNUMBER(AO56),AO56&gt;0),AE56&amp;": FT spend ₦"&amp;TEXT(AO56,"#,##0")&amp;" over the weekly budget",IF(AR56&gt;0,AE56&amp;": "&amp;AR56&amp;" coaster breakdown(s) this week",""))))</f>
        <v/>
      </c>
      <c r="AX56">
        <f>IF(ISNUMBER(AJ56),AJ56+ROW()/1000000000,"")</f>
        <v/>
      </c>
      <c r="AY56">
        <f>IF(ISNUMBER(AL56),AL56+ROW()/1000000,"")</f>
        <v/>
      </c>
      <c r="AZ56">
        <f>IF(AND(ISNUMBER(AO56),AO56&gt;0),AO56+ROW()/1000000,"")</f>
        <v/>
      </c>
      <c r="BA56">
        <f>IF(AF56&gt;0,AF56+ROW()/1000000,"")</f>
        <v/>
      </c>
      <c r="BB56">
        <f>IF(AW56="","",ROW())</f>
        <v/>
      </c>
    </row>
    <row r="57">
      <c r="A57" t="n">
        <v>36</v>
      </c>
      <c r="B57" s="170">
        <f>IF($B$10=0,"",$B$10-7*A57)</f>
        <v/>
      </c>
      <c r="C57">
        <f>IF(B57="","",MONTH(B57))</f>
        <v/>
      </c>
      <c r="D57">
        <f>IF(B57="","",ROUNDUP(MONTH(B57)/3,0))</f>
        <v/>
      </c>
      <c r="E57">
        <f>IF(B57="","",YEAR(B57))</f>
        <v/>
      </c>
      <c r="F57">
        <f>IF(B57="",0,COUNTIFS(DATA_TRANSPORT!$A:$A,B57,DATA_TRANSPORT!$E:$E,$B$6,DATA_TRANSPORT!$AB:$AB,$B$7))</f>
        <v/>
      </c>
      <c r="G57">
        <f>IF(F57=0,0,SUMIFS(DATA_TRANSPORT!$Q:$Q,DATA_TRANSPORT!$A:$A,B57,DATA_TRANSPORT!$E:$E,$B$6,DATA_TRANSPORT!$AB:$AB,$B$7))</f>
        <v/>
      </c>
      <c r="H57">
        <f>IF(F57=0,0,SUMIFS(DATA_TRANSPORT!$M:$M,DATA_TRANSPORT!$A:$A,B57,DATA_TRANSPORT!$E:$E,$B$6,DATA_TRANSPORT!$AB:$AB,$B$7))</f>
        <v/>
      </c>
      <c r="I57">
        <f>IF(F57=0,0,SUMIFS(DATA_TRANSPORT!$N:$N,DATA_TRANSPORT!$A:$A,B57,DATA_TRANSPORT!$E:$E,$B$6,DATA_TRANSPORT!$AB:$AB,$B$7))</f>
        <v/>
      </c>
      <c r="J57">
        <f>IF(F57=0,0,SUMIFS(DATA_TRANSPORT!$P:$P,DATA_TRANSPORT!$A:$A,B57,DATA_TRANSPORT!$E:$E,$B$6,DATA_TRANSPORT!$AB:$AB,$B$7))</f>
        <v/>
      </c>
      <c r="K57">
        <f>IF(F57=0,0,SUMIFS(DATA_TRANSPORT!$I:$I,DATA_TRANSPORT!$A:$A,B57,DATA_TRANSPORT!$E:$E,$B$6,DATA_TRANSPORT!$AB:$AB,$B$7))</f>
        <v/>
      </c>
      <c r="L57">
        <f>IF(F57=0,0,SUMIFS(DATA_TRANSPORT!$I:$I,DATA_TRANSPORT!$A:$A,B57,DATA_TRANSPORT!$E:$E,$B$6,DATA_TRANSPORT!$AB:$AB,$B$7,DATA_TRANSPORT!$U:$U,"Ran"))</f>
        <v/>
      </c>
      <c r="M57">
        <f>IF(F57=0,0,SUMIFS(DATA_TRANSPORT!$L:$L,DATA_TRANSPORT!$A:$A,B57,DATA_TRANSPORT!$E:$E,$B$6,DATA_TRANSPORT!$AB:$AB,$B$7))</f>
        <v/>
      </c>
      <c r="N57">
        <f>IF(F57=0,0,SUMIFS(DATA_TRANSPORT!$R:$R,DATA_TRANSPORT!$A:$A,B57,DATA_TRANSPORT!$E:$E,$B$6,DATA_TRANSPORT!$AB:$AB,$B$7))</f>
        <v/>
      </c>
      <c r="O57">
        <f>IF(F57=0,0,SUMIFS(DATA_TRANSPORT!$S:$S,DATA_TRANSPORT!$A:$A,B57,DATA_TRANSPORT!$E:$E,$B$6,DATA_TRANSPORT!$AB:$AB,$B$7))</f>
        <v/>
      </c>
      <c r="P57">
        <f>IF(OR(B57="",$B$17),0,SUMIFS(DATA_TRANSPORT_COSTS!$M:$M,DATA_TRANSPORT_COSTS!$A:$A,B57,DATA_TRANSPORT_COSTS!$D:$D,$B$6))</f>
        <v/>
      </c>
      <c r="Q57">
        <f>O57+P57</f>
        <v/>
      </c>
      <c r="R57">
        <f>P57+IF(F57=0,0,SUMIFS(DATA_TRANSPORT!$S:$S,DATA_TRANSPORT!$A:$A,B57,DATA_TRANSPORT!$E:$E,$B$6,DATA_TRANSPORT!$AB:$AB,$B$7,DATA_TRANSPORT!$T:$T,"Central"))</f>
        <v/>
      </c>
      <c r="S57">
        <f>IF(F57=0,0,SUMIFS(DATA_TRANSPORT!$S:$S,DATA_TRANSPORT!$A:$A,B57,DATA_TRANSPORT!$E:$E,$B$6,DATA_TRANSPORT!$AB:$AB,$B$7,DATA_TRANSPORT!$T:$T,"Members"))</f>
        <v/>
      </c>
      <c r="T57">
        <f>IF(OR(B57="",$B$17),0,SUMIFS(DATA_TRANSPORT_BUDGET!$G:$G,DATA_TRANSPORT_BUDGET!$A:$A,B57,DATA_TRANSPORT_BUDGET!$D:$D,$B$6))</f>
        <v/>
      </c>
      <c r="U57">
        <f>IF(F57=0,0,SUMIFS(DATA_TRANSPORT!$S:$S,DATA_TRANSPORT!$A:$A,B57,DATA_TRANSPORT!$E:$E,$B$6,DATA_TRANSPORT!$AB:$AB,$B$7,DATA_TRANSPORT!$C:$C,"FT Procured"))</f>
        <v/>
      </c>
      <c r="V57">
        <f>IF(F57=0,0,COUNTIFS(DATA_TRANSPORT!$A:$A,B57,DATA_TRANSPORT!$E:$E,$B$6,DATA_TRANSPORT!$AB:$AB,$B$7,DATA_TRANSPORT!$U:$U,"Breakdown"))</f>
        <v/>
      </c>
      <c r="W57">
        <f>IF(M57=0,0,N57/M57)</f>
        <v/>
      </c>
      <c r="X57">
        <f>IF(F57&gt;0,1,0)</f>
        <v/>
      </c>
      <c r="Y57">
        <f>IF(AND(A57&gt;=1,A57&lt;=$B$11),X57,0)</f>
        <v/>
      </c>
      <c r="Z57">
        <f>IF(AND(C57=$B$12,E57=$B$14),X57,0)</f>
        <v/>
      </c>
      <c r="AA57">
        <f>IF(AND(D57=$B$13,E57=$B$14),X57,0)</f>
        <v/>
      </c>
      <c r="AB57">
        <f>IF(E57=$B$14,X57,0)</f>
        <v/>
      </c>
      <c r="AE57">
        <f>IFERROR(INDEX(MASTER_AREAS!$B:$B,56)&amp;"","")</f>
        <v/>
      </c>
      <c r="AF57">
        <f>IF(OR(AE57="",$B$10=0),0,SUMIFS(DATA_TRANSPORT!$Q:$Q,DATA_TRANSPORT!$A:$A,$B$10,DATA_TRANSPORT!$E:$E,AE57))</f>
        <v/>
      </c>
      <c r="AG57">
        <f>IF(OR(AE57="",$B$10=0),0,SUMIFS(DATA_TRANSPORT!$I:$I,DATA_TRANSPORT!$A:$A,$B$10,DATA_TRANSPORT!$E:$E,AE57,DATA_TRANSPORT!$U:$U,"Ran"))</f>
        <v/>
      </c>
      <c r="AH57">
        <f>IF(OR(AE57="",$B$10=0),0,SUMIFS(DATA_TRANSPORT!$L:$L,DATA_TRANSPORT!$A:$A,$B$10,DATA_TRANSPORT!$E:$E,AE57))</f>
        <v/>
      </c>
      <c r="AI57">
        <f>IF(OR(AE57="",$B$10=0),0,SUMIFS(DATA_TRANSPORT!$R:$R,DATA_TRANSPORT!$A:$A,$B$10,DATA_TRANSPORT!$E:$E,AE57))</f>
        <v/>
      </c>
      <c r="AJ57">
        <f>IF(AH57=0,"",AI57/AH57)</f>
        <v/>
      </c>
      <c r="AK57">
        <f>IF(OR(AE57="",$B$10=0),0,SUMIFS(DATA_TRANSPORT!$S:$S,DATA_TRANSPORT!$A:$A,$B$10,DATA_TRANSPORT!$E:$E,AE57))+IF(OR(AE57="",$B$10=0),0,SUMIFS(DATA_TRANSPORT_COSTS!$M:$M,DATA_TRANSPORT_COSTS!$A:$A,$B$10,DATA_TRANSPORT_COSTS!$D:$D,AE57))</f>
        <v/>
      </c>
      <c r="AL57">
        <f>IF(OR(AF57=0,AK57=0),"",AK57/AF57)</f>
        <v/>
      </c>
      <c r="AM57">
        <f>IF(OR(AE57="",$B$10=0),0,SUMIFS(DATA_TRANSPORT!$S:$S,DATA_TRANSPORT!$A:$A,$B$10,DATA_TRANSPORT!$E:$E,AE57,DATA_TRANSPORT!$C:$C,"FT Procured"))</f>
        <v/>
      </c>
      <c r="AN57">
        <f>IF(OR(AE57="",$B$10=0),0,SUMIFS(DATA_TRANSPORT_BUDGET!$G:$G,DATA_TRANSPORT_BUDGET!$A:$A,$B$10,DATA_TRANSPORT_BUDGET!$D:$D,AE57))</f>
        <v/>
      </c>
      <c r="AO57">
        <f>IF(AN57=0,"",AM57-AN57)</f>
        <v/>
      </c>
      <c r="AP57">
        <f>IF(OR(AE57="",$B$10=0),0,COUNTIFS(DATA_TRANSPORT!$A:$A,$B$10,DATA_TRANSPORT!$E:$E,AE57,DATA_TRANSPORT!$C:$C,"FT Procured",DATA_TRANSPORT!$Y:$Y,"Y"))</f>
        <v/>
      </c>
      <c r="AQ57">
        <f>IF(OR(AE57="",$B$10=0),0,SUMIFS(DATA_TRANSPORT_BUDGET!$E:$E,DATA_TRANSPORT_BUDGET!$A:$A,$B$10,DATA_TRANSPORT_BUDGET!$D:$D,AE57))</f>
        <v/>
      </c>
      <c r="AR57">
        <f>IF(OR(AE57="",$B$10=0),0,COUNTIFS(DATA_TRANSPORT!$A:$A,$B$10,DATA_TRANSPORT!$E:$E,AE57,DATA_TRANSPORT!$U:$U,"Breakdown"))</f>
        <v/>
      </c>
      <c r="AS57">
        <f>IF(IF(OR(AE57="",$B$10=0),0,SUMIFS(DATA_TRANSPORT!$L:$L,DATA_TRANSPORT!$A:$A,$B$10-7,DATA_TRANSPORT!$E:$E,AE57))=0,"",IF(OR(AE57="",$B$10=0),0,SUMIFS(DATA_TRANSPORT!$R:$R,DATA_TRANSPORT!$A:$A,$B$10-7,DATA_TRANSPORT!$E:$E,AE57))/IF(OR(AE57="",$B$10=0),0,SUMIFS(DATA_TRANSPORT!$L:$L,DATA_TRANSPORT!$A:$A,$B$10-7,DATA_TRANSPORT!$E:$E,AE57)))</f>
        <v/>
      </c>
      <c r="AT57">
        <f>IF(IF(OR(AE57="",$B$10=0),0,SUMIFS(DATA_TRANSPORT!$L:$L,DATA_TRANSPORT!$A:$A,$B$10-14,DATA_TRANSPORT!$E:$E,AE57))=0,"",IF(OR(AE57="",$B$10=0),0,SUMIFS(DATA_TRANSPORT!$R:$R,DATA_TRANSPORT!$A:$A,$B$10-14,DATA_TRANSPORT!$E:$E,AE57))/IF(OR(AE57="",$B$10=0),0,SUMIFS(DATA_TRANSPORT!$L:$L,DATA_TRANSPORT!$A:$A,$B$10-14,DATA_TRANSPORT!$E:$E,AE57)))</f>
        <v/>
      </c>
      <c r="AU57">
        <f>IF(IF(OR(AE57="",$B$10=0),0,SUMIFS(DATA_TRANSPORT!$L:$L,DATA_TRANSPORT!$A:$A,$B$10-21,DATA_TRANSPORT!$E:$E,AE57))=0,"",IF(OR(AE57="",$B$10=0),0,SUMIFS(DATA_TRANSPORT!$R:$R,DATA_TRANSPORT!$A:$A,$B$10-21,DATA_TRANSPORT!$E:$E,AE57))/IF(OR(AE57="",$B$10=0),0,SUMIFS(DATA_TRANSPORT!$L:$L,DATA_TRANSPORT!$A:$A,$B$10-21,DATA_TRANSPORT!$E:$E,AE57)))</f>
        <v/>
      </c>
      <c r="AV57">
        <f>IF(AND(ISNUMBER(AJ57),AJ57&lt;UtilLow),1,0)+IF(AND(ISNUMBER(AS57),AS57&lt;UtilLow),1,0)+IF(AND(ISNUMBER(AT57),AT57&lt;UtilLow),1,0)+IF(AND(ISNUMBER(AU57),AU57&lt;UtilLow),1,0)</f>
        <v/>
      </c>
      <c r="AW57">
        <f>IF(AV57&gt;=UtilLowWeeks,AE57&amp;": seats only "&amp;TEXT(AJ57,"0%")&amp;" full, under "&amp;TEXT(UtilLow,"0%")&amp;" for "&amp;AV57&amp;" weeks running",IF(AND(ISNUMBER(AJ57),AJ57&gt;UtilHigh),AE57&amp;": demand exceeds seats ("&amp;TEXT(AJ57,"0%")&amp;" full) — consider more buses",IF(AND(ISNUMBER(AO57),AO57&gt;0),AE57&amp;": FT spend ₦"&amp;TEXT(AO57,"#,##0")&amp;" over the weekly budget",IF(AR57&gt;0,AE57&amp;": "&amp;AR57&amp;" coaster breakdown(s) this week",""))))</f>
        <v/>
      </c>
      <c r="AX57">
        <f>IF(ISNUMBER(AJ57),AJ57+ROW()/1000000000,"")</f>
        <v/>
      </c>
      <c r="AY57">
        <f>IF(ISNUMBER(AL57),AL57+ROW()/1000000,"")</f>
        <v/>
      </c>
      <c r="AZ57">
        <f>IF(AND(ISNUMBER(AO57),AO57&gt;0),AO57+ROW()/1000000,"")</f>
        <v/>
      </c>
      <c r="BA57">
        <f>IF(AF57&gt;0,AF57+ROW()/1000000,"")</f>
        <v/>
      </c>
      <c r="BB57">
        <f>IF(AW57="","",ROW())</f>
        <v/>
      </c>
    </row>
    <row r="58">
      <c r="A58" t="n">
        <v>37</v>
      </c>
      <c r="B58" s="170">
        <f>IF($B$10=0,"",$B$10-7*A58)</f>
        <v/>
      </c>
      <c r="C58">
        <f>IF(B58="","",MONTH(B58))</f>
        <v/>
      </c>
      <c r="D58">
        <f>IF(B58="","",ROUNDUP(MONTH(B58)/3,0))</f>
        <v/>
      </c>
      <c r="E58">
        <f>IF(B58="","",YEAR(B58))</f>
        <v/>
      </c>
      <c r="F58">
        <f>IF(B58="",0,COUNTIFS(DATA_TRANSPORT!$A:$A,B58,DATA_TRANSPORT!$E:$E,$B$6,DATA_TRANSPORT!$AB:$AB,$B$7))</f>
        <v/>
      </c>
      <c r="G58">
        <f>IF(F58=0,0,SUMIFS(DATA_TRANSPORT!$Q:$Q,DATA_TRANSPORT!$A:$A,B58,DATA_TRANSPORT!$E:$E,$B$6,DATA_TRANSPORT!$AB:$AB,$B$7))</f>
        <v/>
      </c>
      <c r="H58">
        <f>IF(F58=0,0,SUMIFS(DATA_TRANSPORT!$M:$M,DATA_TRANSPORT!$A:$A,B58,DATA_TRANSPORT!$E:$E,$B$6,DATA_TRANSPORT!$AB:$AB,$B$7))</f>
        <v/>
      </c>
      <c r="I58">
        <f>IF(F58=0,0,SUMIFS(DATA_TRANSPORT!$N:$N,DATA_TRANSPORT!$A:$A,B58,DATA_TRANSPORT!$E:$E,$B$6,DATA_TRANSPORT!$AB:$AB,$B$7))</f>
        <v/>
      </c>
      <c r="J58">
        <f>IF(F58=0,0,SUMIFS(DATA_TRANSPORT!$P:$P,DATA_TRANSPORT!$A:$A,B58,DATA_TRANSPORT!$E:$E,$B$6,DATA_TRANSPORT!$AB:$AB,$B$7))</f>
        <v/>
      </c>
      <c r="K58">
        <f>IF(F58=0,0,SUMIFS(DATA_TRANSPORT!$I:$I,DATA_TRANSPORT!$A:$A,B58,DATA_TRANSPORT!$E:$E,$B$6,DATA_TRANSPORT!$AB:$AB,$B$7))</f>
        <v/>
      </c>
      <c r="L58">
        <f>IF(F58=0,0,SUMIFS(DATA_TRANSPORT!$I:$I,DATA_TRANSPORT!$A:$A,B58,DATA_TRANSPORT!$E:$E,$B$6,DATA_TRANSPORT!$AB:$AB,$B$7,DATA_TRANSPORT!$U:$U,"Ran"))</f>
        <v/>
      </c>
      <c r="M58">
        <f>IF(F58=0,0,SUMIFS(DATA_TRANSPORT!$L:$L,DATA_TRANSPORT!$A:$A,B58,DATA_TRANSPORT!$E:$E,$B$6,DATA_TRANSPORT!$AB:$AB,$B$7))</f>
        <v/>
      </c>
      <c r="N58">
        <f>IF(F58=0,0,SUMIFS(DATA_TRANSPORT!$R:$R,DATA_TRANSPORT!$A:$A,B58,DATA_TRANSPORT!$E:$E,$B$6,DATA_TRANSPORT!$AB:$AB,$B$7))</f>
        <v/>
      </c>
      <c r="O58">
        <f>IF(F58=0,0,SUMIFS(DATA_TRANSPORT!$S:$S,DATA_TRANSPORT!$A:$A,B58,DATA_TRANSPORT!$E:$E,$B$6,DATA_TRANSPORT!$AB:$AB,$B$7))</f>
        <v/>
      </c>
      <c r="P58">
        <f>IF(OR(B58="",$B$17),0,SUMIFS(DATA_TRANSPORT_COSTS!$M:$M,DATA_TRANSPORT_COSTS!$A:$A,B58,DATA_TRANSPORT_COSTS!$D:$D,$B$6))</f>
        <v/>
      </c>
      <c r="Q58">
        <f>O58+P58</f>
        <v/>
      </c>
      <c r="R58">
        <f>P58+IF(F58=0,0,SUMIFS(DATA_TRANSPORT!$S:$S,DATA_TRANSPORT!$A:$A,B58,DATA_TRANSPORT!$E:$E,$B$6,DATA_TRANSPORT!$AB:$AB,$B$7,DATA_TRANSPORT!$T:$T,"Central"))</f>
        <v/>
      </c>
      <c r="S58">
        <f>IF(F58=0,0,SUMIFS(DATA_TRANSPORT!$S:$S,DATA_TRANSPORT!$A:$A,B58,DATA_TRANSPORT!$E:$E,$B$6,DATA_TRANSPORT!$AB:$AB,$B$7,DATA_TRANSPORT!$T:$T,"Members"))</f>
        <v/>
      </c>
      <c r="T58">
        <f>IF(OR(B58="",$B$17),0,SUMIFS(DATA_TRANSPORT_BUDGET!$G:$G,DATA_TRANSPORT_BUDGET!$A:$A,B58,DATA_TRANSPORT_BUDGET!$D:$D,$B$6))</f>
        <v/>
      </c>
      <c r="U58">
        <f>IF(F58=0,0,SUMIFS(DATA_TRANSPORT!$S:$S,DATA_TRANSPORT!$A:$A,B58,DATA_TRANSPORT!$E:$E,$B$6,DATA_TRANSPORT!$AB:$AB,$B$7,DATA_TRANSPORT!$C:$C,"FT Procured"))</f>
        <v/>
      </c>
      <c r="V58">
        <f>IF(F58=0,0,COUNTIFS(DATA_TRANSPORT!$A:$A,B58,DATA_TRANSPORT!$E:$E,$B$6,DATA_TRANSPORT!$AB:$AB,$B$7,DATA_TRANSPORT!$U:$U,"Breakdown"))</f>
        <v/>
      </c>
      <c r="W58">
        <f>IF(M58=0,0,N58/M58)</f>
        <v/>
      </c>
      <c r="X58">
        <f>IF(F58&gt;0,1,0)</f>
        <v/>
      </c>
      <c r="Y58">
        <f>IF(AND(A58&gt;=1,A58&lt;=$B$11),X58,0)</f>
        <v/>
      </c>
      <c r="Z58">
        <f>IF(AND(C58=$B$12,E58=$B$14),X58,0)</f>
        <v/>
      </c>
      <c r="AA58">
        <f>IF(AND(D58=$B$13,E58=$B$14),X58,0)</f>
        <v/>
      </c>
      <c r="AB58">
        <f>IF(E58=$B$14,X58,0)</f>
        <v/>
      </c>
      <c r="AE58">
        <f>IFERROR(INDEX(MASTER_AREAS!$B:$B,57)&amp;"","")</f>
        <v/>
      </c>
      <c r="AF58">
        <f>IF(OR(AE58="",$B$10=0),0,SUMIFS(DATA_TRANSPORT!$Q:$Q,DATA_TRANSPORT!$A:$A,$B$10,DATA_TRANSPORT!$E:$E,AE58))</f>
        <v/>
      </c>
      <c r="AG58">
        <f>IF(OR(AE58="",$B$10=0),0,SUMIFS(DATA_TRANSPORT!$I:$I,DATA_TRANSPORT!$A:$A,$B$10,DATA_TRANSPORT!$E:$E,AE58,DATA_TRANSPORT!$U:$U,"Ran"))</f>
        <v/>
      </c>
      <c r="AH58">
        <f>IF(OR(AE58="",$B$10=0),0,SUMIFS(DATA_TRANSPORT!$L:$L,DATA_TRANSPORT!$A:$A,$B$10,DATA_TRANSPORT!$E:$E,AE58))</f>
        <v/>
      </c>
      <c r="AI58">
        <f>IF(OR(AE58="",$B$10=0),0,SUMIFS(DATA_TRANSPORT!$R:$R,DATA_TRANSPORT!$A:$A,$B$10,DATA_TRANSPORT!$E:$E,AE58))</f>
        <v/>
      </c>
      <c r="AJ58">
        <f>IF(AH58=0,"",AI58/AH58)</f>
        <v/>
      </c>
      <c r="AK58">
        <f>IF(OR(AE58="",$B$10=0),0,SUMIFS(DATA_TRANSPORT!$S:$S,DATA_TRANSPORT!$A:$A,$B$10,DATA_TRANSPORT!$E:$E,AE58))+IF(OR(AE58="",$B$10=0),0,SUMIFS(DATA_TRANSPORT_COSTS!$M:$M,DATA_TRANSPORT_COSTS!$A:$A,$B$10,DATA_TRANSPORT_COSTS!$D:$D,AE58))</f>
        <v/>
      </c>
      <c r="AL58">
        <f>IF(OR(AF58=0,AK58=0),"",AK58/AF58)</f>
        <v/>
      </c>
      <c r="AM58">
        <f>IF(OR(AE58="",$B$10=0),0,SUMIFS(DATA_TRANSPORT!$S:$S,DATA_TRANSPORT!$A:$A,$B$10,DATA_TRANSPORT!$E:$E,AE58,DATA_TRANSPORT!$C:$C,"FT Procured"))</f>
        <v/>
      </c>
      <c r="AN58">
        <f>IF(OR(AE58="",$B$10=0),0,SUMIFS(DATA_TRANSPORT_BUDGET!$G:$G,DATA_TRANSPORT_BUDGET!$A:$A,$B$10,DATA_TRANSPORT_BUDGET!$D:$D,AE58))</f>
        <v/>
      </c>
      <c r="AO58">
        <f>IF(AN58=0,"",AM58-AN58)</f>
        <v/>
      </c>
      <c r="AP58">
        <f>IF(OR(AE58="",$B$10=0),0,COUNTIFS(DATA_TRANSPORT!$A:$A,$B$10,DATA_TRANSPORT!$E:$E,AE58,DATA_TRANSPORT!$C:$C,"FT Procured",DATA_TRANSPORT!$Y:$Y,"Y"))</f>
        <v/>
      </c>
      <c r="AQ58">
        <f>IF(OR(AE58="",$B$10=0),0,SUMIFS(DATA_TRANSPORT_BUDGET!$E:$E,DATA_TRANSPORT_BUDGET!$A:$A,$B$10,DATA_TRANSPORT_BUDGET!$D:$D,AE58))</f>
        <v/>
      </c>
      <c r="AR58">
        <f>IF(OR(AE58="",$B$10=0),0,COUNTIFS(DATA_TRANSPORT!$A:$A,$B$10,DATA_TRANSPORT!$E:$E,AE58,DATA_TRANSPORT!$U:$U,"Breakdown"))</f>
        <v/>
      </c>
      <c r="AS58">
        <f>IF(IF(OR(AE58="",$B$10=0),0,SUMIFS(DATA_TRANSPORT!$L:$L,DATA_TRANSPORT!$A:$A,$B$10-7,DATA_TRANSPORT!$E:$E,AE58))=0,"",IF(OR(AE58="",$B$10=0),0,SUMIFS(DATA_TRANSPORT!$R:$R,DATA_TRANSPORT!$A:$A,$B$10-7,DATA_TRANSPORT!$E:$E,AE58))/IF(OR(AE58="",$B$10=0),0,SUMIFS(DATA_TRANSPORT!$L:$L,DATA_TRANSPORT!$A:$A,$B$10-7,DATA_TRANSPORT!$E:$E,AE58)))</f>
        <v/>
      </c>
      <c r="AT58">
        <f>IF(IF(OR(AE58="",$B$10=0),0,SUMIFS(DATA_TRANSPORT!$L:$L,DATA_TRANSPORT!$A:$A,$B$10-14,DATA_TRANSPORT!$E:$E,AE58))=0,"",IF(OR(AE58="",$B$10=0),0,SUMIFS(DATA_TRANSPORT!$R:$R,DATA_TRANSPORT!$A:$A,$B$10-14,DATA_TRANSPORT!$E:$E,AE58))/IF(OR(AE58="",$B$10=0),0,SUMIFS(DATA_TRANSPORT!$L:$L,DATA_TRANSPORT!$A:$A,$B$10-14,DATA_TRANSPORT!$E:$E,AE58)))</f>
        <v/>
      </c>
      <c r="AU58">
        <f>IF(IF(OR(AE58="",$B$10=0),0,SUMIFS(DATA_TRANSPORT!$L:$L,DATA_TRANSPORT!$A:$A,$B$10-21,DATA_TRANSPORT!$E:$E,AE58))=0,"",IF(OR(AE58="",$B$10=0),0,SUMIFS(DATA_TRANSPORT!$R:$R,DATA_TRANSPORT!$A:$A,$B$10-21,DATA_TRANSPORT!$E:$E,AE58))/IF(OR(AE58="",$B$10=0),0,SUMIFS(DATA_TRANSPORT!$L:$L,DATA_TRANSPORT!$A:$A,$B$10-21,DATA_TRANSPORT!$E:$E,AE58)))</f>
        <v/>
      </c>
      <c r="AV58">
        <f>IF(AND(ISNUMBER(AJ58),AJ58&lt;UtilLow),1,0)+IF(AND(ISNUMBER(AS58),AS58&lt;UtilLow),1,0)+IF(AND(ISNUMBER(AT58),AT58&lt;UtilLow),1,0)+IF(AND(ISNUMBER(AU58),AU58&lt;UtilLow),1,0)</f>
        <v/>
      </c>
      <c r="AW58">
        <f>IF(AV58&gt;=UtilLowWeeks,AE58&amp;": seats only "&amp;TEXT(AJ58,"0%")&amp;" full, under "&amp;TEXT(UtilLow,"0%")&amp;" for "&amp;AV58&amp;" weeks running",IF(AND(ISNUMBER(AJ58),AJ58&gt;UtilHigh),AE58&amp;": demand exceeds seats ("&amp;TEXT(AJ58,"0%")&amp;" full) — consider more buses",IF(AND(ISNUMBER(AO58),AO58&gt;0),AE58&amp;": FT spend ₦"&amp;TEXT(AO58,"#,##0")&amp;" over the weekly budget",IF(AR58&gt;0,AE58&amp;": "&amp;AR58&amp;" coaster breakdown(s) this week",""))))</f>
        <v/>
      </c>
      <c r="AX58">
        <f>IF(ISNUMBER(AJ58),AJ58+ROW()/1000000000,"")</f>
        <v/>
      </c>
      <c r="AY58">
        <f>IF(ISNUMBER(AL58),AL58+ROW()/1000000,"")</f>
        <v/>
      </c>
      <c r="AZ58">
        <f>IF(AND(ISNUMBER(AO58),AO58&gt;0),AO58+ROW()/1000000,"")</f>
        <v/>
      </c>
      <c r="BA58">
        <f>IF(AF58&gt;0,AF58+ROW()/1000000,"")</f>
        <v/>
      </c>
      <c r="BB58">
        <f>IF(AW58="","",ROW())</f>
        <v/>
      </c>
    </row>
    <row r="59">
      <c r="A59" t="n">
        <v>38</v>
      </c>
      <c r="B59" s="170">
        <f>IF($B$10=0,"",$B$10-7*A59)</f>
        <v/>
      </c>
      <c r="C59">
        <f>IF(B59="","",MONTH(B59))</f>
        <v/>
      </c>
      <c r="D59">
        <f>IF(B59="","",ROUNDUP(MONTH(B59)/3,0))</f>
        <v/>
      </c>
      <c r="E59">
        <f>IF(B59="","",YEAR(B59))</f>
        <v/>
      </c>
      <c r="F59">
        <f>IF(B59="",0,COUNTIFS(DATA_TRANSPORT!$A:$A,B59,DATA_TRANSPORT!$E:$E,$B$6,DATA_TRANSPORT!$AB:$AB,$B$7))</f>
        <v/>
      </c>
      <c r="G59">
        <f>IF(F59=0,0,SUMIFS(DATA_TRANSPORT!$Q:$Q,DATA_TRANSPORT!$A:$A,B59,DATA_TRANSPORT!$E:$E,$B$6,DATA_TRANSPORT!$AB:$AB,$B$7))</f>
        <v/>
      </c>
      <c r="H59">
        <f>IF(F59=0,0,SUMIFS(DATA_TRANSPORT!$M:$M,DATA_TRANSPORT!$A:$A,B59,DATA_TRANSPORT!$E:$E,$B$6,DATA_TRANSPORT!$AB:$AB,$B$7))</f>
        <v/>
      </c>
      <c r="I59">
        <f>IF(F59=0,0,SUMIFS(DATA_TRANSPORT!$N:$N,DATA_TRANSPORT!$A:$A,B59,DATA_TRANSPORT!$E:$E,$B$6,DATA_TRANSPORT!$AB:$AB,$B$7))</f>
        <v/>
      </c>
      <c r="J59">
        <f>IF(F59=0,0,SUMIFS(DATA_TRANSPORT!$P:$P,DATA_TRANSPORT!$A:$A,B59,DATA_TRANSPORT!$E:$E,$B$6,DATA_TRANSPORT!$AB:$AB,$B$7))</f>
        <v/>
      </c>
      <c r="K59">
        <f>IF(F59=0,0,SUMIFS(DATA_TRANSPORT!$I:$I,DATA_TRANSPORT!$A:$A,B59,DATA_TRANSPORT!$E:$E,$B$6,DATA_TRANSPORT!$AB:$AB,$B$7))</f>
        <v/>
      </c>
      <c r="L59">
        <f>IF(F59=0,0,SUMIFS(DATA_TRANSPORT!$I:$I,DATA_TRANSPORT!$A:$A,B59,DATA_TRANSPORT!$E:$E,$B$6,DATA_TRANSPORT!$AB:$AB,$B$7,DATA_TRANSPORT!$U:$U,"Ran"))</f>
        <v/>
      </c>
      <c r="M59">
        <f>IF(F59=0,0,SUMIFS(DATA_TRANSPORT!$L:$L,DATA_TRANSPORT!$A:$A,B59,DATA_TRANSPORT!$E:$E,$B$6,DATA_TRANSPORT!$AB:$AB,$B$7))</f>
        <v/>
      </c>
      <c r="N59">
        <f>IF(F59=0,0,SUMIFS(DATA_TRANSPORT!$R:$R,DATA_TRANSPORT!$A:$A,B59,DATA_TRANSPORT!$E:$E,$B$6,DATA_TRANSPORT!$AB:$AB,$B$7))</f>
        <v/>
      </c>
      <c r="O59">
        <f>IF(F59=0,0,SUMIFS(DATA_TRANSPORT!$S:$S,DATA_TRANSPORT!$A:$A,B59,DATA_TRANSPORT!$E:$E,$B$6,DATA_TRANSPORT!$AB:$AB,$B$7))</f>
        <v/>
      </c>
      <c r="P59">
        <f>IF(OR(B59="",$B$17),0,SUMIFS(DATA_TRANSPORT_COSTS!$M:$M,DATA_TRANSPORT_COSTS!$A:$A,B59,DATA_TRANSPORT_COSTS!$D:$D,$B$6))</f>
        <v/>
      </c>
      <c r="Q59">
        <f>O59+P59</f>
        <v/>
      </c>
      <c r="R59">
        <f>P59+IF(F59=0,0,SUMIFS(DATA_TRANSPORT!$S:$S,DATA_TRANSPORT!$A:$A,B59,DATA_TRANSPORT!$E:$E,$B$6,DATA_TRANSPORT!$AB:$AB,$B$7,DATA_TRANSPORT!$T:$T,"Central"))</f>
        <v/>
      </c>
      <c r="S59">
        <f>IF(F59=0,0,SUMIFS(DATA_TRANSPORT!$S:$S,DATA_TRANSPORT!$A:$A,B59,DATA_TRANSPORT!$E:$E,$B$6,DATA_TRANSPORT!$AB:$AB,$B$7,DATA_TRANSPORT!$T:$T,"Members"))</f>
        <v/>
      </c>
      <c r="T59">
        <f>IF(OR(B59="",$B$17),0,SUMIFS(DATA_TRANSPORT_BUDGET!$G:$G,DATA_TRANSPORT_BUDGET!$A:$A,B59,DATA_TRANSPORT_BUDGET!$D:$D,$B$6))</f>
        <v/>
      </c>
      <c r="U59">
        <f>IF(F59=0,0,SUMIFS(DATA_TRANSPORT!$S:$S,DATA_TRANSPORT!$A:$A,B59,DATA_TRANSPORT!$E:$E,$B$6,DATA_TRANSPORT!$AB:$AB,$B$7,DATA_TRANSPORT!$C:$C,"FT Procured"))</f>
        <v/>
      </c>
      <c r="V59">
        <f>IF(F59=0,0,COUNTIFS(DATA_TRANSPORT!$A:$A,B59,DATA_TRANSPORT!$E:$E,$B$6,DATA_TRANSPORT!$AB:$AB,$B$7,DATA_TRANSPORT!$U:$U,"Breakdown"))</f>
        <v/>
      </c>
      <c r="W59">
        <f>IF(M59=0,0,N59/M59)</f>
        <v/>
      </c>
      <c r="X59">
        <f>IF(F59&gt;0,1,0)</f>
        <v/>
      </c>
      <c r="Y59">
        <f>IF(AND(A59&gt;=1,A59&lt;=$B$11),X59,0)</f>
        <v/>
      </c>
      <c r="Z59">
        <f>IF(AND(C59=$B$12,E59=$B$14),X59,0)</f>
        <v/>
      </c>
      <c r="AA59">
        <f>IF(AND(D59=$B$13,E59=$B$14),X59,0)</f>
        <v/>
      </c>
      <c r="AB59">
        <f>IF(E59=$B$14,X59,0)</f>
        <v/>
      </c>
      <c r="AE59">
        <f>IFERROR(INDEX(MASTER_AREAS!$B:$B,58)&amp;"","")</f>
        <v/>
      </c>
      <c r="AF59">
        <f>IF(OR(AE59="",$B$10=0),0,SUMIFS(DATA_TRANSPORT!$Q:$Q,DATA_TRANSPORT!$A:$A,$B$10,DATA_TRANSPORT!$E:$E,AE59))</f>
        <v/>
      </c>
      <c r="AG59">
        <f>IF(OR(AE59="",$B$10=0),0,SUMIFS(DATA_TRANSPORT!$I:$I,DATA_TRANSPORT!$A:$A,$B$10,DATA_TRANSPORT!$E:$E,AE59,DATA_TRANSPORT!$U:$U,"Ran"))</f>
        <v/>
      </c>
      <c r="AH59">
        <f>IF(OR(AE59="",$B$10=0),0,SUMIFS(DATA_TRANSPORT!$L:$L,DATA_TRANSPORT!$A:$A,$B$10,DATA_TRANSPORT!$E:$E,AE59))</f>
        <v/>
      </c>
      <c r="AI59">
        <f>IF(OR(AE59="",$B$10=0),0,SUMIFS(DATA_TRANSPORT!$R:$R,DATA_TRANSPORT!$A:$A,$B$10,DATA_TRANSPORT!$E:$E,AE59))</f>
        <v/>
      </c>
      <c r="AJ59">
        <f>IF(AH59=0,"",AI59/AH59)</f>
        <v/>
      </c>
      <c r="AK59">
        <f>IF(OR(AE59="",$B$10=0),0,SUMIFS(DATA_TRANSPORT!$S:$S,DATA_TRANSPORT!$A:$A,$B$10,DATA_TRANSPORT!$E:$E,AE59))+IF(OR(AE59="",$B$10=0),0,SUMIFS(DATA_TRANSPORT_COSTS!$M:$M,DATA_TRANSPORT_COSTS!$A:$A,$B$10,DATA_TRANSPORT_COSTS!$D:$D,AE59))</f>
        <v/>
      </c>
      <c r="AL59">
        <f>IF(OR(AF59=0,AK59=0),"",AK59/AF59)</f>
        <v/>
      </c>
      <c r="AM59">
        <f>IF(OR(AE59="",$B$10=0),0,SUMIFS(DATA_TRANSPORT!$S:$S,DATA_TRANSPORT!$A:$A,$B$10,DATA_TRANSPORT!$E:$E,AE59,DATA_TRANSPORT!$C:$C,"FT Procured"))</f>
        <v/>
      </c>
      <c r="AN59">
        <f>IF(OR(AE59="",$B$10=0),0,SUMIFS(DATA_TRANSPORT_BUDGET!$G:$G,DATA_TRANSPORT_BUDGET!$A:$A,$B$10,DATA_TRANSPORT_BUDGET!$D:$D,AE59))</f>
        <v/>
      </c>
      <c r="AO59">
        <f>IF(AN59=0,"",AM59-AN59)</f>
        <v/>
      </c>
      <c r="AP59">
        <f>IF(OR(AE59="",$B$10=0),0,COUNTIFS(DATA_TRANSPORT!$A:$A,$B$10,DATA_TRANSPORT!$E:$E,AE59,DATA_TRANSPORT!$C:$C,"FT Procured",DATA_TRANSPORT!$Y:$Y,"Y"))</f>
        <v/>
      </c>
      <c r="AQ59">
        <f>IF(OR(AE59="",$B$10=0),0,SUMIFS(DATA_TRANSPORT_BUDGET!$E:$E,DATA_TRANSPORT_BUDGET!$A:$A,$B$10,DATA_TRANSPORT_BUDGET!$D:$D,AE59))</f>
        <v/>
      </c>
      <c r="AR59">
        <f>IF(OR(AE59="",$B$10=0),0,COUNTIFS(DATA_TRANSPORT!$A:$A,$B$10,DATA_TRANSPORT!$E:$E,AE59,DATA_TRANSPORT!$U:$U,"Breakdown"))</f>
        <v/>
      </c>
      <c r="AS59">
        <f>IF(IF(OR(AE59="",$B$10=0),0,SUMIFS(DATA_TRANSPORT!$L:$L,DATA_TRANSPORT!$A:$A,$B$10-7,DATA_TRANSPORT!$E:$E,AE59))=0,"",IF(OR(AE59="",$B$10=0),0,SUMIFS(DATA_TRANSPORT!$R:$R,DATA_TRANSPORT!$A:$A,$B$10-7,DATA_TRANSPORT!$E:$E,AE59))/IF(OR(AE59="",$B$10=0),0,SUMIFS(DATA_TRANSPORT!$L:$L,DATA_TRANSPORT!$A:$A,$B$10-7,DATA_TRANSPORT!$E:$E,AE59)))</f>
        <v/>
      </c>
      <c r="AT59">
        <f>IF(IF(OR(AE59="",$B$10=0),0,SUMIFS(DATA_TRANSPORT!$L:$L,DATA_TRANSPORT!$A:$A,$B$10-14,DATA_TRANSPORT!$E:$E,AE59))=0,"",IF(OR(AE59="",$B$10=0),0,SUMIFS(DATA_TRANSPORT!$R:$R,DATA_TRANSPORT!$A:$A,$B$10-14,DATA_TRANSPORT!$E:$E,AE59))/IF(OR(AE59="",$B$10=0),0,SUMIFS(DATA_TRANSPORT!$L:$L,DATA_TRANSPORT!$A:$A,$B$10-14,DATA_TRANSPORT!$E:$E,AE59)))</f>
        <v/>
      </c>
      <c r="AU59">
        <f>IF(IF(OR(AE59="",$B$10=0),0,SUMIFS(DATA_TRANSPORT!$L:$L,DATA_TRANSPORT!$A:$A,$B$10-21,DATA_TRANSPORT!$E:$E,AE59))=0,"",IF(OR(AE59="",$B$10=0),0,SUMIFS(DATA_TRANSPORT!$R:$R,DATA_TRANSPORT!$A:$A,$B$10-21,DATA_TRANSPORT!$E:$E,AE59))/IF(OR(AE59="",$B$10=0),0,SUMIFS(DATA_TRANSPORT!$L:$L,DATA_TRANSPORT!$A:$A,$B$10-21,DATA_TRANSPORT!$E:$E,AE59)))</f>
        <v/>
      </c>
      <c r="AV59">
        <f>IF(AND(ISNUMBER(AJ59),AJ59&lt;UtilLow),1,0)+IF(AND(ISNUMBER(AS59),AS59&lt;UtilLow),1,0)+IF(AND(ISNUMBER(AT59),AT59&lt;UtilLow),1,0)+IF(AND(ISNUMBER(AU59),AU59&lt;UtilLow),1,0)</f>
        <v/>
      </c>
      <c r="AW59">
        <f>IF(AV59&gt;=UtilLowWeeks,AE59&amp;": seats only "&amp;TEXT(AJ59,"0%")&amp;" full, under "&amp;TEXT(UtilLow,"0%")&amp;" for "&amp;AV59&amp;" weeks running",IF(AND(ISNUMBER(AJ59),AJ59&gt;UtilHigh),AE59&amp;": demand exceeds seats ("&amp;TEXT(AJ59,"0%")&amp;" full) — consider more buses",IF(AND(ISNUMBER(AO59),AO59&gt;0),AE59&amp;": FT spend ₦"&amp;TEXT(AO59,"#,##0")&amp;" over the weekly budget",IF(AR59&gt;0,AE59&amp;": "&amp;AR59&amp;" coaster breakdown(s) this week",""))))</f>
        <v/>
      </c>
      <c r="AX59">
        <f>IF(ISNUMBER(AJ59),AJ59+ROW()/1000000000,"")</f>
        <v/>
      </c>
      <c r="AY59">
        <f>IF(ISNUMBER(AL59),AL59+ROW()/1000000,"")</f>
        <v/>
      </c>
      <c r="AZ59">
        <f>IF(AND(ISNUMBER(AO59),AO59&gt;0),AO59+ROW()/1000000,"")</f>
        <v/>
      </c>
      <c r="BA59">
        <f>IF(AF59&gt;0,AF59+ROW()/1000000,"")</f>
        <v/>
      </c>
      <c r="BB59">
        <f>IF(AW59="","",ROW())</f>
        <v/>
      </c>
    </row>
    <row r="60">
      <c r="A60" t="n">
        <v>39</v>
      </c>
      <c r="B60" s="170">
        <f>IF($B$10=0,"",$B$10-7*A60)</f>
        <v/>
      </c>
      <c r="C60">
        <f>IF(B60="","",MONTH(B60))</f>
        <v/>
      </c>
      <c r="D60">
        <f>IF(B60="","",ROUNDUP(MONTH(B60)/3,0))</f>
        <v/>
      </c>
      <c r="E60">
        <f>IF(B60="","",YEAR(B60))</f>
        <v/>
      </c>
      <c r="F60">
        <f>IF(B60="",0,COUNTIFS(DATA_TRANSPORT!$A:$A,B60,DATA_TRANSPORT!$E:$E,$B$6,DATA_TRANSPORT!$AB:$AB,$B$7))</f>
        <v/>
      </c>
      <c r="G60">
        <f>IF(F60=0,0,SUMIFS(DATA_TRANSPORT!$Q:$Q,DATA_TRANSPORT!$A:$A,B60,DATA_TRANSPORT!$E:$E,$B$6,DATA_TRANSPORT!$AB:$AB,$B$7))</f>
        <v/>
      </c>
      <c r="H60">
        <f>IF(F60=0,0,SUMIFS(DATA_TRANSPORT!$M:$M,DATA_TRANSPORT!$A:$A,B60,DATA_TRANSPORT!$E:$E,$B$6,DATA_TRANSPORT!$AB:$AB,$B$7))</f>
        <v/>
      </c>
      <c r="I60">
        <f>IF(F60=0,0,SUMIFS(DATA_TRANSPORT!$N:$N,DATA_TRANSPORT!$A:$A,B60,DATA_TRANSPORT!$E:$E,$B$6,DATA_TRANSPORT!$AB:$AB,$B$7))</f>
        <v/>
      </c>
      <c r="J60">
        <f>IF(F60=0,0,SUMIFS(DATA_TRANSPORT!$P:$P,DATA_TRANSPORT!$A:$A,B60,DATA_TRANSPORT!$E:$E,$B$6,DATA_TRANSPORT!$AB:$AB,$B$7))</f>
        <v/>
      </c>
      <c r="K60">
        <f>IF(F60=0,0,SUMIFS(DATA_TRANSPORT!$I:$I,DATA_TRANSPORT!$A:$A,B60,DATA_TRANSPORT!$E:$E,$B$6,DATA_TRANSPORT!$AB:$AB,$B$7))</f>
        <v/>
      </c>
      <c r="L60">
        <f>IF(F60=0,0,SUMIFS(DATA_TRANSPORT!$I:$I,DATA_TRANSPORT!$A:$A,B60,DATA_TRANSPORT!$E:$E,$B$6,DATA_TRANSPORT!$AB:$AB,$B$7,DATA_TRANSPORT!$U:$U,"Ran"))</f>
        <v/>
      </c>
      <c r="M60">
        <f>IF(F60=0,0,SUMIFS(DATA_TRANSPORT!$L:$L,DATA_TRANSPORT!$A:$A,B60,DATA_TRANSPORT!$E:$E,$B$6,DATA_TRANSPORT!$AB:$AB,$B$7))</f>
        <v/>
      </c>
      <c r="N60">
        <f>IF(F60=0,0,SUMIFS(DATA_TRANSPORT!$R:$R,DATA_TRANSPORT!$A:$A,B60,DATA_TRANSPORT!$E:$E,$B$6,DATA_TRANSPORT!$AB:$AB,$B$7))</f>
        <v/>
      </c>
      <c r="O60">
        <f>IF(F60=0,0,SUMIFS(DATA_TRANSPORT!$S:$S,DATA_TRANSPORT!$A:$A,B60,DATA_TRANSPORT!$E:$E,$B$6,DATA_TRANSPORT!$AB:$AB,$B$7))</f>
        <v/>
      </c>
      <c r="P60">
        <f>IF(OR(B60="",$B$17),0,SUMIFS(DATA_TRANSPORT_COSTS!$M:$M,DATA_TRANSPORT_COSTS!$A:$A,B60,DATA_TRANSPORT_COSTS!$D:$D,$B$6))</f>
        <v/>
      </c>
      <c r="Q60">
        <f>O60+P60</f>
        <v/>
      </c>
      <c r="R60">
        <f>P60+IF(F60=0,0,SUMIFS(DATA_TRANSPORT!$S:$S,DATA_TRANSPORT!$A:$A,B60,DATA_TRANSPORT!$E:$E,$B$6,DATA_TRANSPORT!$AB:$AB,$B$7,DATA_TRANSPORT!$T:$T,"Central"))</f>
        <v/>
      </c>
      <c r="S60">
        <f>IF(F60=0,0,SUMIFS(DATA_TRANSPORT!$S:$S,DATA_TRANSPORT!$A:$A,B60,DATA_TRANSPORT!$E:$E,$B$6,DATA_TRANSPORT!$AB:$AB,$B$7,DATA_TRANSPORT!$T:$T,"Members"))</f>
        <v/>
      </c>
      <c r="T60">
        <f>IF(OR(B60="",$B$17),0,SUMIFS(DATA_TRANSPORT_BUDGET!$G:$G,DATA_TRANSPORT_BUDGET!$A:$A,B60,DATA_TRANSPORT_BUDGET!$D:$D,$B$6))</f>
        <v/>
      </c>
      <c r="U60">
        <f>IF(F60=0,0,SUMIFS(DATA_TRANSPORT!$S:$S,DATA_TRANSPORT!$A:$A,B60,DATA_TRANSPORT!$E:$E,$B$6,DATA_TRANSPORT!$AB:$AB,$B$7,DATA_TRANSPORT!$C:$C,"FT Procured"))</f>
        <v/>
      </c>
      <c r="V60">
        <f>IF(F60=0,0,COUNTIFS(DATA_TRANSPORT!$A:$A,B60,DATA_TRANSPORT!$E:$E,$B$6,DATA_TRANSPORT!$AB:$AB,$B$7,DATA_TRANSPORT!$U:$U,"Breakdown"))</f>
        <v/>
      </c>
      <c r="W60">
        <f>IF(M60=0,0,N60/M60)</f>
        <v/>
      </c>
      <c r="X60">
        <f>IF(F60&gt;0,1,0)</f>
        <v/>
      </c>
      <c r="Y60">
        <f>IF(AND(A60&gt;=1,A60&lt;=$B$11),X60,0)</f>
        <v/>
      </c>
      <c r="Z60">
        <f>IF(AND(C60=$B$12,E60=$B$14),X60,0)</f>
        <v/>
      </c>
      <c r="AA60">
        <f>IF(AND(D60=$B$13,E60=$B$14),X60,0)</f>
        <v/>
      </c>
      <c r="AB60">
        <f>IF(E60=$B$14,X60,0)</f>
        <v/>
      </c>
      <c r="AE60">
        <f>IFERROR(INDEX(MASTER_AREAS!$B:$B,59)&amp;"","")</f>
        <v/>
      </c>
      <c r="AF60">
        <f>IF(OR(AE60="",$B$10=0),0,SUMIFS(DATA_TRANSPORT!$Q:$Q,DATA_TRANSPORT!$A:$A,$B$10,DATA_TRANSPORT!$E:$E,AE60))</f>
        <v/>
      </c>
      <c r="AG60">
        <f>IF(OR(AE60="",$B$10=0),0,SUMIFS(DATA_TRANSPORT!$I:$I,DATA_TRANSPORT!$A:$A,$B$10,DATA_TRANSPORT!$E:$E,AE60,DATA_TRANSPORT!$U:$U,"Ran"))</f>
        <v/>
      </c>
      <c r="AH60">
        <f>IF(OR(AE60="",$B$10=0),0,SUMIFS(DATA_TRANSPORT!$L:$L,DATA_TRANSPORT!$A:$A,$B$10,DATA_TRANSPORT!$E:$E,AE60))</f>
        <v/>
      </c>
      <c r="AI60">
        <f>IF(OR(AE60="",$B$10=0),0,SUMIFS(DATA_TRANSPORT!$R:$R,DATA_TRANSPORT!$A:$A,$B$10,DATA_TRANSPORT!$E:$E,AE60))</f>
        <v/>
      </c>
      <c r="AJ60">
        <f>IF(AH60=0,"",AI60/AH60)</f>
        <v/>
      </c>
      <c r="AK60">
        <f>IF(OR(AE60="",$B$10=0),0,SUMIFS(DATA_TRANSPORT!$S:$S,DATA_TRANSPORT!$A:$A,$B$10,DATA_TRANSPORT!$E:$E,AE60))+IF(OR(AE60="",$B$10=0),0,SUMIFS(DATA_TRANSPORT_COSTS!$M:$M,DATA_TRANSPORT_COSTS!$A:$A,$B$10,DATA_TRANSPORT_COSTS!$D:$D,AE60))</f>
        <v/>
      </c>
      <c r="AL60">
        <f>IF(OR(AF60=0,AK60=0),"",AK60/AF60)</f>
        <v/>
      </c>
      <c r="AM60">
        <f>IF(OR(AE60="",$B$10=0),0,SUMIFS(DATA_TRANSPORT!$S:$S,DATA_TRANSPORT!$A:$A,$B$10,DATA_TRANSPORT!$E:$E,AE60,DATA_TRANSPORT!$C:$C,"FT Procured"))</f>
        <v/>
      </c>
      <c r="AN60">
        <f>IF(OR(AE60="",$B$10=0),0,SUMIFS(DATA_TRANSPORT_BUDGET!$G:$G,DATA_TRANSPORT_BUDGET!$A:$A,$B$10,DATA_TRANSPORT_BUDGET!$D:$D,AE60))</f>
        <v/>
      </c>
      <c r="AO60">
        <f>IF(AN60=0,"",AM60-AN60)</f>
        <v/>
      </c>
      <c r="AP60">
        <f>IF(OR(AE60="",$B$10=0),0,COUNTIFS(DATA_TRANSPORT!$A:$A,$B$10,DATA_TRANSPORT!$E:$E,AE60,DATA_TRANSPORT!$C:$C,"FT Procured",DATA_TRANSPORT!$Y:$Y,"Y"))</f>
        <v/>
      </c>
      <c r="AQ60">
        <f>IF(OR(AE60="",$B$10=0),0,SUMIFS(DATA_TRANSPORT_BUDGET!$E:$E,DATA_TRANSPORT_BUDGET!$A:$A,$B$10,DATA_TRANSPORT_BUDGET!$D:$D,AE60))</f>
        <v/>
      </c>
      <c r="AR60">
        <f>IF(OR(AE60="",$B$10=0),0,COUNTIFS(DATA_TRANSPORT!$A:$A,$B$10,DATA_TRANSPORT!$E:$E,AE60,DATA_TRANSPORT!$U:$U,"Breakdown"))</f>
        <v/>
      </c>
      <c r="AS60">
        <f>IF(IF(OR(AE60="",$B$10=0),0,SUMIFS(DATA_TRANSPORT!$L:$L,DATA_TRANSPORT!$A:$A,$B$10-7,DATA_TRANSPORT!$E:$E,AE60))=0,"",IF(OR(AE60="",$B$10=0),0,SUMIFS(DATA_TRANSPORT!$R:$R,DATA_TRANSPORT!$A:$A,$B$10-7,DATA_TRANSPORT!$E:$E,AE60))/IF(OR(AE60="",$B$10=0),0,SUMIFS(DATA_TRANSPORT!$L:$L,DATA_TRANSPORT!$A:$A,$B$10-7,DATA_TRANSPORT!$E:$E,AE60)))</f>
        <v/>
      </c>
      <c r="AT60">
        <f>IF(IF(OR(AE60="",$B$10=0),0,SUMIFS(DATA_TRANSPORT!$L:$L,DATA_TRANSPORT!$A:$A,$B$10-14,DATA_TRANSPORT!$E:$E,AE60))=0,"",IF(OR(AE60="",$B$10=0),0,SUMIFS(DATA_TRANSPORT!$R:$R,DATA_TRANSPORT!$A:$A,$B$10-14,DATA_TRANSPORT!$E:$E,AE60))/IF(OR(AE60="",$B$10=0),0,SUMIFS(DATA_TRANSPORT!$L:$L,DATA_TRANSPORT!$A:$A,$B$10-14,DATA_TRANSPORT!$E:$E,AE60)))</f>
        <v/>
      </c>
      <c r="AU60">
        <f>IF(IF(OR(AE60="",$B$10=0),0,SUMIFS(DATA_TRANSPORT!$L:$L,DATA_TRANSPORT!$A:$A,$B$10-21,DATA_TRANSPORT!$E:$E,AE60))=0,"",IF(OR(AE60="",$B$10=0),0,SUMIFS(DATA_TRANSPORT!$R:$R,DATA_TRANSPORT!$A:$A,$B$10-21,DATA_TRANSPORT!$E:$E,AE60))/IF(OR(AE60="",$B$10=0),0,SUMIFS(DATA_TRANSPORT!$L:$L,DATA_TRANSPORT!$A:$A,$B$10-21,DATA_TRANSPORT!$E:$E,AE60)))</f>
        <v/>
      </c>
      <c r="AV60">
        <f>IF(AND(ISNUMBER(AJ60),AJ60&lt;UtilLow),1,0)+IF(AND(ISNUMBER(AS60),AS60&lt;UtilLow),1,0)+IF(AND(ISNUMBER(AT60),AT60&lt;UtilLow),1,0)+IF(AND(ISNUMBER(AU60),AU60&lt;UtilLow),1,0)</f>
        <v/>
      </c>
      <c r="AW60">
        <f>IF(AV60&gt;=UtilLowWeeks,AE60&amp;": seats only "&amp;TEXT(AJ60,"0%")&amp;" full, under "&amp;TEXT(UtilLow,"0%")&amp;" for "&amp;AV60&amp;" weeks running",IF(AND(ISNUMBER(AJ60),AJ60&gt;UtilHigh),AE60&amp;": demand exceeds seats ("&amp;TEXT(AJ60,"0%")&amp;" full) — consider more buses",IF(AND(ISNUMBER(AO60),AO60&gt;0),AE60&amp;": FT spend ₦"&amp;TEXT(AO60,"#,##0")&amp;" over the weekly budget",IF(AR60&gt;0,AE60&amp;": "&amp;AR60&amp;" coaster breakdown(s) this week",""))))</f>
        <v/>
      </c>
      <c r="AX60">
        <f>IF(ISNUMBER(AJ60),AJ60+ROW()/1000000000,"")</f>
        <v/>
      </c>
      <c r="AY60">
        <f>IF(ISNUMBER(AL60),AL60+ROW()/1000000,"")</f>
        <v/>
      </c>
      <c r="AZ60">
        <f>IF(AND(ISNUMBER(AO60),AO60&gt;0),AO60+ROW()/1000000,"")</f>
        <v/>
      </c>
      <c r="BA60">
        <f>IF(AF60&gt;0,AF60+ROW()/1000000,"")</f>
        <v/>
      </c>
      <c r="BB60">
        <f>IF(AW60="","",ROW())</f>
        <v/>
      </c>
    </row>
    <row r="61">
      <c r="A61" t="n">
        <v>40</v>
      </c>
      <c r="B61" s="170">
        <f>IF($B$10=0,"",$B$10-7*A61)</f>
        <v/>
      </c>
      <c r="C61">
        <f>IF(B61="","",MONTH(B61))</f>
        <v/>
      </c>
      <c r="D61">
        <f>IF(B61="","",ROUNDUP(MONTH(B61)/3,0))</f>
        <v/>
      </c>
      <c r="E61">
        <f>IF(B61="","",YEAR(B61))</f>
        <v/>
      </c>
      <c r="F61">
        <f>IF(B61="",0,COUNTIFS(DATA_TRANSPORT!$A:$A,B61,DATA_TRANSPORT!$E:$E,$B$6,DATA_TRANSPORT!$AB:$AB,$B$7))</f>
        <v/>
      </c>
      <c r="G61">
        <f>IF(F61=0,0,SUMIFS(DATA_TRANSPORT!$Q:$Q,DATA_TRANSPORT!$A:$A,B61,DATA_TRANSPORT!$E:$E,$B$6,DATA_TRANSPORT!$AB:$AB,$B$7))</f>
        <v/>
      </c>
      <c r="H61">
        <f>IF(F61=0,0,SUMIFS(DATA_TRANSPORT!$M:$M,DATA_TRANSPORT!$A:$A,B61,DATA_TRANSPORT!$E:$E,$B$6,DATA_TRANSPORT!$AB:$AB,$B$7))</f>
        <v/>
      </c>
      <c r="I61">
        <f>IF(F61=0,0,SUMIFS(DATA_TRANSPORT!$N:$N,DATA_TRANSPORT!$A:$A,B61,DATA_TRANSPORT!$E:$E,$B$6,DATA_TRANSPORT!$AB:$AB,$B$7))</f>
        <v/>
      </c>
      <c r="J61">
        <f>IF(F61=0,0,SUMIFS(DATA_TRANSPORT!$P:$P,DATA_TRANSPORT!$A:$A,B61,DATA_TRANSPORT!$E:$E,$B$6,DATA_TRANSPORT!$AB:$AB,$B$7))</f>
        <v/>
      </c>
      <c r="K61">
        <f>IF(F61=0,0,SUMIFS(DATA_TRANSPORT!$I:$I,DATA_TRANSPORT!$A:$A,B61,DATA_TRANSPORT!$E:$E,$B$6,DATA_TRANSPORT!$AB:$AB,$B$7))</f>
        <v/>
      </c>
      <c r="L61">
        <f>IF(F61=0,0,SUMIFS(DATA_TRANSPORT!$I:$I,DATA_TRANSPORT!$A:$A,B61,DATA_TRANSPORT!$E:$E,$B$6,DATA_TRANSPORT!$AB:$AB,$B$7,DATA_TRANSPORT!$U:$U,"Ran"))</f>
        <v/>
      </c>
      <c r="M61">
        <f>IF(F61=0,0,SUMIFS(DATA_TRANSPORT!$L:$L,DATA_TRANSPORT!$A:$A,B61,DATA_TRANSPORT!$E:$E,$B$6,DATA_TRANSPORT!$AB:$AB,$B$7))</f>
        <v/>
      </c>
      <c r="N61">
        <f>IF(F61=0,0,SUMIFS(DATA_TRANSPORT!$R:$R,DATA_TRANSPORT!$A:$A,B61,DATA_TRANSPORT!$E:$E,$B$6,DATA_TRANSPORT!$AB:$AB,$B$7))</f>
        <v/>
      </c>
      <c r="O61">
        <f>IF(F61=0,0,SUMIFS(DATA_TRANSPORT!$S:$S,DATA_TRANSPORT!$A:$A,B61,DATA_TRANSPORT!$E:$E,$B$6,DATA_TRANSPORT!$AB:$AB,$B$7))</f>
        <v/>
      </c>
      <c r="P61">
        <f>IF(OR(B61="",$B$17),0,SUMIFS(DATA_TRANSPORT_COSTS!$M:$M,DATA_TRANSPORT_COSTS!$A:$A,B61,DATA_TRANSPORT_COSTS!$D:$D,$B$6))</f>
        <v/>
      </c>
      <c r="Q61">
        <f>O61+P61</f>
        <v/>
      </c>
      <c r="R61">
        <f>P61+IF(F61=0,0,SUMIFS(DATA_TRANSPORT!$S:$S,DATA_TRANSPORT!$A:$A,B61,DATA_TRANSPORT!$E:$E,$B$6,DATA_TRANSPORT!$AB:$AB,$B$7,DATA_TRANSPORT!$T:$T,"Central"))</f>
        <v/>
      </c>
      <c r="S61">
        <f>IF(F61=0,0,SUMIFS(DATA_TRANSPORT!$S:$S,DATA_TRANSPORT!$A:$A,B61,DATA_TRANSPORT!$E:$E,$B$6,DATA_TRANSPORT!$AB:$AB,$B$7,DATA_TRANSPORT!$T:$T,"Members"))</f>
        <v/>
      </c>
      <c r="T61">
        <f>IF(OR(B61="",$B$17),0,SUMIFS(DATA_TRANSPORT_BUDGET!$G:$G,DATA_TRANSPORT_BUDGET!$A:$A,B61,DATA_TRANSPORT_BUDGET!$D:$D,$B$6))</f>
        <v/>
      </c>
      <c r="U61">
        <f>IF(F61=0,0,SUMIFS(DATA_TRANSPORT!$S:$S,DATA_TRANSPORT!$A:$A,B61,DATA_TRANSPORT!$E:$E,$B$6,DATA_TRANSPORT!$AB:$AB,$B$7,DATA_TRANSPORT!$C:$C,"FT Procured"))</f>
        <v/>
      </c>
      <c r="V61">
        <f>IF(F61=0,0,COUNTIFS(DATA_TRANSPORT!$A:$A,B61,DATA_TRANSPORT!$E:$E,$B$6,DATA_TRANSPORT!$AB:$AB,$B$7,DATA_TRANSPORT!$U:$U,"Breakdown"))</f>
        <v/>
      </c>
      <c r="W61">
        <f>IF(M61=0,0,N61/M61)</f>
        <v/>
      </c>
      <c r="X61">
        <f>IF(F61&gt;0,1,0)</f>
        <v/>
      </c>
      <c r="Y61">
        <f>IF(AND(A61&gt;=1,A61&lt;=$B$11),X61,0)</f>
        <v/>
      </c>
      <c r="Z61">
        <f>IF(AND(C61=$B$12,E61=$B$14),X61,0)</f>
        <v/>
      </c>
      <c r="AA61">
        <f>IF(AND(D61=$B$13,E61=$B$14),X61,0)</f>
        <v/>
      </c>
      <c r="AB61">
        <f>IF(E61=$B$14,X61,0)</f>
        <v/>
      </c>
      <c r="AE61">
        <f>IFERROR(INDEX(MASTER_AREAS!$B:$B,60)&amp;"","")</f>
        <v/>
      </c>
      <c r="AF61">
        <f>IF(OR(AE61="",$B$10=0),0,SUMIFS(DATA_TRANSPORT!$Q:$Q,DATA_TRANSPORT!$A:$A,$B$10,DATA_TRANSPORT!$E:$E,AE61))</f>
        <v/>
      </c>
      <c r="AG61">
        <f>IF(OR(AE61="",$B$10=0),0,SUMIFS(DATA_TRANSPORT!$I:$I,DATA_TRANSPORT!$A:$A,$B$10,DATA_TRANSPORT!$E:$E,AE61,DATA_TRANSPORT!$U:$U,"Ran"))</f>
        <v/>
      </c>
      <c r="AH61">
        <f>IF(OR(AE61="",$B$10=0),0,SUMIFS(DATA_TRANSPORT!$L:$L,DATA_TRANSPORT!$A:$A,$B$10,DATA_TRANSPORT!$E:$E,AE61))</f>
        <v/>
      </c>
      <c r="AI61">
        <f>IF(OR(AE61="",$B$10=0),0,SUMIFS(DATA_TRANSPORT!$R:$R,DATA_TRANSPORT!$A:$A,$B$10,DATA_TRANSPORT!$E:$E,AE61))</f>
        <v/>
      </c>
      <c r="AJ61">
        <f>IF(AH61=0,"",AI61/AH61)</f>
        <v/>
      </c>
      <c r="AK61">
        <f>IF(OR(AE61="",$B$10=0),0,SUMIFS(DATA_TRANSPORT!$S:$S,DATA_TRANSPORT!$A:$A,$B$10,DATA_TRANSPORT!$E:$E,AE61))+IF(OR(AE61="",$B$10=0),0,SUMIFS(DATA_TRANSPORT_COSTS!$M:$M,DATA_TRANSPORT_COSTS!$A:$A,$B$10,DATA_TRANSPORT_COSTS!$D:$D,AE61))</f>
        <v/>
      </c>
      <c r="AL61">
        <f>IF(OR(AF61=0,AK61=0),"",AK61/AF61)</f>
        <v/>
      </c>
      <c r="AM61">
        <f>IF(OR(AE61="",$B$10=0),0,SUMIFS(DATA_TRANSPORT!$S:$S,DATA_TRANSPORT!$A:$A,$B$10,DATA_TRANSPORT!$E:$E,AE61,DATA_TRANSPORT!$C:$C,"FT Procured"))</f>
        <v/>
      </c>
      <c r="AN61">
        <f>IF(OR(AE61="",$B$10=0),0,SUMIFS(DATA_TRANSPORT_BUDGET!$G:$G,DATA_TRANSPORT_BUDGET!$A:$A,$B$10,DATA_TRANSPORT_BUDGET!$D:$D,AE61))</f>
        <v/>
      </c>
      <c r="AO61">
        <f>IF(AN61=0,"",AM61-AN61)</f>
        <v/>
      </c>
      <c r="AP61">
        <f>IF(OR(AE61="",$B$10=0),0,COUNTIFS(DATA_TRANSPORT!$A:$A,$B$10,DATA_TRANSPORT!$E:$E,AE61,DATA_TRANSPORT!$C:$C,"FT Procured",DATA_TRANSPORT!$Y:$Y,"Y"))</f>
        <v/>
      </c>
      <c r="AQ61">
        <f>IF(OR(AE61="",$B$10=0),0,SUMIFS(DATA_TRANSPORT_BUDGET!$E:$E,DATA_TRANSPORT_BUDGET!$A:$A,$B$10,DATA_TRANSPORT_BUDGET!$D:$D,AE61))</f>
        <v/>
      </c>
      <c r="AR61">
        <f>IF(OR(AE61="",$B$10=0),0,COUNTIFS(DATA_TRANSPORT!$A:$A,$B$10,DATA_TRANSPORT!$E:$E,AE61,DATA_TRANSPORT!$U:$U,"Breakdown"))</f>
        <v/>
      </c>
      <c r="AS61">
        <f>IF(IF(OR(AE61="",$B$10=0),0,SUMIFS(DATA_TRANSPORT!$L:$L,DATA_TRANSPORT!$A:$A,$B$10-7,DATA_TRANSPORT!$E:$E,AE61))=0,"",IF(OR(AE61="",$B$10=0),0,SUMIFS(DATA_TRANSPORT!$R:$R,DATA_TRANSPORT!$A:$A,$B$10-7,DATA_TRANSPORT!$E:$E,AE61))/IF(OR(AE61="",$B$10=0),0,SUMIFS(DATA_TRANSPORT!$L:$L,DATA_TRANSPORT!$A:$A,$B$10-7,DATA_TRANSPORT!$E:$E,AE61)))</f>
        <v/>
      </c>
      <c r="AT61">
        <f>IF(IF(OR(AE61="",$B$10=0),0,SUMIFS(DATA_TRANSPORT!$L:$L,DATA_TRANSPORT!$A:$A,$B$10-14,DATA_TRANSPORT!$E:$E,AE61))=0,"",IF(OR(AE61="",$B$10=0),0,SUMIFS(DATA_TRANSPORT!$R:$R,DATA_TRANSPORT!$A:$A,$B$10-14,DATA_TRANSPORT!$E:$E,AE61))/IF(OR(AE61="",$B$10=0),0,SUMIFS(DATA_TRANSPORT!$L:$L,DATA_TRANSPORT!$A:$A,$B$10-14,DATA_TRANSPORT!$E:$E,AE61)))</f>
        <v/>
      </c>
      <c r="AU61">
        <f>IF(IF(OR(AE61="",$B$10=0),0,SUMIFS(DATA_TRANSPORT!$L:$L,DATA_TRANSPORT!$A:$A,$B$10-21,DATA_TRANSPORT!$E:$E,AE61))=0,"",IF(OR(AE61="",$B$10=0),0,SUMIFS(DATA_TRANSPORT!$R:$R,DATA_TRANSPORT!$A:$A,$B$10-21,DATA_TRANSPORT!$E:$E,AE61))/IF(OR(AE61="",$B$10=0),0,SUMIFS(DATA_TRANSPORT!$L:$L,DATA_TRANSPORT!$A:$A,$B$10-21,DATA_TRANSPORT!$E:$E,AE61)))</f>
        <v/>
      </c>
      <c r="AV61">
        <f>IF(AND(ISNUMBER(AJ61),AJ61&lt;UtilLow),1,0)+IF(AND(ISNUMBER(AS61),AS61&lt;UtilLow),1,0)+IF(AND(ISNUMBER(AT61),AT61&lt;UtilLow),1,0)+IF(AND(ISNUMBER(AU61),AU61&lt;UtilLow),1,0)</f>
        <v/>
      </c>
      <c r="AW61">
        <f>IF(AV61&gt;=UtilLowWeeks,AE61&amp;": seats only "&amp;TEXT(AJ61,"0%")&amp;" full, under "&amp;TEXT(UtilLow,"0%")&amp;" for "&amp;AV61&amp;" weeks running",IF(AND(ISNUMBER(AJ61),AJ61&gt;UtilHigh),AE61&amp;": demand exceeds seats ("&amp;TEXT(AJ61,"0%")&amp;" full) — consider more buses",IF(AND(ISNUMBER(AO61),AO61&gt;0),AE61&amp;": FT spend ₦"&amp;TEXT(AO61,"#,##0")&amp;" over the weekly budget",IF(AR61&gt;0,AE61&amp;": "&amp;AR61&amp;" coaster breakdown(s) this week",""))))</f>
        <v/>
      </c>
      <c r="AX61">
        <f>IF(ISNUMBER(AJ61),AJ61+ROW()/1000000000,"")</f>
        <v/>
      </c>
      <c r="AY61">
        <f>IF(ISNUMBER(AL61),AL61+ROW()/1000000,"")</f>
        <v/>
      </c>
      <c r="AZ61">
        <f>IF(AND(ISNUMBER(AO61),AO61&gt;0),AO61+ROW()/1000000,"")</f>
        <v/>
      </c>
      <c r="BA61">
        <f>IF(AF61&gt;0,AF61+ROW()/1000000,"")</f>
        <v/>
      </c>
      <c r="BB61">
        <f>IF(AW61="","",ROW())</f>
        <v/>
      </c>
    </row>
    <row r="62">
      <c r="A62" t="n">
        <v>41</v>
      </c>
      <c r="B62" s="170">
        <f>IF($B$10=0,"",$B$10-7*A62)</f>
        <v/>
      </c>
      <c r="C62">
        <f>IF(B62="","",MONTH(B62))</f>
        <v/>
      </c>
      <c r="D62">
        <f>IF(B62="","",ROUNDUP(MONTH(B62)/3,0))</f>
        <v/>
      </c>
      <c r="E62">
        <f>IF(B62="","",YEAR(B62))</f>
        <v/>
      </c>
      <c r="F62">
        <f>IF(B62="",0,COUNTIFS(DATA_TRANSPORT!$A:$A,B62,DATA_TRANSPORT!$E:$E,$B$6,DATA_TRANSPORT!$AB:$AB,$B$7))</f>
        <v/>
      </c>
      <c r="G62">
        <f>IF(F62=0,0,SUMIFS(DATA_TRANSPORT!$Q:$Q,DATA_TRANSPORT!$A:$A,B62,DATA_TRANSPORT!$E:$E,$B$6,DATA_TRANSPORT!$AB:$AB,$B$7))</f>
        <v/>
      </c>
      <c r="H62">
        <f>IF(F62=0,0,SUMIFS(DATA_TRANSPORT!$M:$M,DATA_TRANSPORT!$A:$A,B62,DATA_TRANSPORT!$E:$E,$B$6,DATA_TRANSPORT!$AB:$AB,$B$7))</f>
        <v/>
      </c>
      <c r="I62">
        <f>IF(F62=0,0,SUMIFS(DATA_TRANSPORT!$N:$N,DATA_TRANSPORT!$A:$A,B62,DATA_TRANSPORT!$E:$E,$B$6,DATA_TRANSPORT!$AB:$AB,$B$7))</f>
        <v/>
      </c>
      <c r="J62">
        <f>IF(F62=0,0,SUMIFS(DATA_TRANSPORT!$P:$P,DATA_TRANSPORT!$A:$A,B62,DATA_TRANSPORT!$E:$E,$B$6,DATA_TRANSPORT!$AB:$AB,$B$7))</f>
        <v/>
      </c>
      <c r="K62">
        <f>IF(F62=0,0,SUMIFS(DATA_TRANSPORT!$I:$I,DATA_TRANSPORT!$A:$A,B62,DATA_TRANSPORT!$E:$E,$B$6,DATA_TRANSPORT!$AB:$AB,$B$7))</f>
        <v/>
      </c>
      <c r="L62">
        <f>IF(F62=0,0,SUMIFS(DATA_TRANSPORT!$I:$I,DATA_TRANSPORT!$A:$A,B62,DATA_TRANSPORT!$E:$E,$B$6,DATA_TRANSPORT!$AB:$AB,$B$7,DATA_TRANSPORT!$U:$U,"Ran"))</f>
        <v/>
      </c>
      <c r="M62">
        <f>IF(F62=0,0,SUMIFS(DATA_TRANSPORT!$L:$L,DATA_TRANSPORT!$A:$A,B62,DATA_TRANSPORT!$E:$E,$B$6,DATA_TRANSPORT!$AB:$AB,$B$7))</f>
        <v/>
      </c>
      <c r="N62">
        <f>IF(F62=0,0,SUMIFS(DATA_TRANSPORT!$R:$R,DATA_TRANSPORT!$A:$A,B62,DATA_TRANSPORT!$E:$E,$B$6,DATA_TRANSPORT!$AB:$AB,$B$7))</f>
        <v/>
      </c>
      <c r="O62">
        <f>IF(F62=0,0,SUMIFS(DATA_TRANSPORT!$S:$S,DATA_TRANSPORT!$A:$A,B62,DATA_TRANSPORT!$E:$E,$B$6,DATA_TRANSPORT!$AB:$AB,$B$7))</f>
        <v/>
      </c>
      <c r="P62">
        <f>IF(OR(B62="",$B$17),0,SUMIFS(DATA_TRANSPORT_COSTS!$M:$M,DATA_TRANSPORT_COSTS!$A:$A,B62,DATA_TRANSPORT_COSTS!$D:$D,$B$6))</f>
        <v/>
      </c>
      <c r="Q62">
        <f>O62+P62</f>
        <v/>
      </c>
      <c r="R62">
        <f>P62+IF(F62=0,0,SUMIFS(DATA_TRANSPORT!$S:$S,DATA_TRANSPORT!$A:$A,B62,DATA_TRANSPORT!$E:$E,$B$6,DATA_TRANSPORT!$AB:$AB,$B$7,DATA_TRANSPORT!$T:$T,"Central"))</f>
        <v/>
      </c>
      <c r="S62">
        <f>IF(F62=0,0,SUMIFS(DATA_TRANSPORT!$S:$S,DATA_TRANSPORT!$A:$A,B62,DATA_TRANSPORT!$E:$E,$B$6,DATA_TRANSPORT!$AB:$AB,$B$7,DATA_TRANSPORT!$T:$T,"Members"))</f>
        <v/>
      </c>
      <c r="T62">
        <f>IF(OR(B62="",$B$17),0,SUMIFS(DATA_TRANSPORT_BUDGET!$G:$G,DATA_TRANSPORT_BUDGET!$A:$A,B62,DATA_TRANSPORT_BUDGET!$D:$D,$B$6))</f>
        <v/>
      </c>
      <c r="U62">
        <f>IF(F62=0,0,SUMIFS(DATA_TRANSPORT!$S:$S,DATA_TRANSPORT!$A:$A,B62,DATA_TRANSPORT!$E:$E,$B$6,DATA_TRANSPORT!$AB:$AB,$B$7,DATA_TRANSPORT!$C:$C,"FT Procured"))</f>
        <v/>
      </c>
      <c r="V62">
        <f>IF(F62=0,0,COUNTIFS(DATA_TRANSPORT!$A:$A,B62,DATA_TRANSPORT!$E:$E,$B$6,DATA_TRANSPORT!$AB:$AB,$B$7,DATA_TRANSPORT!$U:$U,"Breakdown"))</f>
        <v/>
      </c>
      <c r="W62">
        <f>IF(M62=0,0,N62/M62)</f>
        <v/>
      </c>
      <c r="X62">
        <f>IF(F62&gt;0,1,0)</f>
        <v/>
      </c>
      <c r="Y62">
        <f>IF(AND(A62&gt;=1,A62&lt;=$B$11),X62,0)</f>
        <v/>
      </c>
      <c r="Z62">
        <f>IF(AND(C62=$B$12,E62=$B$14),X62,0)</f>
        <v/>
      </c>
      <c r="AA62">
        <f>IF(AND(D62=$B$13,E62=$B$14),X62,0)</f>
        <v/>
      </c>
      <c r="AB62">
        <f>IF(E62=$B$14,X62,0)</f>
        <v/>
      </c>
      <c r="AE62">
        <f>IFERROR(INDEX(MASTER_AREAS!$B:$B,61)&amp;"","")</f>
        <v/>
      </c>
      <c r="AF62">
        <f>IF(OR(AE62="",$B$10=0),0,SUMIFS(DATA_TRANSPORT!$Q:$Q,DATA_TRANSPORT!$A:$A,$B$10,DATA_TRANSPORT!$E:$E,AE62))</f>
        <v/>
      </c>
      <c r="AG62">
        <f>IF(OR(AE62="",$B$10=0),0,SUMIFS(DATA_TRANSPORT!$I:$I,DATA_TRANSPORT!$A:$A,$B$10,DATA_TRANSPORT!$E:$E,AE62,DATA_TRANSPORT!$U:$U,"Ran"))</f>
        <v/>
      </c>
      <c r="AH62">
        <f>IF(OR(AE62="",$B$10=0),0,SUMIFS(DATA_TRANSPORT!$L:$L,DATA_TRANSPORT!$A:$A,$B$10,DATA_TRANSPORT!$E:$E,AE62))</f>
        <v/>
      </c>
      <c r="AI62">
        <f>IF(OR(AE62="",$B$10=0),0,SUMIFS(DATA_TRANSPORT!$R:$R,DATA_TRANSPORT!$A:$A,$B$10,DATA_TRANSPORT!$E:$E,AE62))</f>
        <v/>
      </c>
      <c r="AJ62">
        <f>IF(AH62=0,"",AI62/AH62)</f>
        <v/>
      </c>
      <c r="AK62">
        <f>IF(OR(AE62="",$B$10=0),0,SUMIFS(DATA_TRANSPORT!$S:$S,DATA_TRANSPORT!$A:$A,$B$10,DATA_TRANSPORT!$E:$E,AE62))+IF(OR(AE62="",$B$10=0),0,SUMIFS(DATA_TRANSPORT_COSTS!$M:$M,DATA_TRANSPORT_COSTS!$A:$A,$B$10,DATA_TRANSPORT_COSTS!$D:$D,AE62))</f>
        <v/>
      </c>
      <c r="AL62">
        <f>IF(OR(AF62=0,AK62=0),"",AK62/AF62)</f>
        <v/>
      </c>
      <c r="AM62">
        <f>IF(OR(AE62="",$B$10=0),0,SUMIFS(DATA_TRANSPORT!$S:$S,DATA_TRANSPORT!$A:$A,$B$10,DATA_TRANSPORT!$E:$E,AE62,DATA_TRANSPORT!$C:$C,"FT Procured"))</f>
        <v/>
      </c>
      <c r="AN62">
        <f>IF(OR(AE62="",$B$10=0),0,SUMIFS(DATA_TRANSPORT_BUDGET!$G:$G,DATA_TRANSPORT_BUDGET!$A:$A,$B$10,DATA_TRANSPORT_BUDGET!$D:$D,AE62))</f>
        <v/>
      </c>
      <c r="AO62">
        <f>IF(AN62=0,"",AM62-AN62)</f>
        <v/>
      </c>
      <c r="AP62">
        <f>IF(OR(AE62="",$B$10=0),0,COUNTIFS(DATA_TRANSPORT!$A:$A,$B$10,DATA_TRANSPORT!$E:$E,AE62,DATA_TRANSPORT!$C:$C,"FT Procured",DATA_TRANSPORT!$Y:$Y,"Y"))</f>
        <v/>
      </c>
      <c r="AQ62">
        <f>IF(OR(AE62="",$B$10=0),0,SUMIFS(DATA_TRANSPORT_BUDGET!$E:$E,DATA_TRANSPORT_BUDGET!$A:$A,$B$10,DATA_TRANSPORT_BUDGET!$D:$D,AE62))</f>
        <v/>
      </c>
      <c r="AR62">
        <f>IF(OR(AE62="",$B$10=0),0,COUNTIFS(DATA_TRANSPORT!$A:$A,$B$10,DATA_TRANSPORT!$E:$E,AE62,DATA_TRANSPORT!$U:$U,"Breakdown"))</f>
        <v/>
      </c>
      <c r="AS62">
        <f>IF(IF(OR(AE62="",$B$10=0),0,SUMIFS(DATA_TRANSPORT!$L:$L,DATA_TRANSPORT!$A:$A,$B$10-7,DATA_TRANSPORT!$E:$E,AE62))=0,"",IF(OR(AE62="",$B$10=0),0,SUMIFS(DATA_TRANSPORT!$R:$R,DATA_TRANSPORT!$A:$A,$B$10-7,DATA_TRANSPORT!$E:$E,AE62))/IF(OR(AE62="",$B$10=0),0,SUMIFS(DATA_TRANSPORT!$L:$L,DATA_TRANSPORT!$A:$A,$B$10-7,DATA_TRANSPORT!$E:$E,AE62)))</f>
        <v/>
      </c>
      <c r="AT62">
        <f>IF(IF(OR(AE62="",$B$10=0),0,SUMIFS(DATA_TRANSPORT!$L:$L,DATA_TRANSPORT!$A:$A,$B$10-14,DATA_TRANSPORT!$E:$E,AE62))=0,"",IF(OR(AE62="",$B$10=0),0,SUMIFS(DATA_TRANSPORT!$R:$R,DATA_TRANSPORT!$A:$A,$B$10-14,DATA_TRANSPORT!$E:$E,AE62))/IF(OR(AE62="",$B$10=0),0,SUMIFS(DATA_TRANSPORT!$L:$L,DATA_TRANSPORT!$A:$A,$B$10-14,DATA_TRANSPORT!$E:$E,AE62)))</f>
        <v/>
      </c>
      <c r="AU62">
        <f>IF(IF(OR(AE62="",$B$10=0),0,SUMIFS(DATA_TRANSPORT!$L:$L,DATA_TRANSPORT!$A:$A,$B$10-21,DATA_TRANSPORT!$E:$E,AE62))=0,"",IF(OR(AE62="",$B$10=0),0,SUMIFS(DATA_TRANSPORT!$R:$R,DATA_TRANSPORT!$A:$A,$B$10-21,DATA_TRANSPORT!$E:$E,AE62))/IF(OR(AE62="",$B$10=0),0,SUMIFS(DATA_TRANSPORT!$L:$L,DATA_TRANSPORT!$A:$A,$B$10-21,DATA_TRANSPORT!$E:$E,AE62)))</f>
        <v/>
      </c>
      <c r="AV62">
        <f>IF(AND(ISNUMBER(AJ62),AJ62&lt;UtilLow),1,0)+IF(AND(ISNUMBER(AS62),AS62&lt;UtilLow),1,0)+IF(AND(ISNUMBER(AT62),AT62&lt;UtilLow),1,0)+IF(AND(ISNUMBER(AU62),AU62&lt;UtilLow),1,0)</f>
        <v/>
      </c>
      <c r="AW62">
        <f>IF(AV62&gt;=UtilLowWeeks,AE62&amp;": seats only "&amp;TEXT(AJ62,"0%")&amp;" full, under "&amp;TEXT(UtilLow,"0%")&amp;" for "&amp;AV62&amp;" weeks running",IF(AND(ISNUMBER(AJ62),AJ62&gt;UtilHigh),AE62&amp;": demand exceeds seats ("&amp;TEXT(AJ62,"0%")&amp;" full) — consider more buses",IF(AND(ISNUMBER(AO62),AO62&gt;0),AE62&amp;": FT spend ₦"&amp;TEXT(AO62,"#,##0")&amp;" over the weekly budget",IF(AR62&gt;0,AE62&amp;": "&amp;AR62&amp;" coaster breakdown(s) this week",""))))</f>
        <v/>
      </c>
      <c r="AX62">
        <f>IF(ISNUMBER(AJ62),AJ62+ROW()/1000000000,"")</f>
        <v/>
      </c>
      <c r="AY62">
        <f>IF(ISNUMBER(AL62),AL62+ROW()/1000000,"")</f>
        <v/>
      </c>
      <c r="AZ62">
        <f>IF(AND(ISNUMBER(AO62),AO62&gt;0),AO62+ROW()/1000000,"")</f>
        <v/>
      </c>
      <c r="BA62">
        <f>IF(AF62&gt;0,AF62+ROW()/1000000,"")</f>
        <v/>
      </c>
      <c r="BB62">
        <f>IF(AW62="","",ROW())</f>
        <v/>
      </c>
    </row>
    <row r="63">
      <c r="A63" t="n">
        <v>42</v>
      </c>
      <c r="B63" s="170">
        <f>IF($B$10=0,"",$B$10-7*A63)</f>
        <v/>
      </c>
      <c r="C63">
        <f>IF(B63="","",MONTH(B63))</f>
        <v/>
      </c>
      <c r="D63">
        <f>IF(B63="","",ROUNDUP(MONTH(B63)/3,0))</f>
        <v/>
      </c>
      <c r="E63">
        <f>IF(B63="","",YEAR(B63))</f>
        <v/>
      </c>
      <c r="F63">
        <f>IF(B63="",0,COUNTIFS(DATA_TRANSPORT!$A:$A,B63,DATA_TRANSPORT!$E:$E,$B$6,DATA_TRANSPORT!$AB:$AB,$B$7))</f>
        <v/>
      </c>
      <c r="G63">
        <f>IF(F63=0,0,SUMIFS(DATA_TRANSPORT!$Q:$Q,DATA_TRANSPORT!$A:$A,B63,DATA_TRANSPORT!$E:$E,$B$6,DATA_TRANSPORT!$AB:$AB,$B$7))</f>
        <v/>
      </c>
      <c r="H63">
        <f>IF(F63=0,0,SUMIFS(DATA_TRANSPORT!$M:$M,DATA_TRANSPORT!$A:$A,B63,DATA_TRANSPORT!$E:$E,$B$6,DATA_TRANSPORT!$AB:$AB,$B$7))</f>
        <v/>
      </c>
      <c r="I63">
        <f>IF(F63=0,0,SUMIFS(DATA_TRANSPORT!$N:$N,DATA_TRANSPORT!$A:$A,B63,DATA_TRANSPORT!$E:$E,$B$6,DATA_TRANSPORT!$AB:$AB,$B$7))</f>
        <v/>
      </c>
      <c r="J63">
        <f>IF(F63=0,0,SUMIFS(DATA_TRANSPORT!$P:$P,DATA_TRANSPORT!$A:$A,B63,DATA_TRANSPORT!$E:$E,$B$6,DATA_TRANSPORT!$AB:$AB,$B$7))</f>
        <v/>
      </c>
      <c r="K63">
        <f>IF(F63=0,0,SUMIFS(DATA_TRANSPORT!$I:$I,DATA_TRANSPORT!$A:$A,B63,DATA_TRANSPORT!$E:$E,$B$6,DATA_TRANSPORT!$AB:$AB,$B$7))</f>
        <v/>
      </c>
      <c r="L63">
        <f>IF(F63=0,0,SUMIFS(DATA_TRANSPORT!$I:$I,DATA_TRANSPORT!$A:$A,B63,DATA_TRANSPORT!$E:$E,$B$6,DATA_TRANSPORT!$AB:$AB,$B$7,DATA_TRANSPORT!$U:$U,"Ran"))</f>
        <v/>
      </c>
      <c r="M63">
        <f>IF(F63=0,0,SUMIFS(DATA_TRANSPORT!$L:$L,DATA_TRANSPORT!$A:$A,B63,DATA_TRANSPORT!$E:$E,$B$6,DATA_TRANSPORT!$AB:$AB,$B$7))</f>
        <v/>
      </c>
      <c r="N63">
        <f>IF(F63=0,0,SUMIFS(DATA_TRANSPORT!$R:$R,DATA_TRANSPORT!$A:$A,B63,DATA_TRANSPORT!$E:$E,$B$6,DATA_TRANSPORT!$AB:$AB,$B$7))</f>
        <v/>
      </c>
      <c r="O63">
        <f>IF(F63=0,0,SUMIFS(DATA_TRANSPORT!$S:$S,DATA_TRANSPORT!$A:$A,B63,DATA_TRANSPORT!$E:$E,$B$6,DATA_TRANSPORT!$AB:$AB,$B$7))</f>
        <v/>
      </c>
      <c r="P63">
        <f>IF(OR(B63="",$B$17),0,SUMIFS(DATA_TRANSPORT_COSTS!$M:$M,DATA_TRANSPORT_COSTS!$A:$A,B63,DATA_TRANSPORT_COSTS!$D:$D,$B$6))</f>
        <v/>
      </c>
      <c r="Q63">
        <f>O63+P63</f>
        <v/>
      </c>
      <c r="R63">
        <f>P63+IF(F63=0,0,SUMIFS(DATA_TRANSPORT!$S:$S,DATA_TRANSPORT!$A:$A,B63,DATA_TRANSPORT!$E:$E,$B$6,DATA_TRANSPORT!$AB:$AB,$B$7,DATA_TRANSPORT!$T:$T,"Central"))</f>
        <v/>
      </c>
      <c r="S63">
        <f>IF(F63=0,0,SUMIFS(DATA_TRANSPORT!$S:$S,DATA_TRANSPORT!$A:$A,B63,DATA_TRANSPORT!$E:$E,$B$6,DATA_TRANSPORT!$AB:$AB,$B$7,DATA_TRANSPORT!$T:$T,"Members"))</f>
        <v/>
      </c>
      <c r="T63">
        <f>IF(OR(B63="",$B$17),0,SUMIFS(DATA_TRANSPORT_BUDGET!$G:$G,DATA_TRANSPORT_BUDGET!$A:$A,B63,DATA_TRANSPORT_BUDGET!$D:$D,$B$6))</f>
        <v/>
      </c>
      <c r="U63">
        <f>IF(F63=0,0,SUMIFS(DATA_TRANSPORT!$S:$S,DATA_TRANSPORT!$A:$A,B63,DATA_TRANSPORT!$E:$E,$B$6,DATA_TRANSPORT!$AB:$AB,$B$7,DATA_TRANSPORT!$C:$C,"FT Procured"))</f>
        <v/>
      </c>
      <c r="V63">
        <f>IF(F63=0,0,COUNTIFS(DATA_TRANSPORT!$A:$A,B63,DATA_TRANSPORT!$E:$E,$B$6,DATA_TRANSPORT!$AB:$AB,$B$7,DATA_TRANSPORT!$U:$U,"Breakdown"))</f>
        <v/>
      </c>
      <c r="W63">
        <f>IF(M63=0,0,N63/M63)</f>
        <v/>
      </c>
      <c r="X63">
        <f>IF(F63&gt;0,1,0)</f>
        <v/>
      </c>
      <c r="Y63">
        <f>IF(AND(A63&gt;=1,A63&lt;=$B$11),X63,0)</f>
        <v/>
      </c>
      <c r="Z63">
        <f>IF(AND(C63=$B$12,E63=$B$14),X63,0)</f>
        <v/>
      </c>
      <c r="AA63">
        <f>IF(AND(D63=$B$13,E63=$B$14),X63,0)</f>
        <v/>
      </c>
      <c r="AB63">
        <f>IF(E63=$B$14,X63,0)</f>
        <v/>
      </c>
      <c r="AE63">
        <f>IFERROR(INDEX(MASTER_AREAS!$B:$B,62)&amp;"","")</f>
        <v/>
      </c>
      <c r="AF63">
        <f>IF(OR(AE63="",$B$10=0),0,SUMIFS(DATA_TRANSPORT!$Q:$Q,DATA_TRANSPORT!$A:$A,$B$10,DATA_TRANSPORT!$E:$E,AE63))</f>
        <v/>
      </c>
      <c r="AG63">
        <f>IF(OR(AE63="",$B$10=0),0,SUMIFS(DATA_TRANSPORT!$I:$I,DATA_TRANSPORT!$A:$A,$B$10,DATA_TRANSPORT!$E:$E,AE63,DATA_TRANSPORT!$U:$U,"Ran"))</f>
        <v/>
      </c>
      <c r="AH63">
        <f>IF(OR(AE63="",$B$10=0),0,SUMIFS(DATA_TRANSPORT!$L:$L,DATA_TRANSPORT!$A:$A,$B$10,DATA_TRANSPORT!$E:$E,AE63))</f>
        <v/>
      </c>
      <c r="AI63">
        <f>IF(OR(AE63="",$B$10=0),0,SUMIFS(DATA_TRANSPORT!$R:$R,DATA_TRANSPORT!$A:$A,$B$10,DATA_TRANSPORT!$E:$E,AE63))</f>
        <v/>
      </c>
      <c r="AJ63">
        <f>IF(AH63=0,"",AI63/AH63)</f>
        <v/>
      </c>
      <c r="AK63">
        <f>IF(OR(AE63="",$B$10=0),0,SUMIFS(DATA_TRANSPORT!$S:$S,DATA_TRANSPORT!$A:$A,$B$10,DATA_TRANSPORT!$E:$E,AE63))+IF(OR(AE63="",$B$10=0),0,SUMIFS(DATA_TRANSPORT_COSTS!$M:$M,DATA_TRANSPORT_COSTS!$A:$A,$B$10,DATA_TRANSPORT_COSTS!$D:$D,AE63))</f>
        <v/>
      </c>
      <c r="AL63">
        <f>IF(OR(AF63=0,AK63=0),"",AK63/AF63)</f>
        <v/>
      </c>
      <c r="AM63">
        <f>IF(OR(AE63="",$B$10=0),0,SUMIFS(DATA_TRANSPORT!$S:$S,DATA_TRANSPORT!$A:$A,$B$10,DATA_TRANSPORT!$E:$E,AE63,DATA_TRANSPORT!$C:$C,"FT Procured"))</f>
        <v/>
      </c>
      <c r="AN63">
        <f>IF(OR(AE63="",$B$10=0),0,SUMIFS(DATA_TRANSPORT_BUDGET!$G:$G,DATA_TRANSPORT_BUDGET!$A:$A,$B$10,DATA_TRANSPORT_BUDGET!$D:$D,AE63))</f>
        <v/>
      </c>
      <c r="AO63">
        <f>IF(AN63=0,"",AM63-AN63)</f>
        <v/>
      </c>
      <c r="AP63">
        <f>IF(OR(AE63="",$B$10=0),0,COUNTIFS(DATA_TRANSPORT!$A:$A,$B$10,DATA_TRANSPORT!$E:$E,AE63,DATA_TRANSPORT!$C:$C,"FT Procured",DATA_TRANSPORT!$Y:$Y,"Y"))</f>
        <v/>
      </c>
      <c r="AQ63">
        <f>IF(OR(AE63="",$B$10=0),0,SUMIFS(DATA_TRANSPORT_BUDGET!$E:$E,DATA_TRANSPORT_BUDGET!$A:$A,$B$10,DATA_TRANSPORT_BUDGET!$D:$D,AE63))</f>
        <v/>
      </c>
      <c r="AR63">
        <f>IF(OR(AE63="",$B$10=0),0,COUNTIFS(DATA_TRANSPORT!$A:$A,$B$10,DATA_TRANSPORT!$E:$E,AE63,DATA_TRANSPORT!$U:$U,"Breakdown"))</f>
        <v/>
      </c>
      <c r="AS63">
        <f>IF(IF(OR(AE63="",$B$10=0),0,SUMIFS(DATA_TRANSPORT!$L:$L,DATA_TRANSPORT!$A:$A,$B$10-7,DATA_TRANSPORT!$E:$E,AE63))=0,"",IF(OR(AE63="",$B$10=0),0,SUMIFS(DATA_TRANSPORT!$R:$R,DATA_TRANSPORT!$A:$A,$B$10-7,DATA_TRANSPORT!$E:$E,AE63))/IF(OR(AE63="",$B$10=0),0,SUMIFS(DATA_TRANSPORT!$L:$L,DATA_TRANSPORT!$A:$A,$B$10-7,DATA_TRANSPORT!$E:$E,AE63)))</f>
        <v/>
      </c>
      <c r="AT63">
        <f>IF(IF(OR(AE63="",$B$10=0),0,SUMIFS(DATA_TRANSPORT!$L:$L,DATA_TRANSPORT!$A:$A,$B$10-14,DATA_TRANSPORT!$E:$E,AE63))=0,"",IF(OR(AE63="",$B$10=0),0,SUMIFS(DATA_TRANSPORT!$R:$R,DATA_TRANSPORT!$A:$A,$B$10-14,DATA_TRANSPORT!$E:$E,AE63))/IF(OR(AE63="",$B$10=0),0,SUMIFS(DATA_TRANSPORT!$L:$L,DATA_TRANSPORT!$A:$A,$B$10-14,DATA_TRANSPORT!$E:$E,AE63)))</f>
        <v/>
      </c>
      <c r="AU63">
        <f>IF(IF(OR(AE63="",$B$10=0),0,SUMIFS(DATA_TRANSPORT!$L:$L,DATA_TRANSPORT!$A:$A,$B$10-21,DATA_TRANSPORT!$E:$E,AE63))=0,"",IF(OR(AE63="",$B$10=0),0,SUMIFS(DATA_TRANSPORT!$R:$R,DATA_TRANSPORT!$A:$A,$B$10-21,DATA_TRANSPORT!$E:$E,AE63))/IF(OR(AE63="",$B$10=0),0,SUMIFS(DATA_TRANSPORT!$L:$L,DATA_TRANSPORT!$A:$A,$B$10-21,DATA_TRANSPORT!$E:$E,AE63)))</f>
        <v/>
      </c>
      <c r="AV63">
        <f>IF(AND(ISNUMBER(AJ63),AJ63&lt;UtilLow),1,0)+IF(AND(ISNUMBER(AS63),AS63&lt;UtilLow),1,0)+IF(AND(ISNUMBER(AT63),AT63&lt;UtilLow),1,0)+IF(AND(ISNUMBER(AU63),AU63&lt;UtilLow),1,0)</f>
        <v/>
      </c>
      <c r="AW63">
        <f>IF(AV63&gt;=UtilLowWeeks,AE63&amp;": seats only "&amp;TEXT(AJ63,"0%")&amp;" full, under "&amp;TEXT(UtilLow,"0%")&amp;" for "&amp;AV63&amp;" weeks running",IF(AND(ISNUMBER(AJ63),AJ63&gt;UtilHigh),AE63&amp;": demand exceeds seats ("&amp;TEXT(AJ63,"0%")&amp;" full) — consider more buses",IF(AND(ISNUMBER(AO63),AO63&gt;0),AE63&amp;": FT spend ₦"&amp;TEXT(AO63,"#,##0")&amp;" over the weekly budget",IF(AR63&gt;0,AE63&amp;": "&amp;AR63&amp;" coaster breakdown(s) this week",""))))</f>
        <v/>
      </c>
      <c r="AX63">
        <f>IF(ISNUMBER(AJ63),AJ63+ROW()/1000000000,"")</f>
        <v/>
      </c>
      <c r="AY63">
        <f>IF(ISNUMBER(AL63),AL63+ROW()/1000000,"")</f>
        <v/>
      </c>
      <c r="AZ63">
        <f>IF(AND(ISNUMBER(AO63),AO63&gt;0),AO63+ROW()/1000000,"")</f>
        <v/>
      </c>
      <c r="BA63">
        <f>IF(AF63&gt;0,AF63+ROW()/1000000,"")</f>
        <v/>
      </c>
      <c r="BB63">
        <f>IF(AW63="","",ROW())</f>
        <v/>
      </c>
    </row>
    <row r="64">
      <c r="A64" t="n">
        <v>43</v>
      </c>
      <c r="B64" s="170">
        <f>IF($B$10=0,"",$B$10-7*A64)</f>
        <v/>
      </c>
      <c r="C64">
        <f>IF(B64="","",MONTH(B64))</f>
        <v/>
      </c>
      <c r="D64">
        <f>IF(B64="","",ROUNDUP(MONTH(B64)/3,0))</f>
        <v/>
      </c>
      <c r="E64">
        <f>IF(B64="","",YEAR(B64))</f>
        <v/>
      </c>
      <c r="F64">
        <f>IF(B64="",0,COUNTIFS(DATA_TRANSPORT!$A:$A,B64,DATA_TRANSPORT!$E:$E,$B$6,DATA_TRANSPORT!$AB:$AB,$B$7))</f>
        <v/>
      </c>
      <c r="G64">
        <f>IF(F64=0,0,SUMIFS(DATA_TRANSPORT!$Q:$Q,DATA_TRANSPORT!$A:$A,B64,DATA_TRANSPORT!$E:$E,$B$6,DATA_TRANSPORT!$AB:$AB,$B$7))</f>
        <v/>
      </c>
      <c r="H64">
        <f>IF(F64=0,0,SUMIFS(DATA_TRANSPORT!$M:$M,DATA_TRANSPORT!$A:$A,B64,DATA_TRANSPORT!$E:$E,$B$6,DATA_TRANSPORT!$AB:$AB,$B$7))</f>
        <v/>
      </c>
      <c r="I64">
        <f>IF(F64=0,0,SUMIFS(DATA_TRANSPORT!$N:$N,DATA_TRANSPORT!$A:$A,B64,DATA_TRANSPORT!$E:$E,$B$6,DATA_TRANSPORT!$AB:$AB,$B$7))</f>
        <v/>
      </c>
      <c r="J64">
        <f>IF(F64=0,0,SUMIFS(DATA_TRANSPORT!$P:$P,DATA_TRANSPORT!$A:$A,B64,DATA_TRANSPORT!$E:$E,$B$6,DATA_TRANSPORT!$AB:$AB,$B$7))</f>
        <v/>
      </c>
      <c r="K64">
        <f>IF(F64=0,0,SUMIFS(DATA_TRANSPORT!$I:$I,DATA_TRANSPORT!$A:$A,B64,DATA_TRANSPORT!$E:$E,$B$6,DATA_TRANSPORT!$AB:$AB,$B$7))</f>
        <v/>
      </c>
      <c r="L64">
        <f>IF(F64=0,0,SUMIFS(DATA_TRANSPORT!$I:$I,DATA_TRANSPORT!$A:$A,B64,DATA_TRANSPORT!$E:$E,$B$6,DATA_TRANSPORT!$AB:$AB,$B$7,DATA_TRANSPORT!$U:$U,"Ran"))</f>
        <v/>
      </c>
      <c r="M64">
        <f>IF(F64=0,0,SUMIFS(DATA_TRANSPORT!$L:$L,DATA_TRANSPORT!$A:$A,B64,DATA_TRANSPORT!$E:$E,$B$6,DATA_TRANSPORT!$AB:$AB,$B$7))</f>
        <v/>
      </c>
      <c r="N64">
        <f>IF(F64=0,0,SUMIFS(DATA_TRANSPORT!$R:$R,DATA_TRANSPORT!$A:$A,B64,DATA_TRANSPORT!$E:$E,$B$6,DATA_TRANSPORT!$AB:$AB,$B$7))</f>
        <v/>
      </c>
      <c r="O64">
        <f>IF(F64=0,0,SUMIFS(DATA_TRANSPORT!$S:$S,DATA_TRANSPORT!$A:$A,B64,DATA_TRANSPORT!$E:$E,$B$6,DATA_TRANSPORT!$AB:$AB,$B$7))</f>
        <v/>
      </c>
      <c r="P64">
        <f>IF(OR(B64="",$B$17),0,SUMIFS(DATA_TRANSPORT_COSTS!$M:$M,DATA_TRANSPORT_COSTS!$A:$A,B64,DATA_TRANSPORT_COSTS!$D:$D,$B$6))</f>
        <v/>
      </c>
      <c r="Q64">
        <f>O64+P64</f>
        <v/>
      </c>
      <c r="R64">
        <f>P64+IF(F64=0,0,SUMIFS(DATA_TRANSPORT!$S:$S,DATA_TRANSPORT!$A:$A,B64,DATA_TRANSPORT!$E:$E,$B$6,DATA_TRANSPORT!$AB:$AB,$B$7,DATA_TRANSPORT!$T:$T,"Central"))</f>
        <v/>
      </c>
      <c r="S64">
        <f>IF(F64=0,0,SUMIFS(DATA_TRANSPORT!$S:$S,DATA_TRANSPORT!$A:$A,B64,DATA_TRANSPORT!$E:$E,$B$6,DATA_TRANSPORT!$AB:$AB,$B$7,DATA_TRANSPORT!$T:$T,"Members"))</f>
        <v/>
      </c>
      <c r="T64">
        <f>IF(OR(B64="",$B$17),0,SUMIFS(DATA_TRANSPORT_BUDGET!$G:$G,DATA_TRANSPORT_BUDGET!$A:$A,B64,DATA_TRANSPORT_BUDGET!$D:$D,$B$6))</f>
        <v/>
      </c>
      <c r="U64">
        <f>IF(F64=0,0,SUMIFS(DATA_TRANSPORT!$S:$S,DATA_TRANSPORT!$A:$A,B64,DATA_TRANSPORT!$E:$E,$B$6,DATA_TRANSPORT!$AB:$AB,$B$7,DATA_TRANSPORT!$C:$C,"FT Procured"))</f>
        <v/>
      </c>
      <c r="V64">
        <f>IF(F64=0,0,COUNTIFS(DATA_TRANSPORT!$A:$A,B64,DATA_TRANSPORT!$E:$E,$B$6,DATA_TRANSPORT!$AB:$AB,$B$7,DATA_TRANSPORT!$U:$U,"Breakdown"))</f>
        <v/>
      </c>
      <c r="W64">
        <f>IF(M64=0,0,N64/M64)</f>
        <v/>
      </c>
      <c r="X64">
        <f>IF(F64&gt;0,1,0)</f>
        <v/>
      </c>
      <c r="Y64">
        <f>IF(AND(A64&gt;=1,A64&lt;=$B$11),X64,0)</f>
        <v/>
      </c>
      <c r="Z64">
        <f>IF(AND(C64=$B$12,E64=$B$14),X64,0)</f>
        <v/>
      </c>
      <c r="AA64">
        <f>IF(AND(D64=$B$13,E64=$B$14),X64,0)</f>
        <v/>
      </c>
      <c r="AB64">
        <f>IF(E64=$B$14,X64,0)</f>
        <v/>
      </c>
      <c r="AE64">
        <f>IFERROR(INDEX(MASTER_AREAS!$B:$B,63)&amp;"","")</f>
        <v/>
      </c>
      <c r="AF64">
        <f>IF(OR(AE64="",$B$10=0),0,SUMIFS(DATA_TRANSPORT!$Q:$Q,DATA_TRANSPORT!$A:$A,$B$10,DATA_TRANSPORT!$E:$E,AE64))</f>
        <v/>
      </c>
      <c r="AG64">
        <f>IF(OR(AE64="",$B$10=0),0,SUMIFS(DATA_TRANSPORT!$I:$I,DATA_TRANSPORT!$A:$A,$B$10,DATA_TRANSPORT!$E:$E,AE64,DATA_TRANSPORT!$U:$U,"Ran"))</f>
        <v/>
      </c>
      <c r="AH64">
        <f>IF(OR(AE64="",$B$10=0),0,SUMIFS(DATA_TRANSPORT!$L:$L,DATA_TRANSPORT!$A:$A,$B$10,DATA_TRANSPORT!$E:$E,AE64))</f>
        <v/>
      </c>
      <c r="AI64">
        <f>IF(OR(AE64="",$B$10=0),0,SUMIFS(DATA_TRANSPORT!$R:$R,DATA_TRANSPORT!$A:$A,$B$10,DATA_TRANSPORT!$E:$E,AE64))</f>
        <v/>
      </c>
      <c r="AJ64">
        <f>IF(AH64=0,"",AI64/AH64)</f>
        <v/>
      </c>
      <c r="AK64">
        <f>IF(OR(AE64="",$B$10=0),0,SUMIFS(DATA_TRANSPORT!$S:$S,DATA_TRANSPORT!$A:$A,$B$10,DATA_TRANSPORT!$E:$E,AE64))+IF(OR(AE64="",$B$10=0),0,SUMIFS(DATA_TRANSPORT_COSTS!$M:$M,DATA_TRANSPORT_COSTS!$A:$A,$B$10,DATA_TRANSPORT_COSTS!$D:$D,AE64))</f>
        <v/>
      </c>
      <c r="AL64">
        <f>IF(OR(AF64=0,AK64=0),"",AK64/AF64)</f>
        <v/>
      </c>
      <c r="AM64">
        <f>IF(OR(AE64="",$B$10=0),0,SUMIFS(DATA_TRANSPORT!$S:$S,DATA_TRANSPORT!$A:$A,$B$10,DATA_TRANSPORT!$E:$E,AE64,DATA_TRANSPORT!$C:$C,"FT Procured"))</f>
        <v/>
      </c>
      <c r="AN64">
        <f>IF(OR(AE64="",$B$10=0),0,SUMIFS(DATA_TRANSPORT_BUDGET!$G:$G,DATA_TRANSPORT_BUDGET!$A:$A,$B$10,DATA_TRANSPORT_BUDGET!$D:$D,AE64))</f>
        <v/>
      </c>
      <c r="AO64">
        <f>IF(AN64=0,"",AM64-AN64)</f>
        <v/>
      </c>
      <c r="AP64">
        <f>IF(OR(AE64="",$B$10=0),0,COUNTIFS(DATA_TRANSPORT!$A:$A,$B$10,DATA_TRANSPORT!$E:$E,AE64,DATA_TRANSPORT!$C:$C,"FT Procured",DATA_TRANSPORT!$Y:$Y,"Y"))</f>
        <v/>
      </c>
      <c r="AQ64">
        <f>IF(OR(AE64="",$B$10=0),0,SUMIFS(DATA_TRANSPORT_BUDGET!$E:$E,DATA_TRANSPORT_BUDGET!$A:$A,$B$10,DATA_TRANSPORT_BUDGET!$D:$D,AE64))</f>
        <v/>
      </c>
      <c r="AR64">
        <f>IF(OR(AE64="",$B$10=0),0,COUNTIFS(DATA_TRANSPORT!$A:$A,$B$10,DATA_TRANSPORT!$E:$E,AE64,DATA_TRANSPORT!$U:$U,"Breakdown"))</f>
        <v/>
      </c>
      <c r="AS64">
        <f>IF(IF(OR(AE64="",$B$10=0),0,SUMIFS(DATA_TRANSPORT!$L:$L,DATA_TRANSPORT!$A:$A,$B$10-7,DATA_TRANSPORT!$E:$E,AE64))=0,"",IF(OR(AE64="",$B$10=0),0,SUMIFS(DATA_TRANSPORT!$R:$R,DATA_TRANSPORT!$A:$A,$B$10-7,DATA_TRANSPORT!$E:$E,AE64))/IF(OR(AE64="",$B$10=0),0,SUMIFS(DATA_TRANSPORT!$L:$L,DATA_TRANSPORT!$A:$A,$B$10-7,DATA_TRANSPORT!$E:$E,AE64)))</f>
        <v/>
      </c>
      <c r="AT64">
        <f>IF(IF(OR(AE64="",$B$10=0),0,SUMIFS(DATA_TRANSPORT!$L:$L,DATA_TRANSPORT!$A:$A,$B$10-14,DATA_TRANSPORT!$E:$E,AE64))=0,"",IF(OR(AE64="",$B$10=0),0,SUMIFS(DATA_TRANSPORT!$R:$R,DATA_TRANSPORT!$A:$A,$B$10-14,DATA_TRANSPORT!$E:$E,AE64))/IF(OR(AE64="",$B$10=0),0,SUMIFS(DATA_TRANSPORT!$L:$L,DATA_TRANSPORT!$A:$A,$B$10-14,DATA_TRANSPORT!$E:$E,AE64)))</f>
        <v/>
      </c>
      <c r="AU64">
        <f>IF(IF(OR(AE64="",$B$10=0),0,SUMIFS(DATA_TRANSPORT!$L:$L,DATA_TRANSPORT!$A:$A,$B$10-21,DATA_TRANSPORT!$E:$E,AE64))=0,"",IF(OR(AE64="",$B$10=0),0,SUMIFS(DATA_TRANSPORT!$R:$R,DATA_TRANSPORT!$A:$A,$B$10-21,DATA_TRANSPORT!$E:$E,AE64))/IF(OR(AE64="",$B$10=0),0,SUMIFS(DATA_TRANSPORT!$L:$L,DATA_TRANSPORT!$A:$A,$B$10-21,DATA_TRANSPORT!$E:$E,AE64)))</f>
        <v/>
      </c>
      <c r="AV64">
        <f>IF(AND(ISNUMBER(AJ64),AJ64&lt;UtilLow),1,0)+IF(AND(ISNUMBER(AS64),AS64&lt;UtilLow),1,0)+IF(AND(ISNUMBER(AT64),AT64&lt;UtilLow),1,0)+IF(AND(ISNUMBER(AU64),AU64&lt;UtilLow),1,0)</f>
        <v/>
      </c>
      <c r="AW64">
        <f>IF(AV64&gt;=UtilLowWeeks,AE64&amp;": seats only "&amp;TEXT(AJ64,"0%")&amp;" full, under "&amp;TEXT(UtilLow,"0%")&amp;" for "&amp;AV64&amp;" weeks running",IF(AND(ISNUMBER(AJ64),AJ64&gt;UtilHigh),AE64&amp;": demand exceeds seats ("&amp;TEXT(AJ64,"0%")&amp;" full) — consider more buses",IF(AND(ISNUMBER(AO64),AO64&gt;0),AE64&amp;": FT spend ₦"&amp;TEXT(AO64,"#,##0")&amp;" over the weekly budget",IF(AR64&gt;0,AE64&amp;": "&amp;AR64&amp;" coaster breakdown(s) this week",""))))</f>
        <v/>
      </c>
      <c r="AX64">
        <f>IF(ISNUMBER(AJ64),AJ64+ROW()/1000000000,"")</f>
        <v/>
      </c>
      <c r="AY64">
        <f>IF(ISNUMBER(AL64),AL64+ROW()/1000000,"")</f>
        <v/>
      </c>
      <c r="AZ64">
        <f>IF(AND(ISNUMBER(AO64),AO64&gt;0),AO64+ROW()/1000000,"")</f>
        <v/>
      </c>
      <c r="BA64">
        <f>IF(AF64&gt;0,AF64+ROW()/1000000,"")</f>
        <v/>
      </c>
      <c r="BB64">
        <f>IF(AW64="","",ROW())</f>
        <v/>
      </c>
    </row>
    <row r="65">
      <c r="A65" t="n">
        <v>44</v>
      </c>
      <c r="B65" s="170">
        <f>IF($B$10=0,"",$B$10-7*A65)</f>
        <v/>
      </c>
      <c r="C65">
        <f>IF(B65="","",MONTH(B65))</f>
        <v/>
      </c>
      <c r="D65">
        <f>IF(B65="","",ROUNDUP(MONTH(B65)/3,0))</f>
        <v/>
      </c>
      <c r="E65">
        <f>IF(B65="","",YEAR(B65))</f>
        <v/>
      </c>
      <c r="F65">
        <f>IF(B65="",0,COUNTIFS(DATA_TRANSPORT!$A:$A,B65,DATA_TRANSPORT!$E:$E,$B$6,DATA_TRANSPORT!$AB:$AB,$B$7))</f>
        <v/>
      </c>
      <c r="G65">
        <f>IF(F65=0,0,SUMIFS(DATA_TRANSPORT!$Q:$Q,DATA_TRANSPORT!$A:$A,B65,DATA_TRANSPORT!$E:$E,$B$6,DATA_TRANSPORT!$AB:$AB,$B$7))</f>
        <v/>
      </c>
      <c r="H65">
        <f>IF(F65=0,0,SUMIFS(DATA_TRANSPORT!$M:$M,DATA_TRANSPORT!$A:$A,B65,DATA_TRANSPORT!$E:$E,$B$6,DATA_TRANSPORT!$AB:$AB,$B$7))</f>
        <v/>
      </c>
      <c r="I65">
        <f>IF(F65=0,0,SUMIFS(DATA_TRANSPORT!$N:$N,DATA_TRANSPORT!$A:$A,B65,DATA_TRANSPORT!$E:$E,$B$6,DATA_TRANSPORT!$AB:$AB,$B$7))</f>
        <v/>
      </c>
      <c r="J65">
        <f>IF(F65=0,0,SUMIFS(DATA_TRANSPORT!$P:$P,DATA_TRANSPORT!$A:$A,B65,DATA_TRANSPORT!$E:$E,$B$6,DATA_TRANSPORT!$AB:$AB,$B$7))</f>
        <v/>
      </c>
      <c r="K65">
        <f>IF(F65=0,0,SUMIFS(DATA_TRANSPORT!$I:$I,DATA_TRANSPORT!$A:$A,B65,DATA_TRANSPORT!$E:$E,$B$6,DATA_TRANSPORT!$AB:$AB,$B$7))</f>
        <v/>
      </c>
      <c r="L65">
        <f>IF(F65=0,0,SUMIFS(DATA_TRANSPORT!$I:$I,DATA_TRANSPORT!$A:$A,B65,DATA_TRANSPORT!$E:$E,$B$6,DATA_TRANSPORT!$AB:$AB,$B$7,DATA_TRANSPORT!$U:$U,"Ran"))</f>
        <v/>
      </c>
      <c r="M65">
        <f>IF(F65=0,0,SUMIFS(DATA_TRANSPORT!$L:$L,DATA_TRANSPORT!$A:$A,B65,DATA_TRANSPORT!$E:$E,$B$6,DATA_TRANSPORT!$AB:$AB,$B$7))</f>
        <v/>
      </c>
      <c r="N65">
        <f>IF(F65=0,0,SUMIFS(DATA_TRANSPORT!$R:$R,DATA_TRANSPORT!$A:$A,B65,DATA_TRANSPORT!$E:$E,$B$6,DATA_TRANSPORT!$AB:$AB,$B$7))</f>
        <v/>
      </c>
      <c r="O65">
        <f>IF(F65=0,0,SUMIFS(DATA_TRANSPORT!$S:$S,DATA_TRANSPORT!$A:$A,B65,DATA_TRANSPORT!$E:$E,$B$6,DATA_TRANSPORT!$AB:$AB,$B$7))</f>
        <v/>
      </c>
      <c r="P65">
        <f>IF(OR(B65="",$B$17),0,SUMIFS(DATA_TRANSPORT_COSTS!$M:$M,DATA_TRANSPORT_COSTS!$A:$A,B65,DATA_TRANSPORT_COSTS!$D:$D,$B$6))</f>
        <v/>
      </c>
      <c r="Q65">
        <f>O65+P65</f>
        <v/>
      </c>
      <c r="R65">
        <f>P65+IF(F65=0,0,SUMIFS(DATA_TRANSPORT!$S:$S,DATA_TRANSPORT!$A:$A,B65,DATA_TRANSPORT!$E:$E,$B$6,DATA_TRANSPORT!$AB:$AB,$B$7,DATA_TRANSPORT!$T:$T,"Central"))</f>
        <v/>
      </c>
      <c r="S65">
        <f>IF(F65=0,0,SUMIFS(DATA_TRANSPORT!$S:$S,DATA_TRANSPORT!$A:$A,B65,DATA_TRANSPORT!$E:$E,$B$6,DATA_TRANSPORT!$AB:$AB,$B$7,DATA_TRANSPORT!$T:$T,"Members"))</f>
        <v/>
      </c>
      <c r="T65">
        <f>IF(OR(B65="",$B$17),0,SUMIFS(DATA_TRANSPORT_BUDGET!$G:$G,DATA_TRANSPORT_BUDGET!$A:$A,B65,DATA_TRANSPORT_BUDGET!$D:$D,$B$6))</f>
        <v/>
      </c>
      <c r="U65">
        <f>IF(F65=0,0,SUMIFS(DATA_TRANSPORT!$S:$S,DATA_TRANSPORT!$A:$A,B65,DATA_TRANSPORT!$E:$E,$B$6,DATA_TRANSPORT!$AB:$AB,$B$7,DATA_TRANSPORT!$C:$C,"FT Procured"))</f>
        <v/>
      </c>
      <c r="V65">
        <f>IF(F65=0,0,COUNTIFS(DATA_TRANSPORT!$A:$A,B65,DATA_TRANSPORT!$E:$E,$B$6,DATA_TRANSPORT!$AB:$AB,$B$7,DATA_TRANSPORT!$U:$U,"Breakdown"))</f>
        <v/>
      </c>
      <c r="W65">
        <f>IF(M65=0,0,N65/M65)</f>
        <v/>
      </c>
      <c r="X65">
        <f>IF(F65&gt;0,1,0)</f>
        <v/>
      </c>
      <c r="Y65">
        <f>IF(AND(A65&gt;=1,A65&lt;=$B$11),X65,0)</f>
        <v/>
      </c>
      <c r="Z65">
        <f>IF(AND(C65=$B$12,E65=$B$14),X65,0)</f>
        <v/>
      </c>
      <c r="AA65">
        <f>IF(AND(D65=$B$13,E65=$B$14),X65,0)</f>
        <v/>
      </c>
      <c r="AB65">
        <f>IF(E65=$B$14,X65,0)</f>
        <v/>
      </c>
      <c r="AE65">
        <f>IFERROR(INDEX(MASTER_AREAS!$B:$B,64)&amp;"","")</f>
        <v/>
      </c>
      <c r="AF65">
        <f>IF(OR(AE65="",$B$10=0),0,SUMIFS(DATA_TRANSPORT!$Q:$Q,DATA_TRANSPORT!$A:$A,$B$10,DATA_TRANSPORT!$E:$E,AE65))</f>
        <v/>
      </c>
      <c r="AG65">
        <f>IF(OR(AE65="",$B$10=0),0,SUMIFS(DATA_TRANSPORT!$I:$I,DATA_TRANSPORT!$A:$A,$B$10,DATA_TRANSPORT!$E:$E,AE65,DATA_TRANSPORT!$U:$U,"Ran"))</f>
        <v/>
      </c>
      <c r="AH65">
        <f>IF(OR(AE65="",$B$10=0),0,SUMIFS(DATA_TRANSPORT!$L:$L,DATA_TRANSPORT!$A:$A,$B$10,DATA_TRANSPORT!$E:$E,AE65))</f>
        <v/>
      </c>
      <c r="AI65">
        <f>IF(OR(AE65="",$B$10=0),0,SUMIFS(DATA_TRANSPORT!$R:$R,DATA_TRANSPORT!$A:$A,$B$10,DATA_TRANSPORT!$E:$E,AE65))</f>
        <v/>
      </c>
      <c r="AJ65">
        <f>IF(AH65=0,"",AI65/AH65)</f>
        <v/>
      </c>
      <c r="AK65">
        <f>IF(OR(AE65="",$B$10=0),0,SUMIFS(DATA_TRANSPORT!$S:$S,DATA_TRANSPORT!$A:$A,$B$10,DATA_TRANSPORT!$E:$E,AE65))+IF(OR(AE65="",$B$10=0),0,SUMIFS(DATA_TRANSPORT_COSTS!$M:$M,DATA_TRANSPORT_COSTS!$A:$A,$B$10,DATA_TRANSPORT_COSTS!$D:$D,AE65))</f>
        <v/>
      </c>
      <c r="AL65">
        <f>IF(OR(AF65=0,AK65=0),"",AK65/AF65)</f>
        <v/>
      </c>
      <c r="AM65">
        <f>IF(OR(AE65="",$B$10=0),0,SUMIFS(DATA_TRANSPORT!$S:$S,DATA_TRANSPORT!$A:$A,$B$10,DATA_TRANSPORT!$E:$E,AE65,DATA_TRANSPORT!$C:$C,"FT Procured"))</f>
        <v/>
      </c>
      <c r="AN65">
        <f>IF(OR(AE65="",$B$10=0),0,SUMIFS(DATA_TRANSPORT_BUDGET!$G:$G,DATA_TRANSPORT_BUDGET!$A:$A,$B$10,DATA_TRANSPORT_BUDGET!$D:$D,AE65))</f>
        <v/>
      </c>
      <c r="AO65">
        <f>IF(AN65=0,"",AM65-AN65)</f>
        <v/>
      </c>
      <c r="AP65">
        <f>IF(OR(AE65="",$B$10=0),0,COUNTIFS(DATA_TRANSPORT!$A:$A,$B$10,DATA_TRANSPORT!$E:$E,AE65,DATA_TRANSPORT!$C:$C,"FT Procured",DATA_TRANSPORT!$Y:$Y,"Y"))</f>
        <v/>
      </c>
      <c r="AQ65">
        <f>IF(OR(AE65="",$B$10=0),0,SUMIFS(DATA_TRANSPORT_BUDGET!$E:$E,DATA_TRANSPORT_BUDGET!$A:$A,$B$10,DATA_TRANSPORT_BUDGET!$D:$D,AE65))</f>
        <v/>
      </c>
      <c r="AR65">
        <f>IF(OR(AE65="",$B$10=0),0,COUNTIFS(DATA_TRANSPORT!$A:$A,$B$10,DATA_TRANSPORT!$E:$E,AE65,DATA_TRANSPORT!$U:$U,"Breakdown"))</f>
        <v/>
      </c>
      <c r="AS65">
        <f>IF(IF(OR(AE65="",$B$10=0),0,SUMIFS(DATA_TRANSPORT!$L:$L,DATA_TRANSPORT!$A:$A,$B$10-7,DATA_TRANSPORT!$E:$E,AE65))=0,"",IF(OR(AE65="",$B$10=0),0,SUMIFS(DATA_TRANSPORT!$R:$R,DATA_TRANSPORT!$A:$A,$B$10-7,DATA_TRANSPORT!$E:$E,AE65))/IF(OR(AE65="",$B$10=0),0,SUMIFS(DATA_TRANSPORT!$L:$L,DATA_TRANSPORT!$A:$A,$B$10-7,DATA_TRANSPORT!$E:$E,AE65)))</f>
        <v/>
      </c>
      <c r="AT65">
        <f>IF(IF(OR(AE65="",$B$10=0),0,SUMIFS(DATA_TRANSPORT!$L:$L,DATA_TRANSPORT!$A:$A,$B$10-14,DATA_TRANSPORT!$E:$E,AE65))=0,"",IF(OR(AE65="",$B$10=0),0,SUMIFS(DATA_TRANSPORT!$R:$R,DATA_TRANSPORT!$A:$A,$B$10-14,DATA_TRANSPORT!$E:$E,AE65))/IF(OR(AE65="",$B$10=0),0,SUMIFS(DATA_TRANSPORT!$L:$L,DATA_TRANSPORT!$A:$A,$B$10-14,DATA_TRANSPORT!$E:$E,AE65)))</f>
        <v/>
      </c>
      <c r="AU65">
        <f>IF(IF(OR(AE65="",$B$10=0),0,SUMIFS(DATA_TRANSPORT!$L:$L,DATA_TRANSPORT!$A:$A,$B$10-21,DATA_TRANSPORT!$E:$E,AE65))=0,"",IF(OR(AE65="",$B$10=0),0,SUMIFS(DATA_TRANSPORT!$R:$R,DATA_TRANSPORT!$A:$A,$B$10-21,DATA_TRANSPORT!$E:$E,AE65))/IF(OR(AE65="",$B$10=0),0,SUMIFS(DATA_TRANSPORT!$L:$L,DATA_TRANSPORT!$A:$A,$B$10-21,DATA_TRANSPORT!$E:$E,AE65)))</f>
        <v/>
      </c>
      <c r="AV65">
        <f>IF(AND(ISNUMBER(AJ65),AJ65&lt;UtilLow),1,0)+IF(AND(ISNUMBER(AS65),AS65&lt;UtilLow),1,0)+IF(AND(ISNUMBER(AT65),AT65&lt;UtilLow),1,0)+IF(AND(ISNUMBER(AU65),AU65&lt;UtilLow),1,0)</f>
        <v/>
      </c>
      <c r="AW65">
        <f>IF(AV65&gt;=UtilLowWeeks,AE65&amp;": seats only "&amp;TEXT(AJ65,"0%")&amp;" full, under "&amp;TEXT(UtilLow,"0%")&amp;" for "&amp;AV65&amp;" weeks running",IF(AND(ISNUMBER(AJ65),AJ65&gt;UtilHigh),AE65&amp;": demand exceeds seats ("&amp;TEXT(AJ65,"0%")&amp;" full) — consider more buses",IF(AND(ISNUMBER(AO65),AO65&gt;0),AE65&amp;": FT spend ₦"&amp;TEXT(AO65,"#,##0")&amp;" over the weekly budget",IF(AR65&gt;0,AE65&amp;": "&amp;AR65&amp;" coaster breakdown(s) this week",""))))</f>
        <v/>
      </c>
      <c r="AX65">
        <f>IF(ISNUMBER(AJ65),AJ65+ROW()/1000000000,"")</f>
        <v/>
      </c>
      <c r="AY65">
        <f>IF(ISNUMBER(AL65),AL65+ROW()/1000000,"")</f>
        <v/>
      </c>
      <c r="AZ65">
        <f>IF(AND(ISNUMBER(AO65),AO65&gt;0),AO65+ROW()/1000000,"")</f>
        <v/>
      </c>
      <c r="BA65">
        <f>IF(AF65&gt;0,AF65+ROW()/1000000,"")</f>
        <v/>
      </c>
      <c r="BB65">
        <f>IF(AW65="","",ROW())</f>
        <v/>
      </c>
    </row>
    <row r="66">
      <c r="A66" t="n">
        <v>45</v>
      </c>
      <c r="B66" s="170">
        <f>IF($B$10=0,"",$B$10-7*A66)</f>
        <v/>
      </c>
      <c r="C66">
        <f>IF(B66="","",MONTH(B66))</f>
        <v/>
      </c>
      <c r="D66">
        <f>IF(B66="","",ROUNDUP(MONTH(B66)/3,0))</f>
        <v/>
      </c>
      <c r="E66">
        <f>IF(B66="","",YEAR(B66))</f>
        <v/>
      </c>
      <c r="F66">
        <f>IF(B66="",0,COUNTIFS(DATA_TRANSPORT!$A:$A,B66,DATA_TRANSPORT!$E:$E,$B$6,DATA_TRANSPORT!$AB:$AB,$B$7))</f>
        <v/>
      </c>
      <c r="G66">
        <f>IF(F66=0,0,SUMIFS(DATA_TRANSPORT!$Q:$Q,DATA_TRANSPORT!$A:$A,B66,DATA_TRANSPORT!$E:$E,$B$6,DATA_TRANSPORT!$AB:$AB,$B$7))</f>
        <v/>
      </c>
      <c r="H66">
        <f>IF(F66=0,0,SUMIFS(DATA_TRANSPORT!$M:$M,DATA_TRANSPORT!$A:$A,B66,DATA_TRANSPORT!$E:$E,$B$6,DATA_TRANSPORT!$AB:$AB,$B$7))</f>
        <v/>
      </c>
      <c r="I66">
        <f>IF(F66=0,0,SUMIFS(DATA_TRANSPORT!$N:$N,DATA_TRANSPORT!$A:$A,B66,DATA_TRANSPORT!$E:$E,$B$6,DATA_TRANSPORT!$AB:$AB,$B$7))</f>
        <v/>
      </c>
      <c r="J66">
        <f>IF(F66=0,0,SUMIFS(DATA_TRANSPORT!$P:$P,DATA_TRANSPORT!$A:$A,B66,DATA_TRANSPORT!$E:$E,$B$6,DATA_TRANSPORT!$AB:$AB,$B$7))</f>
        <v/>
      </c>
      <c r="K66">
        <f>IF(F66=0,0,SUMIFS(DATA_TRANSPORT!$I:$I,DATA_TRANSPORT!$A:$A,B66,DATA_TRANSPORT!$E:$E,$B$6,DATA_TRANSPORT!$AB:$AB,$B$7))</f>
        <v/>
      </c>
      <c r="L66">
        <f>IF(F66=0,0,SUMIFS(DATA_TRANSPORT!$I:$I,DATA_TRANSPORT!$A:$A,B66,DATA_TRANSPORT!$E:$E,$B$6,DATA_TRANSPORT!$AB:$AB,$B$7,DATA_TRANSPORT!$U:$U,"Ran"))</f>
        <v/>
      </c>
      <c r="M66">
        <f>IF(F66=0,0,SUMIFS(DATA_TRANSPORT!$L:$L,DATA_TRANSPORT!$A:$A,B66,DATA_TRANSPORT!$E:$E,$B$6,DATA_TRANSPORT!$AB:$AB,$B$7))</f>
        <v/>
      </c>
      <c r="N66">
        <f>IF(F66=0,0,SUMIFS(DATA_TRANSPORT!$R:$R,DATA_TRANSPORT!$A:$A,B66,DATA_TRANSPORT!$E:$E,$B$6,DATA_TRANSPORT!$AB:$AB,$B$7))</f>
        <v/>
      </c>
      <c r="O66">
        <f>IF(F66=0,0,SUMIFS(DATA_TRANSPORT!$S:$S,DATA_TRANSPORT!$A:$A,B66,DATA_TRANSPORT!$E:$E,$B$6,DATA_TRANSPORT!$AB:$AB,$B$7))</f>
        <v/>
      </c>
      <c r="P66">
        <f>IF(OR(B66="",$B$17),0,SUMIFS(DATA_TRANSPORT_COSTS!$M:$M,DATA_TRANSPORT_COSTS!$A:$A,B66,DATA_TRANSPORT_COSTS!$D:$D,$B$6))</f>
        <v/>
      </c>
      <c r="Q66">
        <f>O66+P66</f>
        <v/>
      </c>
      <c r="R66">
        <f>P66+IF(F66=0,0,SUMIFS(DATA_TRANSPORT!$S:$S,DATA_TRANSPORT!$A:$A,B66,DATA_TRANSPORT!$E:$E,$B$6,DATA_TRANSPORT!$AB:$AB,$B$7,DATA_TRANSPORT!$T:$T,"Central"))</f>
        <v/>
      </c>
      <c r="S66">
        <f>IF(F66=0,0,SUMIFS(DATA_TRANSPORT!$S:$S,DATA_TRANSPORT!$A:$A,B66,DATA_TRANSPORT!$E:$E,$B$6,DATA_TRANSPORT!$AB:$AB,$B$7,DATA_TRANSPORT!$T:$T,"Members"))</f>
        <v/>
      </c>
      <c r="T66">
        <f>IF(OR(B66="",$B$17),0,SUMIFS(DATA_TRANSPORT_BUDGET!$G:$G,DATA_TRANSPORT_BUDGET!$A:$A,B66,DATA_TRANSPORT_BUDGET!$D:$D,$B$6))</f>
        <v/>
      </c>
      <c r="U66">
        <f>IF(F66=0,0,SUMIFS(DATA_TRANSPORT!$S:$S,DATA_TRANSPORT!$A:$A,B66,DATA_TRANSPORT!$E:$E,$B$6,DATA_TRANSPORT!$AB:$AB,$B$7,DATA_TRANSPORT!$C:$C,"FT Procured"))</f>
        <v/>
      </c>
      <c r="V66">
        <f>IF(F66=0,0,COUNTIFS(DATA_TRANSPORT!$A:$A,B66,DATA_TRANSPORT!$E:$E,$B$6,DATA_TRANSPORT!$AB:$AB,$B$7,DATA_TRANSPORT!$U:$U,"Breakdown"))</f>
        <v/>
      </c>
      <c r="W66">
        <f>IF(M66=0,0,N66/M66)</f>
        <v/>
      </c>
      <c r="X66">
        <f>IF(F66&gt;0,1,0)</f>
        <v/>
      </c>
      <c r="Y66">
        <f>IF(AND(A66&gt;=1,A66&lt;=$B$11),X66,0)</f>
        <v/>
      </c>
      <c r="Z66">
        <f>IF(AND(C66=$B$12,E66=$B$14),X66,0)</f>
        <v/>
      </c>
      <c r="AA66">
        <f>IF(AND(D66=$B$13,E66=$B$14),X66,0)</f>
        <v/>
      </c>
      <c r="AB66">
        <f>IF(E66=$B$14,X66,0)</f>
        <v/>
      </c>
      <c r="AE66">
        <f>IFERROR(INDEX(MASTER_AREAS!$B:$B,65)&amp;"","")</f>
        <v/>
      </c>
      <c r="AF66">
        <f>IF(OR(AE66="",$B$10=0),0,SUMIFS(DATA_TRANSPORT!$Q:$Q,DATA_TRANSPORT!$A:$A,$B$10,DATA_TRANSPORT!$E:$E,AE66))</f>
        <v/>
      </c>
      <c r="AG66">
        <f>IF(OR(AE66="",$B$10=0),0,SUMIFS(DATA_TRANSPORT!$I:$I,DATA_TRANSPORT!$A:$A,$B$10,DATA_TRANSPORT!$E:$E,AE66,DATA_TRANSPORT!$U:$U,"Ran"))</f>
        <v/>
      </c>
      <c r="AH66">
        <f>IF(OR(AE66="",$B$10=0),0,SUMIFS(DATA_TRANSPORT!$L:$L,DATA_TRANSPORT!$A:$A,$B$10,DATA_TRANSPORT!$E:$E,AE66))</f>
        <v/>
      </c>
      <c r="AI66">
        <f>IF(OR(AE66="",$B$10=0),0,SUMIFS(DATA_TRANSPORT!$R:$R,DATA_TRANSPORT!$A:$A,$B$10,DATA_TRANSPORT!$E:$E,AE66))</f>
        <v/>
      </c>
      <c r="AJ66">
        <f>IF(AH66=0,"",AI66/AH66)</f>
        <v/>
      </c>
      <c r="AK66">
        <f>IF(OR(AE66="",$B$10=0),0,SUMIFS(DATA_TRANSPORT!$S:$S,DATA_TRANSPORT!$A:$A,$B$10,DATA_TRANSPORT!$E:$E,AE66))+IF(OR(AE66="",$B$10=0),0,SUMIFS(DATA_TRANSPORT_COSTS!$M:$M,DATA_TRANSPORT_COSTS!$A:$A,$B$10,DATA_TRANSPORT_COSTS!$D:$D,AE66))</f>
        <v/>
      </c>
      <c r="AL66">
        <f>IF(OR(AF66=0,AK66=0),"",AK66/AF66)</f>
        <v/>
      </c>
      <c r="AM66">
        <f>IF(OR(AE66="",$B$10=0),0,SUMIFS(DATA_TRANSPORT!$S:$S,DATA_TRANSPORT!$A:$A,$B$10,DATA_TRANSPORT!$E:$E,AE66,DATA_TRANSPORT!$C:$C,"FT Procured"))</f>
        <v/>
      </c>
      <c r="AN66">
        <f>IF(OR(AE66="",$B$10=0),0,SUMIFS(DATA_TRANSPORT_BUDGET!$G:$G,DATA_TRANSPORT_BUDGET!$A:$A,$B$10,DATA_TRANSPORT_BUDGET!$D:$D,AE66))</f>
        <v/>
      </c>
      <c r="AO66">
        <f>IF(AN66=0,"",AM66-AN66)</f>
        <v/>
      </c>
      <c r="AP66">
        <f>IF(OR(AE66="",$B$10=0),0,COUNTIFS(DATA_TRANSPORT!$A:$A,$B$10,DATA_TRANSPORT!$E:$E,AE66,DATA_TRANSPORT!$C:$C,"FT Procured",DATA_TRANSPORT!$Y:$Y,"Y"))</f>
        <v/>
      </c>
      <c r="AQ66">
        <f>IF(OR(AE66="",$B$10=0),0,SUMIFS(DATA_TRANSPORT_BUDGET!$E:$E,DATA_TRANSPORT_BUDGET!$A:$A,$B$10,DATA_TRANSPORT_BUDGET!$D:$D,AE66))</f>
        <v/>
      </c>
      <c r="AR66">
        <f>IF(OR(AE66="",$B$10=0),0,COUNTIFS(DATA_TRANSPORT!$A:$A,$B$10,DATA_TRANSPORT!$E:$E,AE66,DATA_TRANSPORT!$U:$U,"Breakdown"))</f>
        <v/>
      </c>
      <c r="AS66">
        <f>IF(IF(OR(AE66="",$B$10=0),0,SUMIFS(DATA_TRANSPORT!$L:$L,DATA_TRANSPORT!$A:$A,$B$10-7,DATA_TRANSPORT!$E:$E,AE66))=0,"",IF(OR(AE66="",$B$10=0),0,SUMIFS(DATA_TRANSPORT!$R:$R,DATA_TRANSPORT!$A:$A,$B$10-7,DATA_TRANSPORT!$E:$E,AE66))/IF(OR(AE66="",$B$10=0),0,SUMIFS(DATA_TRANSPORT!$L:$L,DATA_TRANSPORT!$A:$A,$B$10-7,DATA_TRANSPORT!$E:$E,AE66)))</f>
        <v/>
      </c>
      <c r="AT66">
        <f>IF(IF(OR(AE66="",$B$10=0),0,SUMIFS(DATA_TRANSPORT!$L:$L,DATA_TRANSPORT!$A:$A,$B$10-14,DATA_TRANSPORT!$E:$E,AE66))=0,"",IF(OR(AE66="",$B$10=0),0,SUMIFS(DATA_TRANSPORT!$R:$R,DATA_TRANSPORT!$A:$A,$B$10-14,DATA_TRANSPORT!$E:$E,AE66))/IF(OR(AE66="",$B$10=0),0,SUMIFS(DATA_TRANSPORT!$L:$L,DATA_TRANSPORT!$A:$A,$B$10-14,DATA_TRANSPORT!$E:$E,AE66)))</f>
        <v/>
      </c>
      <c r="AU66">
        <f>IF(IF(OR(AE66="",$B$10=0),0,SUMIFS(DATA_TRANSPORT!$L:$L,DATA_TRANSPORT!$A:$A,$B$10-21,DATA_TRANSPORT!$E:$E,AE66))=0,"",IF(OR(AE66="",$B$10=0),0,SUMIFS(DATA_TRANSPORT!$R:$R,DATA_TRANSPORT!$A:$A,$B$10-21,DATA_TRANSPORT!$E:$E,AE66))/IF(OR(AE66="",$B$10=0),0,SUMIFS(DATA_TRANSPORT!$L:$L,DATA_TRANSPORT!$A:$A,$B$10-21,DATA_TRANSPORT!$E:$E,AE66)))</f>
        <v/>
      </c>
      <c r="AV66">
        <f>IF(AND(ISNUMBER(AJ66),AJ66&lt;UtilLow),1,0)+IF(AND(ISNUMBER(AS66),AS66&lt;UtilLow),1,0)+IF(AND(ISNUMBER(AT66),AT66&lt;UtilLow),1,0)+IF(AND(ISNUMBER(AU66),AU66&lt;UtilLow),1,0)</f>
        <v/>
      </c>
      <c r="AW66">
        <f>IF(AV66&gt;=UtilLowWeeks,AE66&amp;": seats only "&amp;TEXT(AJ66,"0%")&amp;" full, under "&amp;TEXT(UtilLow,"0%")&amp;" for "&amp;AV66&amp;" weeks running",IF(AND(ISNUMBER(AJ66),AJ66&gt;UtilHigh),AE66&amp;": demand exceeds seats ("&amp;TEXT(AJ66,"0%")&amp;" full) — consider more buses",IF(AND(ISNUMBER(AO66),AO66&gt;0),AE66&amp;": FT spend ₦"&amp;TEXT(AO66,"#,##0")&amp;" over the weekly budget",IF(AR66&gt;0,AE66&amp;": "&amp;AR66&amp;" coaster breakdown(s) this week",""))))</f>
        <v/>
      </c>
      <c r="AX66">
        <f>IF(ISNUMBER(AJ66),AJ66+ROW()/1000000000,"")</f>
        <v/>
      </c>
      <c r="AY66">
        <f>IF(ISNUMBER(AL66),AL66+ROW()/1000000,"")</f>
        <v/>
      </c>
      <c r="AZ66">
        <f>IF(AND(ISNUMBER(AO66),AO66&gt;0),AO66+ROW()/1000000,"")</f>
        <v/>
      </c>
      <c r="BA66">
        <f>IF(AF66&gt;0,AF66+ROW()/1000000,"")</f>
        <v/>
      </c>
      <c r="BB66">
        <f>IF(AW66="","",ROW())</f>
        <v/>
      </c>
    </row>
    <row r="67">
      <c r="A67" t="n">
        <v>46</v>
      </c>
      <c r="B67" s="170">
        <f>IF($B$10=0,"",$B$10-7*A67)</f>
        <v/>
      </c>
      <c r="C67">
        <f>IF(B67="","",MONTH(B67))</f>
        <v/>
      </c>
      <c r="D67">
        <f>IF(B67="","",ROUNDUP(MONTH(B67)/3,0))</f>
        <v/>
      </c>
      <c r="E67">
        <f>IF(B67="","",YEAR(B67))</f>
        <v/>
      </c>
      <c r="F67">
        <f>IF(B67="",0,COUNTIFS(DATA_TRANSPORT!$A:$A,B67,DATA_TRANSPORT!$E:$E,$B$6,DATA_TRANSPORT!$AB:$AB,$B$7))</f>
        <v/>
      </c>
      <c r="G67">
        <f>IF(F67=0,0,SUMIFS(DATA_TRANSPORT!$Q:$Q,DATA_TRANSPORT!$A:$A,B67,DATA_TRANSPORT!$E:$E,$B$6,DATA_TRANSPORT!$AB:$AB,$B$7))</f>
        <v/>
      </c>
      <c r="H67">
        <f>IF(F67=0,0,SUMIFS(DATA_TRANSPORT!$M:$M,DATA_TRANSPORT!$A:$A,B67,DATA_TRANSPORT!$E:$E,$B$6,DATA_TRANSPORT!$AB:$AB,$B$7))</f>
        <v/>
      </c>
      <c r="I67">
        <f>IF(F67=0,0,SUMIFS(DATA_TRANSPORT!$N:$N,DATA_TRANSPORT!$A:$A,B67,DATA_TRANSPORT!$E:$E,$B$6,DATA_TRANSPORT!$AB:$AB,$B$7))</f>
        <v/>
      </c>
      <c r="J67">
        <f>IF(F67=0,0,SUMIFS(DATA_TRANSPORT!$P:$P,DATA_TRANSPORT!$A:$A,B67,DATA_TRANSPORT!$E:$E,$B$6,DATA_TRANSPORT!$AB:$AB,$B$7))</f>
        <v/>
      </c>
      <c r="K67">
        <f>IF(F67=0,0,SUMIFS(DATA_TRANSPORT!$I:$I,DATA_TRANSPORT!$A:$A,B67,DATA_TRANSPORT!$E:$E,$B$6,DATA_TRANSPORT!$AB:$AB,$B$7))</f>
        <v/>
      </c>
      <c r="L67">
        <f>IF(F67=0,0,SUMIFS(DATA_TRANSPORT!$I:$I,DATA_TRANSPORT!$A:$A,B67,DATA_TRANSPORT!$E:$E,$B$6,DATA_TRANSPORT!$AB:$AB,$B$7,DATA_TRANSPORT!$U:$U,"Ran"))</f>
        <v/>
      </c>
      <c r="M67">
        <f>IF(F67=0,0,SUMIFS(DATA_TRANSPORT!$L:$L,DATA_TRANSPORT!$A:$A,B67,DATA_TRANSPORT!$E:$E,$B$6,DATA_TRANSPORT!$AB:$AB,$B$7))</f>
        <v/>
      </c>
      <c r="N67">
        <f>IF(F67=0,0,SUMIFS(DATA_TRANSPORT!$R:$R,DATA_TRANSPORT!$A:$A,B67,DATA_TRANSPORT!$E:$E,$B$6,DATA_TRANSPORT!$AB:$AB,$B$7))</f>
        <v/>
      </c>
      <c r="O67">
        <f>IF(F67=0,0,SUMIFS(DATA_TRANSPORT!$S:$S,DATA_TRANSPORT!$A:$A,B67,DATA_TRANSPORT!$E:$E,$B$6,DATA_TRANSPORT!$AB:$AB,$B$7))</f>
        <v/>
      </c>
      <c r="P67">
        <f>IF(OR(B67="",$B$17),0,SUMIFS(DATA_TRANSPORT_COSTS!$M:$M,DATA_TRANSPORT_COSTS!$A:$A,B67,DATA_TRANSPORT_COSTS!$D:$D,$B$6))</f>
        <v/>
      </c>
      <c r="Q67">
        <f>O67+P67</f>
        <v/>
      </c>
      <c r="R67">
        <f>P67+IF(F67=0,0,SUMIFS(DATA_TRANSPORT!$S:$S,DATA_TRANSPORT!$A:$A,B67,DATA_TRANSPORT!$E:$E,$B$6,DATA_TRANSPORT!$AB:$AB,$B$7,DATA_TRANSPORT!$T:$T,"Central"))</f>
        <v/>
      </c>
      <c r="S67">
        <f>IF(F67=0,0,SUMIFS(DATA_TRANSPORT!$S:$S,DATA_TRANSPORT!$A:$A,B67,DATA_TRANSPORT!$E:$E,$B$6,DATA_TRANSPORT!$AB:$AB,$B$7,DATA_TRANSPORT!$T:$T,"Members"))</f>
        <v/>
      </c>
      <c r="T67">
        <f>IF(OR(B67="",$B$17),0,SUMIFS(DATA_TRANSPORT_BUDGET!$G:$G,DATA_TRANSPORT_BUDGET!$A:$A,B67,DATA_TRANSPORT_BUDGET!$D:$D,$B$6))</f>
        <v/>
      </c>
      <c r="U67">
        <f>IF(F67=0,0,SUMIFS(DATA_TRANSPORT!$S:$S,DATA_TRANSPORT!$A:$A,B67,DATA_TRANSPORT!$E:$E,$B$6,DATA_TRANSPORT!$AB:$AB,$B$7,DATA_TRANSPORT!$C:$C,"FT Procured"))</f>
        <v/>
      </c>
      <c r="V67">
        <f>IF(F67=0,0,COUNTIFS(DATA_TRANSPORT!$A:$A,B67,DATA_TRANSPORT!$E:$E,$B$6,DATA_TRANSPORT!$AB:$AB,$B$7,DATA_TRANSPORT!$U:$U,"Breakdown"))</f>
        <v/>
      </c>
      <c r="W67">
        <f>IF(M67=0,0,N67/M67)</f>
        <v/>
      </c>
      <c r="X67">
        <f>IF(F67&gt;0,1,0)</f>
        <v/>
      </c>
      <c r="Y67">
        <f>IF(AND(A67&gt;=1,A67&lt;=$B$11),X67,0)</f>
        <v/>
      </c>
      <c r="Z67">
        <f>IF(AND(C67=$B$12,E67=$B$14),X67,0)</f>
        <v/>
      </c>
      <c r="AA67">
        <f>IF(AND(D67=$B$13,E67=$B$14),X67,0)</f>
        <v/>
      </c>
      <c r="AB67">
        <f>IF(E67=$B$14,X67,0)</f>
        <v/>
      </c>
      <c r="AE67">
        <f>IFERROR(INDEX(MASTER_AREAS!$B:$B,66)&amp;"","")</f>
        <v/>
      </c>
      <c r="AF67">
        <f>IF(OR(AE67="",$B$10=0),0,SUMIFS(DATA_TRANSPORT!$Q:$Q,DATA_TRANSPORT!$A:$A,$B$10,DATA_TRANSPORT!$E:$E,AE67))</f>
        <v/>
      </c>
      <c r="AG67">
        <f>IF(OR(AE67="",$B$10=0),0,SUMIFS(DATA_TRANSPORT!$I:$I,DATA_TRANSPORT!$A:$A,$B$10,DATA_TRANSPORT!$E:$E,AE67,DATA_TRANSPORT!$U:$U,"Ran"))</f>
        <v/>
      </c>
      <c r="AH67">
        <f>IF(OR(AE67="",$B$10=0),0,SUMIFS(DATA_TRANSPORT!$L:$L,DATA_TRANSPORT!$A:$A,$B$10,DATA_TRANSPORT!$E:$E,AE67))</f>
        <v/>
      </c>
      <c r="AI67">
        <f>IF(OR(AE67="",$B$10=0),0,SUMIFS(DATA_TRANSPORT!$R:$R,DATA_TRANSPORT!$A:$A,$B$10,DATA_TRANSPORT!$E:$E,AE67))</f>
        <v/>
      </c>
      <c r="AJ67">
        <f>IF(AH67=0,"",AI67/AH67)</f>
        <v/>
      </c>
      <c r="AK67">
        <f>IF(OR(AE67="",$B$10=0),0,SUMIFS(DATA_TRANSPORT!$S:$S,DATA_TRANSPORT!$A:$A,$B$10,DATA_TRANSPORT!$E:$E,AE67))+IF(OR(AE67="",$B$10=0),0,SUMIFS(DATA_TRANSPORT_COSTS!$M:$M,DATA_TRANSPORT_COSTS!$A:$A,$B$10,DATA_TRANSPORT_COSTS!$D:$D,AE67))</f>
        <v/>
      </c>
      <c r="AL67">
        <f>IF(OR(AF67=0,AK67=0),"",AK67/AF67)</f>
        <v/>
      </c>
      <c r="AM67">
        <f>IF(OR(AE67="",$B$10=0),0,SUMIFS(DATA_TRANSPORT!$S:$S,DATA_TRANSPORT!$A:$A,$B$10,DATA_TRANSPORT!$E:$E,AE67,DATA_TRANSPORT!$C:$C,"FT Procured"))</f>
        <v/>
      </c>
      <c r="AN67">
        <f>IF(OR(AE67="",$B$10=0),0,SUMIFS(DATA_TRANSPORT_BUDGET!$G:$G,DATA_TRANSPORT_BUDGET!$A:$A,$B$10,DATA_TRANSPORT_BUDGET!$D:$D,AE67))</f>
        <v/>
      </c>
      <c r="AO67">
        <f>IF(AN67=0,"",AM67-AN67)</f>
        <v/>
      </c>
      <c r="AP67">
        <f>IF(OR(AE67="",$B$10=0),0,COUNTIFS(DATA_TRANSPORT!$A:$A,$B$10,DATA_TRANSPORT!$E:$E,AE67,DATA_TRANSPORT!$C:$C,"FT Procured",DATA_TRANSPORT!$Y:$Y,"Y"))</f>
        <v/>
      </c>
      <c r="AQ67">
        <f>IF(OR(AE67="",$B$10=0),0,SUMIFS(DATA_TRANSPORT_BUDGET!$E:$E,DATA_TRANSPORT_BUDGET!$A:$A,$B$10,DATA_TRANSPORT_BUDGET!$D:$D,AE67))</f>
        <v/>
      </c>
      <c r="AR67">
        <f>IF(OR(AE67="",$B$10=0),0,COUNTIFS(DATA_TRANSPORT!$A:$A,$B$10,DATA_TRANSPORT!$E:$E,AE67,DATA_TRANSPORT!$U:$U,"Breakdown"))</f>
        <v/>
      </c>
      <c r="AS67">
        <f>IF(IF(OR(AE67="",$B$10=0),0,SUMIFS(DATA_TRANSPORT!$L:$L,DATA_TRANSPORT!$A:$A,$B$10-7,DATA_TRANSPORT!$E:$E,AE67))=0,"",IF(OR(AE67="",$B$10=0),0,SUMIFS(DATA_TRANSPORT!$R:$R,DATA_TRANSPORT!$A:$A,$B$10-7,DATA_TRANSPORT!$E:$E,AE67))/IF(OR(AE67="",$B$10=0),0,SUMIFS(DATA_TRANSPORT!$L:$L,DATA_TRANSPORT!$A:$A,$B$10-7,DATA_TRANSPORT!$E:$E,AE67)))</f>
        <v/>
      </c>
      <c r="AT67">
        <f>IF(IF(OR(AE67="",$B$10=0),0,SUMIFS(DATA_TRANSPORT!$L:$L,DATA_TRANSPORT!$A:$A,$B$10-14,DATA_TRANSPORT!$E:$E,AE67))=0,"",IF(OR(AE67="",$B$10=0),0,SUMIFS(DATA_TRANSPORT!$R:$R,DATA_TRANSPORT!$A:$A,$B$10-14,DATA_TRANSPORT!$E:$E,AE67))/IF(OR(AE67="",$B$10=0),0,SUMIFS(DATA_TRANSPORT!$L:$L,DATA_TRANSPORT!$A:$A,$B$10-14,DATA_TRANSPORT!$E:$E,AE67)))</f>
        <v/>
      </c>
      <c r="AU67">
        <f>IF(IF(OR(AE67="",$B$10=0),0,SUMIFS(DATA_TRANSPORT!$L:$L,DATA_TRANSPORT!$A:$A,$B$10-21,DATA_TRANSPORT!$E:$E,AE67))=0,"",IF(OR(AE67="",$B$10=0),0,SUMIFS(DATA_TRANSPORT!$R:$R,DATA_TRANSPORT!$A:$A,$B$10-21,DATA_TRANSPORT!$E:$E,AE67))/IF(OR(AE67="",$B$10=0),0,SUMIFS(DATA_TRANSPORT!$L:$L,DATA_TRANSPORT!$A:$A,$B$10-21,DATA_TRANSPORT!$E:$E,AE67)))</f>
        <v/>
      </c>
      <c r="AV67">
        <f>IF(AND(ISNUMBER(AJ67),AJ67&lt;UtilLow),1,0)+IF(AND(ISNUMBER(AS67),AS67&lt;UtilLow),1,0)+IF(AND(ISNUMBER(AT67),AT67&lt;UtilLow),1,0)+IF(AND(ISNUMBER(AU67),AU67&lt;UtilLow),1,0)</f>
        <v/>
      </c>
      <c r="AW67">
        <f>IF(AV67&gt;=UtilLowWeeks,AE67&amp;": seats only "&amp;TEXT(AJ67,"0%")&amp;" full, under "&amp;TEXT(UtilLow,"0%")&amp;" for "&amp;AV67&amp;" weeks running",IF(AND(ISNUMBER(AJ67),AJ67&gt;UtilHigh),AE67&amp;": demand exceeds seats ("&amp;TEXT(AJ67,"0%")&amp;" full) — consider more buses",IF(AND(ISNUMBER(AO67),AO67&gt;0),AE67&amp;": FT spend ₦"&amp;TEXT(AO67,"#,##0")&amp;" over the weekly budget",IF(AR67&gt;0,AE67&amp;": "&amp;AR67&amp;" coaster breakdown(s) this week",""))))</f>
        <v/>
      </c>
      <c r="AX67">
        <f>IF(ISNUMBER(AJ67),AJ67+ROW()/1000000000,"")</f>
        <v/>
      </c>
      <c r="AY67">
        <f>IF(ISNUMBER(AL67),AL67+ROW()/1000000,"")</f>
        <v/>
      </c>
      <c r="AZ67">
        <f>IF(AND(ISNUMBER(AO67),AO67&gt;0),AO67+ROW()/1000000,"")</f>
        <v/>
      </c>
      <c r="BA67">
        <f>IF(AF67&gt;0,AF67+ROW()/1000000,"")</f>
        <v/>
      </c>
      <c r="BB67">
        <f>IF(AW67="","",ROW())</f>
        <v/>
      </c>
    </row>
    <row r="68">
      <c r="A68" t="n">
        <v>47</v>
      </c>
      <c r="B68" s="170">
        <f>IF($B$10=0,"",$B$10-7*A68)</f>
        <v/>
      </c>
      <c r="C68">
        <f>IF(B68="","",MONTH(B68))</f>
        <v/>
      </c>
      <c r="D68">
        <f>IF(B68="","",ROUNDUP(MONTH(B68)/3,0))</f>
        <v/>
      </c>
      <c r="E68">
        <f>IF(B68="","",YEAR(B68))</f>
        <v/>
      </c>
      <c r="F68">
        <f>IF(B68="",0,COUNTIFS(DATA_TRANSPORT!$A:$A,B68,DATA_TRANSPORT!$E:$E,$B$6,DATA_TRANSPORT!$AB:$AB,$B$7))</f>
        <v/>
      </c>
      <c r="G68">
        <f>IF(F68=0,0,SUMIFS(DATA_TRANSPORT!$Q:$Q,DATA_TRANSPORT!$A:$A,B68,DATA_TRANSPORT!$E:$E,$B$6,DATA_TRANSPORT!$AB:$AB,$B$7))</f>
        <v/>
      </c>
      <c r="H68">
        <f>IF(F68=0,0,SUMIFS(DATA_TRANSPORT!$M:$M,DATA_TRANSPORT!$A:$A,B68,DATA_TRANSPORT!$E:$E,$B$6,DATA_TRANSPORT!$AB:$AB,$B$7))</f>
        <v/>
      </c>
      <c r="I68">
        <f>IF(F68=0,0,SUMIFS(DATA_TRANSPORT!$N:$N,DATA_TRANSPORT!$A:$A,B68,DATA_TRANSPORT!$E:$E,$B$6,DATA_TRANSPORT!$AB:$AB,$B$7))</f>
        <v/>
      </c>
      <c r="J68">
        <f>IF(F68=0,0,SUMIFS(DATA_TRANSPORT!$P:$P,DATA_TRANSPORT!$A:$A,B68,DATA_TRANSPORT!$E:$E,$B$6,DATA_TRANSPORT!$AB:$AB,$B$7))</f>
        <v/>
      </c>
      <c r="K68">
        <f>IF(F68=0,0,SUMIFS(DATA_TRANSPORT!$I:$I,DATA_TRANSPORT!$A:$A,B68,DATA_TRANSPORT!$E:$E,$B$6,DATA_TRANSPORT!$AB:$AB,$B$7))</f>
        <v/>
      </c>
      <c r="L68">
        <f>IF(F68=0,0,SUMIFS(DATA_TRANSPORT!$I:$I,DATA_TRANSPORT!$A:$A,B68,DATA_TRANSPORT!$E:$E,$B$6,DATA_TRANSPORT!$AB:$AB,$B$7,DATA_TRANSPORT!$U:$U,"Ran"))</f>
        <v/>
      </c>
      <c r="M68">
        <f>IF(F68=0,0,SUMIFS(DATA_TRANSPORT!$L:$L,DATA_TRANSPORT!$A:$A,B68,DATA_TRANSPORT!$E:$E,$B$6,DATA_TRANSPORT!$AB:$AB,$B$7))</f>
        <v/>
      </c>
      <c r="N68">
        <f>IF(F68=0,0,SUMIFS(DATA_TRANSPORT!$R:$R,DATA_TRANSPORT!$A:$A,B68,DATA_TRANSPORT!$E:$E,$B$6,DATA_TRANSPORT!$AB:$AB,$B$7))</f>
        <v/>
      </c>
      <c r="O68">
        <f>IF(F68=0,0,SUMIFS(DATA_TRANSPORT!$S:$S,DATA_TRANSPORT!$A:$A,B68,DATA_TRANSPORT!$E:$E,$B$6,DATA_TRANSPORT!$AB:$AB,$B$7))</f>
        <v/>
      </c>
      <c r="P68">
        <f>IF(OR(B68="",$B$17),0,SUMIFS(DATA_TRANSPORT_COSTS!$M:$M,DATA_TRANSPORT_COSTS!$A:$A,B68,DATA_TRANSPORT_COSTS!$D:$D,$B$6))</f>
        <v/>
      </c>
      <c r="Q68">
        <f>O68+P68</f>
        <v/>
      </c>
      <c r="R68">
        <f>P68+IF(F68=0,0,SUMIFS(DATA_TRANSPORT!$S:$S,DATA_TRANSPORT!$A:$A,B68,DATA_TRANSPORT!$E:$E,$B$6,DATA_TRANSPORT!$AB:$AB,$B$7,DATA_TRANSPORT!$T:$T,"Central"))</f>
        <v/>
      </c>
      <c r="S68">
        <f>IF(F68=0,0,SUMIFS(DATA_TRANSPORT!$S:$S,DATA_TRANSPORT!$A:$A,B68,DATA_TRANSPORT!$E:$E,$B$6,DATA_TRANSPORT!$AB:$AB,$B$7,DATA_TRANSPORT!$T:$T,"Members"))</f>
        <v/>
      </c>
      <c r="T68">
        <f>IF(OR(B68="",$B$17),0,SUMIFS(DATA_TRANSPORT_BUDGET!$G:$G,DATA_TRANSPORT_BUDGET!$A:$A,B68,DATA_TRANSPORT_BUDGET!$D:$D,$B$6))</f>
        <v/>
      </c>
      <c r="U68">
        <f>IF(F68=0,0,SUMIFS(DATA_TRANSPORT!$S:$S,DATA_TRANSPORT!$A:$A,B68,DATA_TRANSPORT!$E:$E,$B$6,DATA_TRANSPORT!$AB:$AB,$B$7,DATA_TRANSPORT!$C:$C,"FT Procured"))</f>
        <v/>
      </c>
      <c r="V68">
        <f>IF(F68=0,0,COUNTIFS(DATA_TRANSPORT!$A:$A,B68,DATA_TRANSPORT!$E:$E,$B$6,DATA_TRANSPORT!$AB:$AB,$B$7,DATA_TRANSPORT!$U:$U,"Breakdown"))</f>
        <v/>
      </c>
      <c r="W68">
        <f>IF(M68=0,0,N68/M68)</f>
        <v/>
      </c>
      <c r="X68">
        <f>IF(F68&gt;0,1,0)</f>
        <v/>
      </c>
      <c r="Y68">
        <f>IF(AND(A68&gt;=1,A68&lt;=$B$11),X68,0)</f>
        <v/>
      </c>
      <c r="Z68">
        <f>IF(AND(C68=$B$12,E68=$B$14),X68,0)</f>
        <v/>
      </c>
      <c r="AA68">
        <f>IF(AND(D68=$B$13,E68=$B$14),X68,0)</f>
        <v/>
      </c>
      <c r="AB68">
        <f>IF(E68=$B$14,X68,0)</f>
        <v/>
      </c>
      <c r="AE68">
        <f>IFERROR(INDEX(MASTER_AREAS!$B:$B,67)&amp;"","")</f>
        <v/>
      </c>
      <c r="AF68">
        <f>IF(OR(AE68="",$B$10=0),0,SUMIFS(DATA_TRANSPORT!$Q:$Q,DATA_TRANSPORT!$A:$A,$B$10,DATA_TRANSPORT!$E:$E,AE68))</f>
        <v/>
      </c>
      <c r="AG68">
        <f>IF(OR(AE68="",$B$10=0),0,SUMIFS(DATA_TRANSPORT!$I:$I,DATA_TRANSPORT!$A:$A,$B$10,DATA_TRANSPORT!$E:$E,AE68,DATA_TRANSPORT!$U:$U,"Ran"))</f>
        <v/>
      </c>
      <c r="AH68">
        <f>IF(OR(AE68="",$B$10=0),0,SUMIFS(DATA_TRANSPORT!$L:$L,DATA_TRANSPORT!$A:$A,$B$10,DATA_TRANSPORT!$E:$E,AE68))</f>
        <v/>
      </c>
      <c r="AI68">
        <f>IF(OR(AE68="",$B$10=0),0,SUMIFS(DATA_TRANSPORT!$R:$R,DATA_TRANSPORT!$A:$A,$B$10,DATA_TRANSPORT!$E:$E,AE68))</f>
        <v/>
      </c>
      <c r="AJ68">
        <f>IF(AH68=0,"",AI68/AH68)</f>
        <v/>
      </c>
      <c r="AK68">
        <f>IF(OR(AE68="",$B$10=0),0,SUMIFS(DATA_TRANSPORT!$S:$S,DATA_TRANSPORT!$A:$A,$B$10,DATA_TRANSPORT!$E:$E,AE68))+IF(OR(AE68="",$B$10=0),0,SUMIFS(DATA_TRANSPORT_COSTS!$M:$M,DATA_TRANSPORT_COSTS!$A:$A,$B$10,DATA_TRANSPORT_COSTS!$D:$D,AE68))</f>
        <v/>
      </c>
      <c r="AL68">
        <f>IF(OR(AF68=0,AK68=0),"",AK68/AF68)</f>
        <v/>
      </c>
      <c r="AM68">
        <f>IF(OR(AE68="",$B$10=0),0,SUMIFS(DATA_TRANSPORT!$S:$S,DATA_TRANSPORT!$A:$A,$B$10,DATA_TRANSPORT!$E:$E,AE68,DATA_TRANSPORT!$C:$C,"FT Procured"))</f>
        <v/>
      </c>
      <c r="AN68">
        <f>IF(OR(AE68="",$B$10=0),0,SUMIFS(DATA_TRANSPORT_BUDGET!$G:$G,DATA_TRANSPORT_BUDGET!$A:$A,$B$10,DATA_TRANSPORT_BUDGET!$D:$D,AE68))</f>
        <v/>
      </c>
      <c r="AO68">
        <f>IF(AN68=0,"",AM68-AN68)</f>
        <v/>
      </c>
      <c r="AP68">
        <f>IF(OR(AE68="",$B$10=0),0,COUNTIFS(DATA_TRANSPORT!$A:$A,$B$10,DATA_TRANSPORT!$E:$E,AE68,DATA_TRANSPORT!$C:$C,"FT Procured",DATA_TRANSPORT!$Y:$Y,"Y"))</f>
        <v/>
      </c>
      <c r="AQ68">
        <f>IF(OR(AE68="",$B$10=0),0,SUMIFS(DATA_TRANSPORT_BUDGET!$E:$E,DATA_TRANSPORT_BUDGET!$A:$A,$B$10,DATA_TRANSPORT_BUDGET!$D:$D,AE68))</f>
        <v/>
      </c>
      <c r="AR68">
        <f>IF(OR(AE68="",$B$10=0),0,COUNTIFS(DATA_TRANSPORT!$A:$A,$B$10,DATA_TRANSPORT!$E:$E,AE68,DATA_TRANSPORT!$U:$U,"Breakdown"))</f>
        <v/>
      </c>
      <c r="AS68">
        <f>IF(IF(OR(AE68="",$B$10=0),0,SUMIFS(DATA_TRANSPORT!$L:$L,DATA_TRANSPORT!$A:$A,$B$10-7,DATA_TRANSPORT!$E:$E,AE68))=0,"",IF(OR(AE68="",$B$10=0),0,SUMIFS(DATA_TRANSPORT!$R:$R,DATA_TRANSPORT!$A:$A,$B$10-7,DATA_TRANSPORT!$E:$E,AE68))/IF(OR(AE68="",$B$10=0),0,SUMIFS(DATA_TRANSPORT!$L:$L,DATA_TRANSPORT!$A:$A,$B$10-7,DATA_TRANSPORT!$E:$E,AE68)))</f>
        <v/>
      </c>
      <c r="AT68">
        <f>IF(IF(OR(AE68="",$B$10=0),0,SUMIFS(DATA_TRANSPORT!$L:$L,DATA_TRANSPORT!$A:$A,$B$10-14,DATA_TRANSPORT!$E:$E,AE68))=0,"",IF(OR(AE68="",$B$10=0),0,SUMIFS(DATA_TRANSPORT!$R:$R,DATA_TRANSPORT!$A:$A,$B$10-14,DATA_TRANSPORT!$E:$E,AE68))/IF(OR(AE68="",$B$10=0),0,SUMIFS(DATA_TRANSPORT!$L:$L,DATA_TRANSPORT!$A:$A,$B$10-14,DATA_TRANSPORT!$E:$E,AE68)))</f>
        <v/>
      </c>
      <c r="AU68">
        <f>IF(IF(OR(AE68="",$B$10=0),0,SUMIFS(DATA_TRANSPORT!$L:$L,DATA_TRANSPORT!$A:$A,$B$10-21,DATA_TRANSPORT!$E:$E,AE68))=0,"",IF(OR(AE68="",$B$10=0),0,SUMIFS(DATA_TRANSPORT!$R:$R,DATA_TRANSPORT!$A:$A,$B$10-21,DATA_TRANSPORT!$E:$E,AE68))/IF(OR(AE68="",$B$10=0),0,SUMIFS(DATA_TRANSPORT!$L:$L,DATA_TRANSPORT!$A:$A,$B$10-21,DATA_TRANSPORT!$E:$E,AE68)))</f>
        <v/>
      </c>
      <c r="AV68">
        <f>IF(AND(ISNUMBER(AJ68),AJ68&lt;UtilLow),1,0)+IF(AND(ISNUMBER(AS68),AS68&lt;UtilLow),1,0)+IF(AND(ISNUMBER(AT68),AT68&lt;UtilLow),1,0)+IF(AND(ISNUMBER(AU68),AU68&lt;UtilLow),1,0)</f>
        <v/>
      </c>
      <c r="AW68">
        <f>IF(AV68&gt;=UtilLowWeeks,AE68&amp;": seats only "&amp;TEXT(AJ68,"0%")&amp;" full, under "&amp;TEXT(UtilLow,"0%")&amp;" for "&amp;AV68&amp;" weeks running",IF(AND(ISNUMBER(AJ68),AJ68&gt;UtilHigh),AE68&amp;": demand exceeds seats ("&amp;TEXT(AJ68,"0%")&amp;" full) — consider more buses",IF(AND(ISNUMBER(AO68),AO68&gt;0),AE68&amp;": FT spend ₦"&amp;TEXT(AO68,"#,##0")&amp;" over the weekly budget",IF(AR68&gt;0,AE68&amp;": "&amp;AR68&amp;" coaster breakdown(s) this week",""))))</f>
        <v/>
      </c>
      <c r="AX68">
        <f>IF(ISNUMBER(AJ68),AJ68+ROW()/1000000000,"")</f>
        <v/>
      </c>
      <c r="AY68">
        <f>IF(ISNUMBER(AL68),AL68+ROW()/1000000,"")</f>
        <v/>
      </c>
      <c r="AZ68">
        <f>IF(AND(ISNUMBER(AO68),AO68&gt;0),AO68+ROW()/1000000,"")</f>
        <v/>
      </c>
      <c r="BA68">
        <f>IF(AF68&gt;0,AF68+ROW()/1000000,"")</f>
        <v/>
      </c>
      <c r="BB68">
        <f>IF(AW68="","",ROW())</f>
        <v/>
      </c>
    </row>
    <row r="69">
      <c r="A69" t="n">
        <v>48</v>
      </c>
      <c r="B69" s="170">
        <f>IF($B$10=0,"",$B$10-7*A69)</f>
        <v/>
      </c>
      <c r="C69">
        <f>IF(B69="","",MONTH(B69))</f>
        <v/>
      </c>
      <c r="D69">
        <f>IF(B69="","",ROUNDUP(MONTH(B69)/3,0))</f>
        <v/>
      </c>
      <c r="E69">
        <f>IF(B69="","",YEAR(B69))</f>
        <v/>
      </c>
      <c r="F69">
        <f>IF(B69="",0,COUNTIFS(DATA_TRANSPORT!$A:$A,B69,DATA_TRANSPORT!$E:$E,$B$6,DATA_TRANSPORT!$AB:$AB,$B$7))</f>
        <v/>
      </c>
      <c r="G69">
        <f>IF(F69=0,0,SUMIFS(DATA_TRANSPORT!$Q:$Q,DATA_TRANSPORT!$A:$A,B69,DATA_TRANSPORT!$E:$E,$B$6,DATA_TRANSPORT!$AB:$AB,$B$7))</f>
        <v/>
      </c>
      <c r="H69">
        <f>IF(F69=0,0,SUMIFS(DATA_TRANSPORT!$M:$M,DATA_TRANSPORT!$A:$A,B69,DATA_TRANSPORT!$E:$E,$B$6,DATA_TRANSPORT!$AB:$AB,$B$7))</f>
        <v/>
      </c>
      <c r="I69">
        <f>IF(F69=0,0,SUMIFS(DATA_TRANSPORT!$N:$N,DATA_TRANSPORT!$A:$A,B69,DATA_TRANSPORT!$E:$E,$B$6,DATA_TRANSPORT!$AB:$AB,$B$7))</f>
        <v/>
      </c>
      <c r="J69">
        <f>IF(F69=0,0,SUMIFS(DATA_TRANSPORT!$P:$P,DATA_TRANSPORT!$A:$A,B69,DATA_TRANSPORT!$E:$E,$B$6,DATA_TRANSPORT!$AB:$AB,$B$7))</f>
        <v/>
      </c>
      <c r="K69">
        <f>IF(F69=0,0,SUMIFS(DATA_TRANSPORT!$I:$I,DATA_TRANSPORT!$A:$A,B69,DATA_TRANSPORT!$E:$E,$B$6,DATA_TRANSPORT!$AB:$AB,$B$7))</f>
        <v/>
      </c>
      <c r="L69">
        <f>IF(F69=0,0,SUMIFS(DATA_TRANSPORT!$I:$I,DATA_TRANSPORT!$A:$A,B69,DATA_TRANSPORT!$E:$E,$B$6,DATA_TRANSPORT!$AB:$AB,$B$7,DATA_TRANSPORT!$U:$U,"Ran"))</f>
        <v/>
      </c>
      <c r="M69">
        <f>IF(F69=0,0,SUMIFS(DATA_TRANSPORT!$L:$L,DATA_TRANSPORT!$A:$A,B69,DATA_TRANSPORT!$E:$E,$B$6,DATA_TRANSPORT!$AB:$AB,$B$7))</f>
        <v/>
      </c>
      <c r="N69">
        <f>IF(F69=0,0,SUMIFS(DATA_TRANSPORT!$R:$R,DATA_TRANSPORT!$A:$A,B69,DATA_TRANSPORT!$E:$E,$B$6,DATA_TRANSPORT!$AB:$AB,$B$7))</f>
        <v/>
      </c>
      <c r="O69">
        <f>IF(F69=0,0,SUMIFS(DATA_TRANSPORT!$S:$S,DATA_TRANSPORT!$A:$A,B69,DATA_TRANSPORT!$E:$E,$B$6,DATA_TRANSPORT!$AB:$AB,$B$7))</f>
        <v/>
      </c>
      <c r="P69">
        <f>IF(OR(B69="",$B$17),0,SUMIFS(DATA_TRANSPORT_COSTS!$M:$M,DATA_TRANSPORT_COSTS!$A:$A,B69,DATA_TRANSPORT_COSTS!$D:$D,$B$6))</f>
        <v/>
      </c>
      <c r="Q69">
        <f>O69+P69</f>
        <v/>
      </c>
      <c r="R69">
        <f>P69+IF(F69=0,0,SUMIFS(DATA_TRANSPORT!$S:$S,DATA_TRANSPORT!$A:$A,B69,DATA_TRANSPORT!$E:$E,$B$6,DATA_TRANSPORT!$AB:$AB,$B$7,DATA_TRANSPORT!$T:$T,"Central"))</f>
        <v/>
      </c>
      <c r="S69">
        <f>IF(F69=0,0,SUMIFS(DATA_TRANSPORT!$S:$S,DATA_TRANSPORT!$A:$A,B69,DATA_TRANSPORT!$E:$E,$B$6,DATA_TRANSPORT!$AB:$AB,$B$7,DATA_TRANSPORT!$T:$T,"Members"))</f>
        <v/>
      </c>
      <c r="T69">
        <f>IF(OR(B69="",$B$17),0,SUMIFS(DATA_TRANSPORT_BUDGET!$G:$G,DATA_TRANSPORT_BUDGET!$A:$A,B69,DATA_TRANSPORT_BUDGET!$D:$D,$B$6))</f>
        <v/>
      </c>
      <c r="U69">
        <f>IF(F69=0,0,SUMIFS(DATA_TRANSPORT!$S:$S,DATA_TRANSPORT!$A:$A,B69,DATA_TRANSPORT!$E:$E,$B$6,DATA_TRANSPORT!$AB:$AB,$B$7,DATA_TRANSPORT!$C:$C,"FT Procured"))</f>
        <v/>
      </c>
      <c r="V69">
        <f>IF(F69=0,0,COUNTIFS(DATA_TRANSPORT!$A:$A,B69,DATA_TRANSPORT!$E:$E,$B$6,DATA_TRANSPORT!$AB:$AB,$B$7,DATA_TRANSPORT!$U:$U,"Breakdown"))</f>
        <v/>
      </c>
      <c r="W69">
        <f>IF(M69=0,0,N69/M69)</f>
        <v/>
      </c>
      <c r="X69">
        <f>IF(F69&gt;0,1,0)</f>
        <v/>
      </c>
      <c r="Y69">
        <f>IF(AND(A69&gt;=1,A69&lt;=$B$11),X69,0)</f>
        <v/>
      </c>
      <c r="Z69">
        <f>IF(AND(C69=$B$12,E69=$B$14),X69,0)</f>
        <v/>
      </c>
      <c r="AA69">
        <f>IF(AND(D69=$B$13,E69=$B$14),X69,0)</f>
        <v/>
      </c>
      <c r="AB69">
        <f>IF(E69=$B$14,X69,0)</f>
        <v/>
      </c>
      <c r="AE69">
        <f>IFERROR(INDEX(MASTER_AREAS!$B:$B,68)&amp;"","")</f>
        <v/>
      </c>
      <c r="AF69">
        <f>IF(OR(AE69="",$B$10=0),0,SUMIFS(DATA_TRANSPORT!$Q:$Q,DATA_TRANSPORT!$A:$A,$B$10,DATA_TRANSPORT!$E:$E,AE69))</f>
        <v/>
      </c>
      <c r="AG69">
        <f>IF(OR(AE69="",$B$10=0),0,SUMIFS(DATA_TRANSPORT!$I:$I,DATA_TRANSPORT!$A:$A,$B$10,DATA_TRANSPORT!$E:$E,AE69,DATA_TRANSPORT!$U:$U,"Ran"))</f>
        <v/>
      </c>
      <c r="AH69">
        <f>IF(OR(AE69="",$B$10=0),0,SUMIFS(DATA_TRANSPORT!$L:$L,DATA_TRANSPORT!$A:$A,$B$10,DATA_TRANSPORT!$E:$E,AE69))</f>
        <v/>
      </c>
      <c r="AI69">
        <f>IF(OR(AE69="",$B$10=0),0,SUMIFS(DATA_TRANSPORT!$R:$R,DATA_TRANSPORT!$A:$A,$B$10,DATA_TRANSPORT!$E:$E,AE69))</f>
        <v/>
      </c>
      <c r="AJ69">
        <f>IF(AH69=0,"",AI69/AH69)</f>
        <v/>
      </c>
      <c r="AK69">
        <f>IF(OR(AE69="",$B$10=0),0,SUMIFS(DATA_TRANSPORT!$S:$S,DATA_TRANSPORT!$A:$A,$B$10,DATA_TRANSPORT!$E:$E,AE69))+IF(OR(AE69="",$B$10=0),0,SUMIFS(DATA_TRANSPORT_COSTS!$M:$M,DATA_TRANSPORT_COSTS!$A:$A,$B$10,DATA_TRANSPORT_COSTS!$D:$D,AE69))</f>
        <v/>
      </c>
      <c r="AL69">
        <f>IF(OR(AF69=0,AK69=0),"",AK69/AF69)</f>
        <v/>
      </c>
      <c r="AM69">
        <f>IF(OR(AE69="",$B$10=0),0,SUMIFS(DATA_TRANSPORT!$S:$S,DATA_TRANSPORT!$A:$A,$B$10,DATA_TRANSPORT!$E:$E,AE69,DATA_TRANSPORT!$C:$C,"FT Procured"))</f>
        <v/>
      </c>
      <c r="AN69">
        <f>IF(OR(AE69="",$B$10=0),0,SUMIFS(DATA_TRANSPORT_BUDGET!$G:$G,DATA_TRANSPORT_BUDGET!$A:$A,$B$10,DATA_TRANSPORT_BUDGET!$D:$D,AE69))</f>
        <v/>
      </c>
      <c r="AO69">
        <f>IF(AN69=0,"",AM69-AN69)</f>
        <v/>
      </c>
      <c r="AP69">
        <f>IF(OR(AE69="",$B$10=0),0,COUNTIFS(DATA_TRANSPORT!$A:$A,$B$10,DATA_TRANSPORT!$E:$E,AE69,DATA_TRANSPORT!$C:$C,"FT Procured",DATA_TRANSPORT!$Y:$Y,"Y"))</f>
        <v/>
      </c>
      <c r="AQ69">
        <f>IF(OR(AE69="",$B$10=0),0,SUMIFS(DATA_TRANSPORT_BUDGET!$E:$E,DATA_TRANSPORT_BUDGET!$A:$A,$B$10,DATA_TRANSPORT_BUDGET!$D:$D,AE69))</f>
        <v/>
      </c>
      <c r="AR69">
        <f>IF(OR(AE69="",$B$10=0),0,COUNTIFS(DATA_TRANSPORT!$A:$A,$B$10,DATA_TRANSPORT!$E:$E,AE69,DATA_TRANSPORT!$U:$U,"Breakdown"))</f>
        <v/>
      </c>
      <c r="AS69">
        <f>IF(IF(OR(AE69="",$B$10=0),0,SUMIFS(DATA_TRANSPORT!$L:$L,DATA_TRANSPORT!$A:$A,$B$10-7,DATA_TRANSPORT!$E:$E,AE69))=0,"",IF(OR(AE69="",$B$10=0),0,SUMIFS(DATA_TRANSPORT!$R:$R,DATA_TRANSPORT!$A:$A,$B$10-7,DATA_TRANSPORT!$E:$E,AE69))/IF(OR(AE69="",$B$10=0),0,SUMIFS(DATA_TRANSPORT!$L:$L,DATA_TRANSPORT!$A:$A,$B$10-7,DATA_TRANSPORT!$E:$E,AE69)))</f>
        <v/>
      </c>
      <c r="AT69">
        <f>IF(IF(OR(AE69="",$B$10=0),0,SUMIFS(DATA_TRANSPORT!$L:$L,DATA_TRANSPORT!$A:$A,$B$10-14,DATA_TRANSPORT!$E:$E,AE69))=0,"",IF(OR(AE69="",$B$10=0),0,SUMIFS(DATA_TRANSPORT!$R:$R,DATA_TRANSPORT!$A:$A,$B$10-14,DATA_TRANSPORT!$E:$E,AE69))/IF(OR(AE69="",$B$10=0),0,SUMIFS(DATA_TRANSPORT!$L:$L,DATA_TRANSPORT!$A:$A,$B$10-14,DATA_TRANSPORT!$E:$E,AE69)))</f>
        <v/>
      </c>
      <c r="AU69">
        <f>IF(IF(OR(AE69="",$B$10=0),0,SUMIFS(DATA_TRANSPORT!$L:$L,DATA_TRANSPORT!$A:$A,$B$10-21,DATA_TRANSPORT!$E:$E,AE69))=0,"",IF(OR(AE69="",$B$10=0),0,SUMIFS(DATA_TRANSPORT!$R:$R,DATA_TRANSPORT!$A:$A,$B$10-21,DATA_TRANSPORT!$E:$E,AE69))/IF(OR(AE69="",$B$10=0),0,SUMIFS(DATA_TRANSPORT!$L:$L,DATA_TRANSPORT!$A:$A,$B$10-21,DATA_TRANSPORT!$E:$E,AE69)))</f>
        <v/>
      </c>
      <c r="AV69">
        <f>IF(AND(ISNUMBER(AJ69),AJ69&lt;UtilLow),1,0)+IF(AND(ISNUMBER(AS69),AS69&lt;UtilLow),1,0)+IF(AND(ISNUMBER(AT69),AT69&lt;UtilLow),1,0)+IF(AND(ISNUMBER(AU69),AU69&lt;UtilLow),1,0)</f>
        <v/>
      </c>
      <c r="AW69">
        <f>IF(AV69&gt;=UtilLowWeeks,AE69&amp;": seats only "&amp;TEXT(AJ69,"0%")&amp;" full, under "&amp;TEXT(UtilLow,"0%")&amp;" for "&amp;AV69&amp;" weeks running",IF(AND(ISNUMBER(AJ69),AJ69&gt;UtilHigh),AE69&amp;": demand exceeds seats ("&amp;TEXT(AJ69,"0%")&amp;" full) — consider more buses",IF(AND(ISNUMBER(AO69),AO69&gt;0),AE69&amp;": FT spend ₦"&amp;TEXT(AO69,"#,##0")&amp;" over the weekly budget",IF(AR69&gt;0,AE69&amp;": "&amp;AR69&amp;" coaster breakdown(s) this week",""))))</f>
        <v/>
      </c>
      <c r="AX69">
        <f>IF(ISNUMBER(AJ69),AJ69+ROW()/1000000000,"")</f>
        <v/>
      </c>
      <c r="AY69">
        <f>IF(ISNUMBER(AL69),AL69+ROW()/1000000,"")</f>
        <v/>
      </c>
      <c r="AZ69">
        <f>IF(AND(ISNUMBER(AO69),AO69&gt;0),AO69+ROW()/1000000,"")</f>
        <v/>
      </c>
      <c r="BA69">
        <f>IF(AF69&gt;0,AF69+ROW()/1000000,"")</f>
        <v/>
      </c>
      <c r="BB69">
        <f>IF(AW69="","",ROW())</f>
        <v/>
      </c>
    </row>
    <row r="70">
      <c r="A70" t="n">
        <v>49</v>
      </c>
      <c r="B70" s="170">
        <f>IF($B$10=0,"",$B$10-7*A70)</f>
        <v/>
      </c>
      <c r="C70">
        <f>IF(B70="","",MONTH(B70))</f>
        <v/>
      </c>
      <c r="D70">
        <f>IF(B70="","",ROUNDUP(MONTH(B70)/3,0))</f>
        <v/>
      </c>
      <c r="E70">
        <f>IF(B70="","",YEAR(B70))</f>
        <v/>
      </c>
      <c r="F70">
        <f>IF(B70="",0,COUNTIFS(DATA_TRANSPORT!$A:$A,B70,DATA_TRANSPORT!$E:$E,$B$6,DATA_TRANSPORT!$AB:$AB,$B$7))</f>
        <v/>
      </c>
      <c r="G70">
        <f>IF(F70=0,0,SUMIFS(DATA_TRANSPORT!$Q:$Q,DATA_TRANSPORT!$A:$A,B70,DATA_TRANSPORT!$E:$E,$B$6,DATA_TRANSPORT!$AB:$AB,$B$7))</f>
        <v/>
      </c>
      <c r="H70">
        <f>IF(F70=0,0,SUMIFS(DATA_TRANSPORT!$M:$M,DATA_TRANSPORT!$A:$A,B70,DATA_TRANSPORT!$E:$E,$B$6,DATA_TRANSPORT!$AB:$AB,$B$7))</f>
        <v/>
      </c>
      <c r="I70">
        <f>IF(F70=0,0,SUMIFS(DATA_TRANSPORT!$N:$N,DATA_TRANSPORT!$A:$A,B70,DATA_TRANSPORT!$E:$E,$B$6,DATA_TRANSPORT!$AB:$AB,$B$7))</f>
        <v/>
      </c>
      <c r="J70">
        <f>IF(F70=0,0,SUMIFS(DATA_TRANSPORT!$P:$P,DATA_TRANSPORT!$A:$A,B70,DATA_TRANSPORT!$E:$E,$B$6,DATA_TRANSPORT!$AB:$AB,$B$7))</f>
        <v/>
      </c>
      <c r="K70">
        <f>IF(F70=0,0,SUMIFS(DATA_TRANSPORT!$I:$I,DATA_TRANSPORT!$A:$A,B70,DATA_TRANSPORT!$E:$E,$B$6,DATA_TRANSPORT!$AB:$AB,$B$7))</f>
        <v/>
      </c>
      <c r="L70">
        <f>IF(F70=0,0,SUMIFS(DATA_TRANSPORT!$I:$I,DATA_TRANSPORT!$A:$A,B70,DATA_TRANSPORT!$E:$E,$B$6,DATA_TRANSPORT!$AB:$AB,$B$7,DATA_TRANSPORT!$U:$U,"Ran"))</f>
        <v/>
      </c>
      <c r="M70">
        <f>IF(F70=0,0,SUMIFS(DATA_TRANSPORT!$L:$L,DATA_TRANSPORT!$A:$A,B70,DATA_TRANSPORT!$E:$E,$B$6,DATA_TRANSPORT!$AB:$AB,$B$7))</f>
        <v/>
      </c>
      <c r="N70">
        <f>IF(F70=0,0,SUMIFS(DATA_TRANSPORT!$R:$R,DATA_TRANSPORT!$A:$A,B70,DATA_TRANSPORT!$E:$E,$B$6,DATA_TRANSPORT!$AB:$AB,$B$7))</f>
        <v/>
      </c>
      <c r="O70">
        <f>IF(F70=0,0,SUMIFS(DATA_TRANSPORT!$S:$S,DATA_TRANSPORT!$A:$A,B70,DATA_TRANSPORT!$E:$E,$B$6,DATA_TRANSPORT!$AB:$AB,$B$7))</f>
        <v/>
      </c>
      <c r="P70">
        <f>IF(OR(B70="",$B$17),0,SUMIFS(DATA_TRANSPORT_COSTS!$M:$M,DATA_TRANSPORT_COSTS!$A:$A,B70,DATA_TRANSPORT_COSTS!$D:$D,$B$6))</f>
        <v/>
      </c>
      <c r="Q70">
        <f>O70+P70</f>
        <v/>
      </c>
      <c r="R70">
        <f>P70+IF(F70=0,0,SUMIFS(DATA_TRANSPORT!$S:$S,DATA_TRANSPORT!$A:$A,B70,DATA_TRANSPORT!$E:$E,$B$6,DATA_TRANSPORT!$AB:$AB,$B$7,DATA_TRANSPORT!$T:$T,"Central"))</f>
        <v/>
      </c>
      <c r="S70">
        <f>IF(F70=0,0,SUMIFS(DATA_TRANSPORT!$S:$S,DATA_TRANSPORT!$A:$A,B70,DATA_TRANSPORT!$E:$E,$B$6,DATA_TRANSPORT!$AB:$AB,$B$7,DATA_TRANSPORT!$T:$T,"Members"))</f>
        <v/>
      </c>
      <c r="T70">
        <f>IF(OR(B70="",$B$17),0,SUMIFS(DATA_TRANSPORT_BUDGET!$G:$G,DATA_TRANSPORT_BUDGET!$A:$A,B70,DATA_TRANSPORT_BUDGET!$D:$D,$B$6))</f>
        <v/>
      </c>
      <c r="U70">
        <f>IF(F70=0,0,SUMIFS(DATA_TRANSPORT!$S:$S,DATA_TRANSPORT!$A:$A,B70,DATA_TRANSPORT!$E:$E,$B$6,DATA_TRANSPORT!$AB:$AB,$B$7,DATA_TRANSPORT!$C:$C,"FT Procured"))</f>
        <v/>
      </c>
      <c r="V70">
        <f>IF(F70=0,0,COUNTIFS(DATA_TRANSPORT!$A:$A,B70,DATA_TRANSPORT!$E:$E,$B$6,DATA_TRANSPORT!$AB:$AB,$B$7,DATA_TRANSPORT!$U:$U,"Breakdown"))</f>
        <v/>
      </c>
      <c r="W70">
        <f>IF(M70=0,0,N70/M70)</f>
        <v/>
      </c>
      <c r="X70">
        <f>IF(F70&gt;0,1,0)</f>
        <v/>
      </c>
      <c r="Y70">
        <f>IF(AND(A70&gt;=1,A70&lt;=$B$11),X70,0)</f>
        <v/>
      </c>
      <c r="Z70">
        <f>IF(AND(C70=$B$12,E70=$B$14),X70,0)</f>
        <v/>
      </c>
      <c r="AA70">
        <f>IF(AND(D70=$B$13,E70=$B$14),X70,0)</f>
        <v/>
      </c>
      <c r="AB70">
        <f>IF(E70=$B$14,X70,0)</f>
        <v/>
      </c>
      <c r="AE70">
        <f>IFERROR(INDEX(MASTER_AREAS!$B:$B,69)&amp;"","")</f>
        <v/>
      </c>
      <c r="AF70">
        <f>IF(OR(AE70="",$B$10=0),0,SUMIFS(DATA_TRANSPORT!$Q:$Q,DATA_TRANSPORT!$A:$A,$B$10,DATA_TRANSPORT!$E:$E,AE70))</f>
        <v/>
      </c>
      <c r="AG70">
        <f>IF(OR(AE70="",$B$10=0),0,SUMIFS(DATA_TRANSPORT!$I:$I,DATA_TRANSPORT!$A:$A,$B$10,DATA_TRANSPORT!$E:$E,AE70,DATA_TRANSPORT!$U:$U,"Ran"))</f>
        <v/>
      </c>
      <c r="AH70">
        <f>IF(OR(AE70="",$B$10=0),0,SUMIFS(DATA_TRANSPORT!$L:$L,DATA_TRANSPORT!$A:$A,$B$10,DATA_TRANSPORT!$E:$E,AE70))</f>
        <v/>
      </c>
      <c r="AI70">
        <f>IF(OR(AE70="",$B$10=0),0,SUMIFS(DATA_TRANSPORT!$R:$R,DATA_TRANSPORT!$A:$A,$B$10,DATA_TRANSPORT!$E:$E,AE70))</f>
        <v/>
      </c>
      <c r="AJ70">
        <f>IF(AH70=0,"",AI70/AH70)</f>
        <v/>
      </c>
      <c r="AK70">
        <f>IF(OR(AE70="",$B$10=0),0,SUMIFS(DATA_TRANSPORT!$S:$S,DATA_TRANSPORT!$A:$A,$B$10,DATA_TRANSPORT!$E:$E,AE70))+IF(OR(AE70="",$B$10=0),0,SUMIFS(DATA_TRANSPORT_COSTS!$M:$M,DATA_TRANSPORT_COSTS!$A:$A,$B$10,DATA_TRANSPORT_COSTS!$D:$D,AE70))</f>
        <v/>
      </c>
      <c r="AL70">
        <f>IF(OR(AF70=0,AK70=0),"",AK70/AF70)</f>
        <v/>
      </c>
      <c r="AM70">
        <f>IF(OR(AE70="",$B$10=0),0,SUMIFS(DATA_TRANSPORT!$S:$S,DATA_TRANSPORT!$A:$A,$B$10,DATA_TRANSPORT!$E:$E,AE70,DATA_TRANSPORT!$C:$C,"FT Procured"))</f>
        <v/>
      </c>
      <c r="AN70">
        <f>IF(OR(AE70="",$B$10=0),0,SUMIFS(DATA_TRANSPORT_BUDGET!$G:$G,DATA_TRANSPORT_BUDGET!$A:$A,$B$10,DATA_TRANSPORT_BUDGET!$D:$D,AE70))</f>
        <v/>
      </c>
      <c r="AO70">
        <f>IF(AN70=0,"",AM70-AN70)</f>
        <v/>
      </c>
      <c r="AP70">
        <f>IF(OR(AE70="",$B$10=0),0,COUNTIFS(DATA_TRANSPORT!$A:$A,$B$10,DATA_TRANSPORT!$E:$E,AE70,DATA_TRANSPORT!$C:$C,"FT Procured",DATA_TRANSPORT!$Y:$Y,"Y"))</f>
        <v/>
      </c>
      <c r="AQ70">
        <f>IF(OR(AE70="",$B$10=0),0,SUMIFS(DATA_TRANSPORT_BUDGET!$E:$E,DATA_TRANSPORT_BUDGET!$A:$A,$B$10,DATA_TRANSPORT_BUDGET!$D:$D,AE70))</f>
        <v/>
      </c>
      <c r="AR70">
        <f>IF(OR(AE70="",$B$10=0),0,COUNTIFS(DATA_TRANSPORT!$A:$A,$B$10,DATA_TRANSPORT!$E:$E,AE70,DATA_TRANSPORT!$U:$U,"Breakdown"))</f>
        <v/>
      </c>
      <c r="AS70">
        <f>IF(IF(OR(AE70="",$B$10=0),0,SUMIFS(DATA_TRANSPORT!$L:$L,DATA_TRANSPORT!$A:$A,$B$10-7,DATA_TRANSPORT!$E:$E,AE70))=0,"",IF(OR(AE70="",$B$10=0),0,SUMIFS(DATA_TRANSPORT!$R:$R,DATA_TRANSPORT!$A:$A,$B$10-7,DATA_TRANSPORT!$E:$E,AE70))/IF(OR(AE70="",$B$10=0),0,SUMIFS(DATA_TRANSPORT!$L:$L,DATA_TRANSPORT!$A:$A,$B$10-7,DATA_TRANSPORT!$E:$E,AE70)))</f>
        <v/>
      </c>
      <c r="AT70">
        <f>IF(IF(OR(AE70="",$B$10=0),0,SUMIFS(DATA_TRANSPORT!$L:$L,DATA_TRANSPORT!$A:$A,$B$10-14,DATA_TRANSPORT!$E:$E,AE70))=0,"",IF(OR(AE70="",$B$10=0),0,SUMIFS(DATA_TRANSPORT!$R:$R,DATA_TRANSPORT!$A:$A,$B$10-14,DATA_TRANSPORT!$E:$E,AE70))/IF(OR(AE70="",$B$10=0),0,SUMIFS(DATA_TRANSPORT!$L:$L,DATA_TRANSPORT!$A:$A,$B$10-14,DATA_TRANSPORT!$E:$E,AE70)))</f>
        <v/>
      </c>
      <c r="AU70">
        <f>IF(IF(OR(AE70="",$B$10=0),0,SUMIFS(DATA_TRANSPORT!$L:$L,DATA_TRANSPORT!$A:$A,$B$10-21,DATA_TRANSPORT!$E:$E,AE70))=0,"",IF(OR(AE70="",$B$10=0),0,SUMIFS(DATA_TRANSPORT!$R:$R,DATA_TRANSPORT!$A:$A,$B$10-21,DATA_TRANSPORT!$E:$E,AE70))/IF(OR(AE70="",$B$10=0),0,SUMIFS(DATA_TRANSPORT!$L:$L,DATA_TRANSPORT!$A:$A,$B$10-21,DATA_TRANSPORT!$E:$E,AE70)))</f>
        <v/>
      </c>
      <c r="AV70">
        <f>IF(AND(ISNUMBER(AJ70),AJ70&lt;UtilLow),1,0)+IF(AND(ISNUMBER(AS70),AS70&lt;UtilLow),1,0)+IF(AND(ISNUMBER(AT70),AT70&lt;UtilLow),1,0)+IF(AND(ISNUMBER(AU70),AU70&lt;UtilLow),1,0)</f>
        <v/>
      </c>
      <c r="AW70">
        <f>IF(AV70&gt;=UtilLowWeeks,AE70&amp;": seats only "&amp;TEXT(AJ70,"0%")&amp;" full, under "&amp;TEXT(UtilLow,"0%")&amp;" for "&amp;AV70&amp;" weeks running",IF(AND(ISNUMBER(AJ70),AJ70&gt;UtilHigh),AE70&amp;": demand exceeds seats ("&amp;TEXT(AJ70,"0%")&amp;" full) — consider more buses",IF(AND(ISNUMBER(AO70),AO70&gt;0),AE70&amp;": FT spend ₦"&amp;TEXT(AO70,"#,##0")&amp;" over the weekly budget",IF(AR70&gt;0,AE70&amp;": "&amp;AR70&amp;" coaster breakdown(s) this week",""))))</f>
        <v/>
      </c>
      <c r="AX70">
        <f>IF(ISNUMBER(AJ70),AJ70+ROW()/1000000000,"")</f>
        <v/>
      </c>
      <c r="AY70">
        <f>IF(ISNUMBER(AL70),AL70+ROW()/1000000,"")</f>
        <v/>
      </c>
      <c r="AZ70">
        <f>IF(AND(ISNUMBER(AO70),AO70&gt;0),AO70+ROW()/1000000,"")</f>
        <v/>
      </c>
      <c r="BA70">
        <f>IF(AF70&gt;0,AF70+ROW()/1000000,"")</f>
        <v/>
      </c>
      <c r="BB70">
        <f>IF(AW70="","",ROW())</f>
        <v/>
      </c>
    </row>
    <row r="71">
      <c r="A71" t="n">
        <v>50</v>
      </c>
      <c r="B71" s="170">
        <f>IF($B$10=0,"",$B$10-7*A71)</f>
        <v/>
      </c>
      <c r="C71">
        <f>IF(B71="","",MONTH(B71))</f>
        <v/>
      </c>
      <c r="D71">
        <f>IF(B71="","",ROUNDUP(MONTH(B71)/3,0))</f>
        <v/>
      </c>
      <c r="E71">
        <f>IF(B71="","",YEAR(B71))</f>
        <v/>
      </c>
      <c r="F71">
        <f>IF(B71="",0,COUNTIFS(DATA_TRANSPORT!$A:$A,B71,DATA_TRANSPORT!$E:$E,$B$6,DATA_TRANSPORT!$AB:$AB,$B$7))</f>
        <v/>
      </c>
      <c r="G71">
        <f>IF(F71=0,0,SUMIFS(DATA_TRANSPORT!$Q:$Q,DATA_TRANSPORT!$A:$A,B71,DATA_TRANSPORT!$E:$E,$B$6,DATA_TRANSPORT!$AB:$AB,$B$7))</f>
        <v/>
      </c>
      <c r="H71">
        <f>IF(F71=0,0,SUMIFS(DATA_TRANSPORT!$M:$M,DATA_TRANSPORT!$A:$A,B71,DATA_TRANSPORT!$E:$E,$B$6,DATA_TRANSPORT!$AB:$AB,$B$7))</f>
        <v/>
      </c>
      <c r="I71">
        <f>IF(F71=0,0,SUMIFS(DATA_TRANSPORT!$N:$N,DATA_TRANSPORT!$A:$A,B71,DATA_TRANSPORT!$E:$E,$B$6,DATA_TRANSPORT!$AB:$AB,$B$7))</f>
        <v/>
      </c>
      <c r="J71">
        <f>IF(F71=0,0,SUMIFS(DATA_TRANSPORT!$P:$P,DATA_TRANSPORT!$A:$A,B71,DATA_TRANSPORT!$E:$E,$B$6,DATA_TRANSPORT!$AB:$AB,$B$7))</f>
        <v/>
      </c>
      <c r="K71">
        <f>IF(F71=0,0,SUMIFS(DATA_TRANSPORT!$I:$I,DATA_TRANSPORT!$A:$A,B71,DATA_TRANSPORT!$E:$E,$B$6,DATA_TRANSPORT!$AB:$AB,$B$7))</f>
        <v/>
      </c>
      <c r="L71">
        <f>IF(F71=0,0,SUMIFS(DATA_TRANSPORT!$I:$I,DATA_TRANSPORT!$A:$A,B71,DATA_TRANSPORT!$E:$E,$B$6,DATA_TRANSPORT!$AB:$AB,$B$7,DATA_TRANSPORT!$U:$U,"Ran"))</f>
        <v/>
      </c>
      <c r="M71">
        <f>IF(F71=0,0,SUMIFS(DATA_TRANSPORT!$L:$L,DATA_TRANSPORT!$A:$A,B71,DATA_TRANSPORT!$E:$E,$B$6,DATA_TRANSPORT!$AB:$AB,$B$7))</f>
        <v/>
      </c>
      <c r="N71">
        <f>IF(F71=0,0,SUMIFS(DATA_TRANSPORT!$R:$R,DATA_TRANSPORT!$A:$A,B71,DATA_TRANSPORT!$E:$E,$B$6,DATA_TRANSPORT!$AB:$AB,$B$7))</f>
        <v/>
      </c>
      <c r="O71">
        <f>IF(F71=0,0,SUMIFS(DATA_TRANSPORT!$S:$S,DATA_TRANSPORT!$A:$A,B71,DATA_TRANSPORT!$E:$E,$B$6,DATA_TRANSPORT!$AB:$AB,$B$7))</f>
        <v/>
      </c>
      <c r="P71">
        <f>IF(OR(B71="",$B$17),0,SUMIFS(DATA_TRANSPORT_COSTS!$M:$M,DATA_TRANSPORT_COSTS!$A:$A,B71,DATA_TRANSPORT_COSTS!$D:$D,$B$6))</f>
        <v/>
      </c>
      <c r="Q71">
        <f>O71+P71</f>
        <v/>
      </c>
      <c r="R71">
        <f>P71+IF(F71=0,0,SUMIFS(DATA_TRANSPORT!$S:$S,DATA_TRANSPORT!$A:$A,B71,DATA_TRANSPORT!$E:$E,$B$6,DATA_TRANSPORT!$AB:$AB,$B$7,DATA_TRANSPORT!$T:$T,"Central"))</f>
        <v/>
      </c>
      <c r="S71">
        <f>IF(F71=0,0,SUMIFS(DATA_TRANSPORT!$S:$S,DATA_TRANSPORT!$A:$A,B71,DATA_TRANSPORT!$E:$E,$B$6,DATA_TRANSPORT!$AB:$AB,$B$7,DATA_TRANSPORT!$T:$T,"Members"))</f>
        <v/>
      </c>
      <c r="T71">
        <f>IF(OR(B71="",$B$17),0,SUMIFS(DATA_TRANSPORT_BUDGET!$G:$G,DATA_TRANSPORT_BUDGET!$A:$A,B71,DATA_TRANSPORT_BUDGET!$D:$D,$B$6))</f>
        <v/>
      </c>
      <c r="U71">
        <f>IF(F71=0,0,SUMIFS(DATA_TRANSPORT!$S:$S,DATA_TRANSPORT!$A:$A,B71,DATA_TRANSPORT!$E:$E,$B$6,DATA_TRANSPORT!$AB:$AB,$B$7,DATA_TRANSPORT!$C:$C,"FT Procured"))</f>
        <v/>
      </c>
      <c r="V71">
        <f>IF(F71=0,0,COUNTIFS(DATA_TRANSPORT!$A:$A,B71,DATA_TRANSPORT!$E:$E,$B$6,DATA_TRANSPORT!$AB:$AB,$B$7,DATA_TRANSPORT!$U:$U,"Breakdown"))</f>
        <v/>
      </c>
      <c r="W71">
        <f>IF(M71=0,0,N71/M71)</f>
        <v/>
      </c>
      <c r="X71">
        <f>IF(F71&gt;0,1,0)</f>
        <v/>
      </c>
      <c r="Y71">
        <f>IF(AND(A71&gt;=1,A71&lt;=$B$11),X71,0)</f>
        <v/>
      </c>
      <c r="Z71">
        <f>IF(AND(C71=$B$12,E71=$B$14),X71,0)</f>
        <v/>
      </c>
      <c r="AA71">
        <f>IF(AND(D71=$B$13,E71=$B$14),X71,0)</f>
        <v/>
      </c>
      <c r="AB71">
        <f>IF(E71=$B$14,X71,0)</f>
        <v/>
      </c>
      <c r="AE71">
        <f>IFERROR(INDEX(MASTER_AREAS!$B:$B,70)&amp;"","")</f>
        <v/>
      </c>
      <c r="AF71">
        <f>IF(OR(AE71="",$B$10=0),0,SUMIFS(DATA_TRANSPORT!$Q:$Q,DATA_TRANSPORT!$A:$A,$B$10,DATA_TRANSPORT!$E:$E,AE71))</f>
        <v/>
      </c>
      <c r="AG71">
        <f>IF(OR(AE71="",$B$10=0),0,SUMIFS(DATA_TRANSPORT!$I:$I,DATA_TRANSPORT!$A:$A,$B$10,DATA_TRANSPORT!$E:$E,AE71,DATA_TRANSPORT!$U:$U,"Ran"))</f>
        <v/>
      </c>
      <c r="AH71">
        <f>IF(OR(AE71="",$B$10=0),0,SUMIFS(DATA_TRANSPORT!$L:$L,DATA_TRANSPORT!$A:$A,$B$10,DATA_TRANSPORT!$E:$E,AE71))</f>
        <v/>
      </c>
      <c r="AI71">
        <f>IF(OR(AE71="",$B$10=0),0,SUMIFS(DATA_TRANSPORT!$R:$R,DATA_TRANSPORT!$A:$A,$B$10,DATA_TRANSPORT!$E:$E,AE71))</f>
        <v/>
      </c>
      <c r="AJ71">
        <f>IF(AH71=0,"",AI71/AH71)</f>
        <v/>
      </c>
      <c r="AK71">
        <f>IF(OR(AE71="",$B$10=0),0,SUMIFS(DATA_TRANSPORT!$S:$S,DATA_TRANSPORT!$A:$A,$B$10,DATA_TRANSPORT!$E:$E,AE71))+IF(OR(AE71="",$B$10=0),0,SUMIFS(DATA_TRANSPORT_COSTS!$M:$M,DATA_TRANSPORT_COSTS!$A:$A,$B$10,DATA_TRANSPORT_COSTS!$D:$D,AE71))</f>
        <v/>
      </c>
      <c r="AL71">
        <f>IF(OR(AF71=0,AK71=0),"",AK71/AF71)</f>
        <v/>
      </c>
      <c r="AM71">
        <f>IF(OR(AE71="",$B$10=0),0,SUMIFS(DATA_TRANSPORT!$S:$S,DATA_TRANSPORT!$A:$A,$B$10,DATA_TRANSPORT!$E:$E,AE71,DATA_TRANSPORT!$C:$C,"FT Procured"))</f>
        <v/>
      </c>
      <c r="AN71">
        <f>IF(OR(AE71="",$B$10=0),0,SUMIFS(DATA_TRANSPORT_BUDGET!$G:$G,DATA_TRANSPORT_BUDGET!$A:$A,$B$10,DATA_TRANSPORT_BUDGET!$D:$D,AE71))</f>
        <v/>
      </c>
      <c r="AO71">
        <f>IF(AN71=0,"",AM71-AN71)</f>
        <v/>
      </c>
      <c r="AP71">
        <f>IF(OR(AE71="",$B$10=0),0,COUNTIFS(DATA_TRANSPORT!$A:$A,$B$10,DATA_TRANSPORT!$E:$E,AE71,DATA_TRANSPORT!$C:$C,"FT Procured",DATA_TRANSPORT!$Y:$Y,"Y"))</f>
        <v/>
      </c>
      <c r="AQ71">
        <f>IF(OR(AE71="",$B$10=0),0,SUMIFS(DATA_TRANSPORT_BUDGET!$E:$E,DATA_TRANSPORT_BUDGET!$A:$A,$B$10,DATA_TRANSPORT_BUDGET!$D:$D,AE71))</f>
        <v/>
      </c>
      <c r="AR71">
        <f>IF(OR(AE71="",$B$10=0),0,COUNTIFS(DATA_TRANSPORT!$A:$A,$B$10,DATA_TRANSPORT!$E:$E,AE71,DATA_TRANSPORT!$U:$U,"Breakdown"))</f>
        <v/>
      </c>
      <c r="AS71">
        <f>IF(IF(OR(AE71="",$B$10=0),0,SUMIFS(DATA_TRANSPORT!$L:$L,DATA_TRANSPORT!$A:$A,$B$10-7,DATA_TRANSPORT!$E:$E,AE71))=0,"",IF(OR(AE71="",$B$10=0),0,SUMIFS(DATA_TRANSPORT!$R:$R,DATA_TRANSPORT!$A:$A,$B$10-7,DATA_TRANSPORT!$E:$E,AE71))/IF(OR(AE71="",$B$10=0),0,SUMIFS(DATA_TRANSPORT!$L:$L,DATA_TRANSPORT!$A:$A,$B$10-7,DATA_TRANSPORT!$E:$E,AE71)))</f>
        <v/>
      </c>
      <c r="AT71">
        <f>IF(IF(OR(AE71="",$B$10=0),0,SUMIFS(DATA_TRANSPORT!$L:$L,DATA_TRANSPORT!$A:$A,$B$10-14,DATA_TRANSPORT!$E:$E,AE71))=0,"",IF(OR(AE71="",$B$10=0),0,SUMIFS(DATA_TRANSPORT!$R:$R,DATA_TRANSPORT!$A:$A,$B$10-14,DATA_TRANSPORT!$E:$E,AE71))/IF(OR(AE71="",$B$10=0),0,SUMIFS(DATA_TRANSPORT!$L:$L,DATA_TRANSPORT!$A:$A,$B$10-14,DATA_TRANSPORT!$E:$E,AE71)))</f>
        <v/>
      </c>
      <c r="AU71">
        <f>IF(IF(OR(AE71="",$B$10=0),0,SUMIFS(DATA_TRANSPORT!$L:$L,DATA_TRANSPORT!$A:$A,$B$10-21,DATA_TRANSPORT!$E:$E,AE71))=0,"",IF(OR(AE71="",$B$10=0),0,SUMIFS(DATA_TRANSPORT!$R:$R,DATA_TRANSPORT!$A:$A,$B$10-21,DATA_TRANSPORT!$E:$E,AE71))/IF(OR(AE71="",$B$10=0),0,SUMIFS(DATA_TRANSPORT!$L:$L,DATA_TRANSPORT!$A:$A,$B$10-21,DATA_TRANSPORT!$E:$E,AE71)))</f>
        <v/>
      </c>
      <c r="AV71">
        <f>IF(AND(ISNUMBER(AJ71),AJ71&lt;UtilLow),1,0)+IF(AND(ISNUMBER(AS71),AS71&lt;UtilLow),1,0)+IF(AND(ISNUMBER(AT71),AT71&lt;UtilLow),1,0)+IF(AND(ISNUMBER(AU71),AU71&lt;UtilLow),1,0)</f>
        <v/>
      </c>
      <c r="AW71">
        <f>IF(AV71&gt;=UtilLowWeeks,AE71&amp;": seats only "&amp;TEXT(AJ71,"0%")&amp;" full, under "&amp;TEXT(UtilLow,"0%")&amp;" for "&amp;AV71&amp;" weeks running",IF(AND(ISNUMBER(AJ71),AJ71&gt;UtilHigh),AE71&amp;": demand exceeds seats ("&amp;TEXT(AJ71,"0%")&amp;" full) — consider more buses",IF(AND(ISNUMBER(AO71),AO71&gt;0),AE71&amp;": FT spend ₦"&amp;TEXT(AO71,"#,##0")&amp;" over the weekly budget",IF(AR71&gt;0,AE71&amp;": "&amp;AR71&amp;" coaster breakdown(s) this week",""))))</f>
        <v/>
      </c>
      <c r="AX71">
        <f>IF(ISNUMBER(AJ71),AJ71+ROW()/1000000000,"")</f>
        <v/>
      </c>
      <c r="AY71">
        <f>IF(ISNUMBER(AL71),AL71+ROW()/1000000,"")</f>
        <v/>
      </c>
      <c r="AZ71">
        <f>IF(AND(ISNUMBER(AO71),AO71&gt;0),AO71+ROW()/1000000,"")</f>
        <v/>
      </c>
      <c r="BA71">
        <f>IF(AF71&gt;0,AF71+ROW()/1000000,"")</f>
        <v/>
      </c>
      <c r="BB71">
        <f>IF(AW71="","",ROW())</f>
        <v/>
      </c>
    </row>
    <row r="72">
      <c r="A72" t="n">
        <v>51</v>
      </c>
      <c r="B72" s="170">
        <f>IF($B$10=0,"",$B$10-7*A72)</f>
        <v/>
      </c>
      <c r="C72">
        <f>IF(B72="","",MONTH(B72))</f>
        <v/>
      </c>
      <c r="D72">
        <f>IF(B72="","",ROUNDUP(MONTH(B72)/3,0))</f>
        <v/>
      </c>
      <c r="E72">
        <f>IF(B72="","",YEAR(B72))</f>
        <v/>
      </c>
      <c r="F72">
        <f>IF(B72="",0,COUNTIFS(DATA_TRANSPORT!$A:$A,B72,DATA_TRANSPORT!$E:$E,$B$6,DATA_TRANSPORT!$AB:$AB,$B$7))</f>
        <v/>
      </c>
      <c r="G72">
        <f>IF(F72=0,0,SUMIFS(DATA_TRANSPORT!$Q:$Q,DATA_TRANSPORT!$A:$A,B72,DATA_TRANSPORT!$E:$E,$B$6,DATA_TRANSPORT!$AB:$AB,$B$7))</f>
        <v/>
      </c>
      <c r="H72">
        <f>IF(F72=0,0,SUMIFS(DATA_TRANSPORT!$M:$M,DATA_TRANSPORT!$A:$A,B72,DATA_TRANSPORT!$E:$E,$B$6,DATA_TRANSPORT!$AB:$AB,$B$7))</f>
        <v/>
      </c>
      <c r="I72">
        <f>IF(F72=0,0,SUMIFS(DATA_TRANSPORT!$N:$N,DATA_TRANSPORT!$A:$A,B72,DATA_TRANSPORT!$E:$E,$B$6,DATA_TRANSPORT!$AB:$AB,$B$7))</f>
        <v/>
      </c>
      <c r="J72">
        <f>IF(F72=0,0,SUMIFS(DATA_TRANSPORT!$P:$P,DATA_TRANSPORT!$A:$A,B72,DATA_TRANSPORT!$E:$E,$B$6,DATA_TRANSPORT!$AB:$AB,$B$7))</f>
        <v/>
      </c>
      <c r="K72">
        <f>IF(F72=0,0,SUMIFS(DATA_TRANSPORT!$I:$I,DATA_TRANSPORT!$A:$A,B72,DATA_TRANSPORT!$E:$E,$B$6,DATA_TRANSPORT!$AB:$AB,$B$7))</f>
        <v/>
      </c>
      <c r="L72">
        <f>IF(F72=0,0,SUMIFS(DATA_TRANSPORT!$I:$I,DATA_TRANSPORT!$A:$A,B72,DATA_TRANSPORT!$E:$E,$B$6,DATA_TRANSPORT!$AB:$AB,$B$7,DATA_TRANSPORT!$U:$U,"Ran"))</f>
        <v/>
      </c>
      <c r="M72">
        <f>IF(F72=0,0,SUMIFS(DATA_TRANSPORT!$L:$L,DATA_TRANSPORT!$A:$A,B72,DATA_TRANSPORT!$E:$E,$B$6,DATA_TRANSPORT!$AB:$AB,$B$7))</f>
        <v/>
      </c>
      <c r="N72">
        <f>IF(F72=0,0,SUMIFS(DATA_TRANSPORT!$R:$R,DATA_TRANSPORT!$A:$A,B72,DATA_TRANSPORT!$E:$E,$B$6,DATA_TRANSPORT!$AB:$AB,$B$7))</f>
        <v/>
      </c>
      <c r="O72">
        <f>IF(F72=0,0,SUMIFS(DATA_TRANSPORT!$S:$S,DATA_TRANSPORT!$A:$A,B72,DATA_TRANSPORT!$E:$E,$B$6,DATA_TRANSPORT!$AB:$AB,$B$7))</f>
        <v/>
      </c>
      <c r="P72">
        <f>IF(OR(B72="",$B$17),0,SUMIFS(DATA_TRANSPORT_COSTS!$M:$M,DATA_TRANSPORT_COSTS!$A:$A,B72,DATA_TRANSPORT_COSTS!$D:$D,$B$6))</f>
        <v/>
      </c>
      <c r="Q72">
        <f>O72+P72</f>
        <v/>
      </c>
      <c r="R72">
        <f>P72+IF(F72=0,0,SUMIFS(DATA_TRANSPORT!$S:$S,DATA_TRANSPORT!$A:$A,B72,DATA_TRANSPORT!$E:$E,$B$6,DATA_TRANSPORT!$AB:$AB,$B$7,DATA_TRANSPORT!$T:$T,"Central"))</f>
        <v/>
      </c>
      <c r="S72">
        <f>IF(F72=0,0,SUMIFS(DATA_TRANSPORT!$S:$S,DATA_TRANSPORT!$A:$A,B72,DATA_TRANSPORT!$E:$E,$B$6,DATA_TRANSPORT!$AB:$AB,$B$7,DATA_TRANSPORT!$T:$T,"Members"))</f>
        <v/>
      </c>
      <c r="T72">
        <f>IF(OR(B72="",$B$17),0,SUMIFS(DATA_TRANSPORT_BUDGET!$G:$G,DATA_TRANSPORT_BUDGET!$A:$A,B72,DATA_TRANSPORT_BUDGET!$D:$D,$B$6))</f>
        <v/>
      </c>
      <c r="U72">
        <f>IF(F72=0,0,SUMIFS(DATA_TRANSPORT!$S:$S,DATA_TRANSPORT!$A:$A,B72,DATA_TRANSPORT!$E:$E,$B$6,DATA_TRANSPORT!$AB:$AB,$B$7,DATA_TRANSPORT!$C:$C,"FT Procured"))</f>
        <v/>
      </c>
      <c r="V72">
        <f>IF(F72=0,0,COUNTIFS(DATA_TRANSPORT!$A:$A,B72,DATA_TRANSPORT!$E:$E,$B$6,DATA_TRANSPORT!$AB:$AB,$B$7,DATA_TRANSPORT!$U:$U,"Breakdown"))</f>
        <v/>
      </c>
      <c r="W72">
        <f>IF(M72=0,0,N72/M72)</f>
        <v/>
      </c>
      <c r="X72">
        <f>IF(F72&gt;0,1,0)</f>
        <v/>
      </c>
      <c r="Y72">
        <f>IF(AND(A72&gt;=1,A72&lt;=$B$11),X72,0)</f>
        <v/>
      </c>
      <c r="Z72">
        <f>IF(AND(C72=$B$12,E72=$B$14),X72,0)</f>
        <v/>
      </c>
      <c r="AA72">
        <f>IF(AND(D72=$B$13,E72=$B$14),X72,0)</f>
        <v/>
      </c>
      <c r="AB72">
        <f>IF(E72=$B$14,X72,0)</f>
        <v/>
      </c>
      <c r="AE72">
        <f>IFERROR(INDEX(MASTER_AREAS!$B:$B,71)&amp;"","")</f>
        <v/>
      </c>
      <c r="AF72">
        <f>IF(OR(AE72="",$B$10=0),0,SUMIFS(DATA_TRANSPORT!$Q:$Q,DATA_TRANSPORT!$A:$A,$B$10,DATA_TRANSPORT!$E:$E,AE72))</f>
        <v/>
      </c>
      <c r="AG72">
        <f>IF(OR(AE72="",$B$10=0),0,SUMIFS(DATA_TRANSPORT!$I:$I,DATA_TRANSPORT!$A:$A,$B$10,DATA_TRANSPORT!$E:$E,AE72,DATA_TRANSPORT!$U:$U,"Ran"))</f>
        <v/>
      </c>
      <c r="AH72">
        <f>IF(OR(AE72="",$B$10=0),0,SUMIFS(DATA_TRANSPORT!$L:$L,DATA_TRANSPORT!$A:$A,$B$10,DATA_TRANSPORT!$E:$E,AE72))</f>
        <v/>
      </c>
      <c r="AI72">
        <f>IF(OR(AE72="",$B$10=0),0,SUMIFS(DATA_TRANSPORT!$R:$R,DATA_TRANSPORT!$A:$A,$B$10,DATA_TRANSPORT!$E:$E,AE72))</f>
        <v/>
      </c>
      <c r="AJ72">
        <f>IF(AH72=0,"",AI72/AH72)</f>
        <v/>
      </c>
      <c r="AK72">
        <f>IF(OR(AE72="",$B$10=0),0,SUMIFS(DATA_TRANSPORT!$S:$S,DATA_TRANSPORT!$A:$A,$B$10,DATA_TRANSPORT!$E:$E,AE72))+IF(OR(AE72="",$B$10=0),0,SUMIFS(DATA_TRANSPORT_COSTS!$M:$M,DATA_TRANSPORT_COSTS!$A:$A,$B$10,DATA_TRANSPORT_COSTS!$D:$D,AE72))</f>
        <v/>
      </c>
      <c r="AL72">
        <f>IF(OR(AF72=0,AK72=0),"",AK72/AF72)</f>
        <v/>
      </c>
      <c r="AM72">
        <f>IF(OR(AE72="",$B$10=0),0,SUMIFS(DATA_TRANSPORT!$S:$S,DATA_TRANSPORT!$A:$A,$B$10,DATA_TRANSPORT!$E:$E,AE72,DATA_TRANSPORT!$C:$C,"FT Procured"))</f>
        <v/>
      </c>
      <c r="AN72">
        <f>IF(OR(AE72="",$B$10=0),0,SUMIFS(DATA_TRANSPORT_BUDGET!$G:$G,DATA_TRANSPORT_BUDGET!$A:$A,$B$10,DATA_TRANSPORT_BUDGET!$D:$D,AE72))</f>
        <v/>
      </c>
      <c r="AO72">
        <f>IF(AN72=0,"",AM72-AN72)</f>
        <v/>
      </c>
      <c r="AP72">
        <f>IF(OR(AE72="",$B$10=0),0,COUNTIFS(DATA_TRANSPORT!$A:$A,$B$10,DATA_TRANSPORT!$E:$E,AE72,DATA_TRANSPORT!$C:$C,"FT Procured",DATA_TRANSPORT!$Y:$Y,"Y"))</f>
        <v/>
      </c>
      <c r="AQ72">
        <f>IF(OR(AE72="",$B$10=0),0,SUMIFS(DATA_TRANSPORT_BUDGET!$E:$E,DATA_TRANSPORT_BUDGET!$A:$A,$B$10,DATA_TRANSPORT_BUDGET!$D:$D,AE72))</f>
        <v/>
      </c>
      <c r="AR72">
        <f>IF(OR(AE72="",$B$10=0),0,COUNTIFS(DATA_TRANSPORT!$A:$A,$B$10,DATA_TRANSPORT!$E:$E,AE72,DATA_TRANSPORT!$U:$U,"Breakdown"))</f>
        <v/>
      </c>
      <c r="AS72">
        <f>IF(IF(OR(AE72="",$B$10=0),0,SUMIFS(DATA_TRANSPORT!$L:$L,DATA_TRANSPORT!$A:$A,$B$10-7,DATA_TRANSPORT!$E:$E,AE72))=0,"",IF(OR(AE72="",$B$10=0),0,SUMIFS(DATA_TRANSPORT!$R:$R,DATA_TRANSPORT!$A:$A,$B$10-7,DATA_TRANSPORT!$E:$E,AE72))/IF(OR(AE72="",$B$10=0),0,SUMIFS(DATA_TRANSPORT!$L:$L,DATA_TRANSPORT!$A:$A,$B$10-7,DATA_TRANSPORT!$E:$E,AE72)))</f>
        <v/>
      </c>
      <c r="AT72">
        <f>IF(IF(OR(AE72="",$B$10=0),0,SUMIFS(DATA_TRANSPORT!$L:$L,DATA_TRANSPORT!$A:$A,$B$10-14,DATA_TRANSPORT!$E:$E,AE72))=0,"",IF(OR(AE72="",$B$10=0),0,SUMIFS(DATA_TRANSPORT!$R:$R,DATA_TRANSPORT!$A:$A,$B$10-14,DATA_TRANSPORT!$E:$E,AE72))/IF(OR(AE72="",$B$10=0),0,SUMIFS(DATA_TRANSPORT!$L:$L,DATA_TRANSPORT!$A:$A,$B$10-14,DATA_TRANSPORT!$E:$E,AE72)))</f>
        <v/>
      </c>
      <c r="AU72">
        <f>IF(IF(OR(AE72="",$B$10=0),0,SUMIFS(DATA_TRANSPORT!$L:$L,DATA_TRANSPORT!$A:$A,$B$10-21,DATA_TRANSPORT!$E:$E,AE72))=0,"",IF(OR(AE72="",$B$10=0),0,SUMIFS(DATA_TRANSPORT!$R:$R,DATA_TRANSPORT!$A:$A,$B$10-21,DATA_TRANSPORT!$E:$E,AE72))/IF(OR(AE72="",$B$10=0),0,SUMIFS(DATA_TRANSPORT!$L:$L,DATA_TRANSPORT!$A:$A,$B$10-21,DATA_TRANSPORT!$E:$E,AE72)))</f>
        <v/>
      </c>
      <c r="AV72">
        <f>IF(AND(ISNUMBER(AJ72),AJ72&lt;UtilLow),1,0)+IF(AND(ISNUMBER(AS72),AS72&lt;UtilLow),1,0)+IF(AND(ISNUMBER(AT72),AT72&lt;UtilLow),1,0)+IF(AND(ISNUMBER(AU72),AU72&lt;UtilLow),1,0)</f>
        <v/>
      </c>
      <c r="AW72">
        <f>IF(AV72&gt;=UtilLowWeeks,AE72&amp;": seats only "&amp;TEXT(AJ72,"0%")&amp;" full, under "&amp;TEXT(UtilLow,"0%")&amp;" for "&amp;AV72&amp;" weeks running",IF(AND(ISNUMBER(AJ72),AJ72&gt;UtilHigh),AE72&amp;": demand exceeds seats ("&amp;TEXT(AJ72,"0%")&amp;" full) — consider more buses",IF(AND(ISNUMBER(AO72),AO72&gt;0),AE72&amp;": FT spend ₦"&amp;TEXT(AO72,"#,##0")&amp;" over the weekly budget",IF(AR72&gt;0,AE72&amp;": "&amp;AR72&amp;" coaster breakdown(s) this week",""))))</f>
        <v/>
      </c>
      <c r="AX72">
        <f>IF(ISNUMBER(AJ72),AJ72+ROW()/1000000000,"")</f>
        <v/>
      </c>
      <c r="AY72">
        <f>IF(ISNUMBER(AL72),AL72+ROW()/1000000,"")</f>
        <v/>
      </c>
      <c r="AZ72">
        <f>IF(AND(ISNUMBER(AO72),AO72&gt;0),AO72+ROW()/1000000,"")</f>
        <v/>
      </c>
      <c r="BA72">
        <f>IF(AF72&gt;0,AF72+ROW()/1000000,"")</f>
        <v/>
      </c>
      <c r="BB72">
        <f>IF(AW72="","",ROW())</f>
        <v/>
      </c>
    </row>
    <row r="73">
      <c r="A73" t="n">
        <v>52</v>
      </c>
      <c r="B73" s="170">
        <f>IF($B$10=0,"",$B$10-7*A73)</f>
        <v/>
      </c>
      <c r="C73">
        <f>IF(B73="","",MONTH(B73))</f>
        <v/>
      </c>
      <c r="D73">
        <f>IF(B73="","",ROUNDUP(MONTH(B73)/3,0))</f>
        <v/>
      </c>
      <c r="E73">
        <f>IF(B73="","",YEAR(B73))</f>
        <v/>
      </c>
      <c r="F73">
        <f>IF(B73="",0,COUNTIFS(DATA_TRANSPORT!$A:$A,B73,DATA_TRANSPORT!$E:$E,$B$6,DATA_TRANSPORT!$AB:$AB,$B$7))</f>
        <v/>
      </c>
      <c r="G73">
        <f>IF(F73=0,0,SUMIFS(DATA_TRANSPORT!$Q:$Q,DATA_TRANSPORT!$A:$A,B73,DATA_TRANSPORT!$E:$E,$B$6,DATA_TRANSPORT!$AB:$AB,$B$7))</f>
        <v/>
      </c>
      <c r="H73">
        <f>IF(F73=0,0,SUMIFS(DATA_TRANSPORT!$M:$M,DATA_TRANSPORT!$A:$A,B73,DATA_TRANSPORT!$E:$E,$B$6,DATA_TRANSPORT!$AB:$AB,$B$7))</f>
        <v/>
      </c>
      <c r="I73">
        <f>IF(F73=0,0,SUMIFS(DATA_TRANSPORT!$N:$N,DATA_TRANSPORT!$A:$A,B73,DATA_TRANSPORT!$E:$E,$B$6,DATA_TRANSPORT!$AB:$AB,$B$7))</f>
        <v/>
      </c>
      <c r="J73">
        <f>IF(F73=0,0,SUMIFS(DATA_TRANSPORT!$P:$P,DATA_TRANSPORT!$A:$A,B73,DATA_TRANSPORT!$E:$E,$B$6,DATA_TRANSPORT!$AB:$AB,$B$7))</f>
        <v/>
      </c>
      <c r="K73">
        <f>IF(F73=0,0,SUMIFS(DATA_TRANSPORT!$I:$I,DATA_TRANSPORT!$A:$A,B73,DATA_TRANSPORT!$E:$E,$B$6,DATA_TRANSPORT!$AB:$AB,$B$7))</f>
        <v/>
      </c>
      <c r="L73">
        <f>IF(F73=0,0,SUMIFS(DATA_TRANSPORT!$I:$I,DATA_TRANSPORT!$A:$A,B73,DATA_TRANSPORT!$E:$E,$B$6,DATA_TRANSPORT!$AB:$AB,$B$7,DATA_TRANSPORT!$U:$U,"Ran"))</f>
        <v/>
      </c>
      <c r="M73">
        <f>IF(F73=0,0,SUMIFS(DATA_TRANSPORT!$L:$L,DATA_TRANSPORT!$A:$A,B73,DATA_TRANSPORT!$E:$E,$B$6,DATA_TRANSPORT!$AB:$AB,$B$7))</f>
        <v/>
      </c>
      <c r="N73">
        <f>IF(F73=0,0,SUMIFS(DATA_TRANSPORT!$R:$R,DATA_TRANSPORT!$A:$A,B73,DATA_TRANSPORT!$E:$E,$B$6,DATA_TRANSPORT!$AB:$AB,$B$7))</f>
        <v/>
      </c>
      <c r="O73">
        <f>IF(F73=0,0,SUMIFS(DATA_TRANSPORT!$S:$S,DATA_TRANSPORT!$A:$A,B73,DATA_TRANSPORT!$E:$E,$B$6,DATA_TRANSPORT!$AB:$AB,$B$7))</f>
        <v/>
      </c>
      <c r="P73">
        <f>IF(OR(B73="",$B$17),0,SUMIFS(DATA_TRANSPORT_COSTS!$M:$M,DATA_TRANSPORT_COSTS!$A:$A,B73,DATA_TRANSPORT_COSTS!$D:$D,$B$6))</f>
        <v/>
      </c>
      <c r="Q73">
        <f>O73+P73</f>
        <v/>
      </c>
      <c r="R73">
        <f>P73+IF(F73=0,0,SUMIFS(DATA_TRANSPORT!$S:$S,DATA_TRANSPORT!$A:$A,B73,DATA_TRANSPORT!$E:$E,$B$6,DATA_TRANSPORT!$AB:$AB,$B$7,DATA_TRANSPORT!$T:$T,"Central"))</f>
        <v/>
      </c>
      <c r="S73">
        <f>IF(F73=0,0,SUMIFS(DATA_TRANSPORT!$S:$S,DATA_TRANSPORT!$A:$A,B73,DATA_TRANSPORT!$E:$E,$B$6,DATA_TRANSPORT!$AB:$AB,$B$7,DATA_TRANSPORT!$T:$T,"Members"))</f>
        <v/>
      </c>
      <c r="T73">
        <f>IF(OR(B73="",$B$17),0,SUMIFS(DATA_TRANSPORT_BUDGET!$G:$G,DATA_TRANSPORT_BUDGET!$A:$A,B73,DATA_TRANSPORT_BUDGET!$D:$D,$B$6))</f>
        <v/>
      </c>
      <c r="U73">
        <f>IF(F73=0,0,SUMIFS(DATA_TRANSPORT!$S:$S,DATA_TRANSPORT!$A:$A,B73,DATA_TRANSPORT!$E:$E,$B$6,DATA_TRANSPORT!$AB:$AB,$B$7,DATA_TRANSPORT!$C:$C,"FT Procured"))</f>
        <v/>
      </c>
      <c r="V73">
        <f>IF(F73=0,0,COUNTIFS(DATA_TRANSPORT!$A:$A,B73,DATA_TRANSPORT!$E:$E,$B$6,DATA_TRANSPORT!$AB:$AB,$B$7,DATA_TRANSPORT!$U:$U,"Breakdown"))</f>
        <v/>
      </c>
      <c r="W73">
        <f>IF(M73=0,0,N73/M73)</f>
        <v/>
      </c>
      <c r="X73">
        <f>IF(F73&gt;0,1,0)</f>
        <v/>
      </c>
      <c r="Y73">
        <f>IF(AND(A73&gt;=1,A73&lt;=$B$11),X73,0)</f>
        <v/>
      </c>
      <c r="Z73">
        <f>IF(AND(C73=$B$12,E73=$B$14),X73,0)</f>
        <v/>
      </c>
      <c r="AA73">
        <f>IF(AND(D73=$B$13,E73=$B$14),X73,0)</f>
        <v/>
      </c>
      <c r="AB73">
        <f>IF(E73=$B$14,X73,0)</f>
        <v/>
      </c>
      <c r="AE73">
        <f>IFERROR(INDEX(MASTER_AREAS!$B:$B,72)&amp;"","")</f>
        <v/>
      </c>
      <c r="AF73">
        <f>IF(OR(AE73="",$B$10=0),0,SUMIFS(DATA_TRANSPORT!$Q:$Q,DATA_TRANSPORT!$A:$A,$B$10,DATA_TRANSPORT!$E:$E,AE73))</f>
        <v/>
      </c>
      <c r="AG73">
        <f>IF(OR(AE73="",$B$10=0),0,SUMIFS(DATA_TRANSPORT!$I:$I,DATA_TRANSPORT!$A:$A,$B$10,DATA_TRANSPORT!$E:$E,AE73,DATA_TRANSPORT!$U:$U,"Ran"))</f>
        <v/>
      </c>
      <c r="AH73">
        <f>IF(OR(AE73="",$B$10=0),0,SUMIFS(DATA_TRANSPORT!$L:$L,DATA_TRANSPORT!$A:$A,$B$10,DATA_TRANSPORT!$E:$E,AE73))</f>
        <v/>
      </c>
      <c r="AI73">
        <f>IF(OR(AE73="",$B$10=0),0,SUMIFS(DATA_TRANSPORT!$R:$R,DATA_TRANSPORT!$A:$A,$B$10,DATA_TRANSPORT!$E:$E,AE73))</f>
        <v/>
      </c>
      <c r="AJ73">
        <f>IF(AH73=0,"",AI73/AH73)</f>
        <v/>
      </c>
      <c r="AK73">
        <f>IF(OR(AE73="",$B$10=0),0,SUMIFS(DATA_TRANSPORT!$S:$S,DATA_TRANSPORT!$A:$A,$B$10,DATA_TRANSPORT!$E:$E,AE73))+IF(OR(AE73="",$B$10=0),0,SUMIFS(DATA_TRANSPORT_COSTS!$M:$M,DATA_TRANSPORT_COSTS!$A:$A,$B$10,DATA_TRANSPORT_COSTS!$D:$D,AE73))</f>
        <v/>
      </c>
      <c r="AL73">
        <f>IF(OR(AF73=0,AK73=0),"",AK73/AF73)</f>
        <v/>
      </c>
      <c r="AM73">
        <f>IF(OR(AE73="",$B$10=0),0,SUMIFS(DATA_TRANSPORT!$S:$S,DATA_TRANSPORT!$A:$A,$B$10,DATA_TRANSPORT!$E:$E,AE73,DATA_TRANSPORT!$C:$C,"FT Procured"))</f>
        <v/>
      </c>
      <c r="AN73">
        <f>IF(OR(AE73="",$B$10=0),0,SUMIFS(DATA_TRANSPORT_BUDGET!$G:$G,DATA_TRANSPORT_BUDGET!$A:$A,$B$10,DATA_TRANSPORT_BUDGET!$D:$D,AE73))</f>
        <v/>
      </c>
      <c r="AO73">
        <f>IF(AN73=0,"",AM73-AN73)</f>
        <v/>
      </c>
      <c r="AP73">
        <f>IF(OR(AE73="",$B$10=0),0,COUNTIFS(DATA_TRANSPORT!$A:$A,$B$10,DATA_TRANSPORT!$E:$E,AE73,DATA_TRANSPORT!$C:$C,"FT Procured",DATA_TRANSPORT!$Y:$Y,"Y"))</f>
        <v/>
      </c>
      <c r="AQ73">
        <f>IF(OR(AE73="",$B$10=0),0,SUMIFS(DATA_TRANSPORT_BUDGET!$E:$E,DATA_TRANSPORT_BUDGET!$A:$A,$B$10,DATA_TRANSPORT_BUDGET!$D:$D,AE73))</f>
        <v/>
      </c>
      <c r="AR73">
        <f>IF(OR(AE73="",$B$10=0),0,COUNTIFS(DATA_TRANSPORT!$A:$A,$B$10,DATA_TRANSPORT!$E:$E,AE73,DATA_TRANSPORT!$U:$U,"Breakdown"))</f>
        <v/>
      </c>
      <c r="AS73">
        <f>IF(IF(OR(AE73="",$B$10=0),0,SUMIFS(DATA_TRANSPORT!$L:$L,DATA_TRANSPORT!$A:$A,$B$10-7,DATA_TRANSPORT!$E:$E,AE73))=0,"",IF(OR(AE73="",$B$10=0),0,SUMIFS(DATA_TRANSPORT!$R:$R,DATA_TRANSPORT!$A:$A,$B$10-7,DATA_TRANSPORT!$E:$E,AE73))/IF(OR(AE73="",$B$10=0),0,SUMIFS(DATA_TRANSPORT!$L:$L,DATA_TRANSPORT!$A:$A,$B$10-7,DATA_TRANSPORT!$E:$E,AE73)))</f>
        <v/>
      </c>
      <c r="AT73">
        <f>IF(IF(OR(AE73="",$B$10=0),0,SUMIFS(DATA_TRANSPORT!$L:$L,DATA_TRANSPORT!$A:$A,$B$10-14,DATA_TRANSPORT!$E:$E,AE73))=0,"",IF(OR(AE73="",$B$10=0),0,SUMIFS(DATA_TRANSPORT!$R:$R,DATA_TRANSPORT!$A:$A,$B$10-14,DATA_TRANSPORT!$E:$E,AE73))/IF(OR(AE73="",$B$10=0),0,SUMIFS(DATA_TRANSPORT!$L:$L,DATA_TRANSPORT!$A:$A,$B$10-14,DATA_TRANSPORT!$E:$E,AE73)))</f>
        <v/>
      </c>
      <c r="AU73">
        <f>IF(IF(OR(AE73="",$B$10=0),0,SUMIFS(DATA_TRANSPORT!$L:$L,DATA_TRANSPORT!$A:$A,$B$10-21,DATA_TRANSPORT!$E:$E,AE73))=0,"",IF(OR(AE73="",$B$10=0),0,SUMIFS(DATA_TRANSPORT!$R:$R,DATA_TRANSPORT!$A:$A,$B$10-21,DATA_TRANSPORT!$E:$E,AE73))/IF(OR(AE73="",$B$10=0),0,SUMIFS(DATA_TRANSPORT!$L:$L,DATA_TRANSPORT!$A:$A,$B$10-21,DATA_TRANSPORT!$E:$E,AE73)))</f>
        <v/>
      </c>
      <c r="AV73">
        <f>IF(AND(ISNUMBER(AJ73),AJ73&lt;UtilLow),1,0)+IF(AND(ISNUMBER(AS73),AS73&lt;UtilLow),1,0)+IF(AND(ISNUMBER(AT73),AT73&lt;UtilLow),1,0)+IF(AND(ISNUMBER(AU73),AU73&lt;UtilLow),1,0)</f>
        <v/>
      </c>
      <c r="AW73">
        <f>IF(AV73&gt;=UtilLowWeeks,AE73&amp;": seats only "&amp;TEXT(AJ73,"0%")&amp;" full, under "&amp;TEXT(UtilLow,"0%")&amp;" for "&amp;AV73&amp;" weeks running",IF(AND(ISNUMBER(AJ73),AJ73&gt;UtilHigh),AE73&amp;": demand exceeds seats ("&amp;TEXT(AJ73,"0%")&amp;" full) — consider more buses",IF(AND(ISNUMBER(AO73),AO73&gt;0),AE73&amp;": FT spend ₦"&amp;TEXT(AO73,"#,##0")&amp;" over the weekly budget",IF(AR73&gt;0,AE73&amp;": "&amp;AR73&amp;" coaster breakdown(s) this week",""))))</f>
        <v/>
      </c>
      <c r="AX73">
        <f>IF(ISNUMBER(AJ73),AJ73+ROW()/1000000000,"")</f>
        <v/>
      </c>
      <c r="AY73">
        <f>IF(ISNUMBER(AL73),AL73+ROW()/1000000,"")</f>
        <v/>
      </c>
      <c r="AZ73">
        <f>IF(AND(ISNUMBER(AO73),AO73&gt;0),AO73+ROW()/1000000,"")</f>
        <v/>
      </c>
      <c r="BA73">
        <f>IF(AF73&gt;0,AF73+ROW()/1000000,"")</f>
        <v/>
      </c>
      <c r="BB73">
        <f>IF(AW73="","",ROW())</f>
        <v/>
      </c>
    </row>
    <row r="74">
      <c r="A74" t="n">
        <v>53</v>
      </c>
      <c r="B74" s="170">
        <f>IF($B$10=0,"",$B$10-7*A74)</f>
        <v/>
      </c>
      <c r="C74">
        <f>IF(B74="","",MONTH(B74))</f>
        <v/>
      </c>
      <c r="D74">
        <f>IF(B74="","",ROUNDUP(MONTH(B74)/3,0))</f>
        <v/>
      </c>
      <c r="E74">
        <f>IF(B74="","",YEAR(B74))</f>
        <v/>
      </c>
      <c r="F74">
        <f>IF(B74="",0,COUNTIFS(DATA_TRANSPORT!$A:$A,B74,DATA_TRANSPORT!$E:$E,$B$6,DATA_TRANSPORT!$AB:$AB,$B$7))</f>
        <v/>
      </c>
      <c r="G74">
        <f>IF(F74=0,0,SUMIFS(DATA_TRANSPORT!$Q:$Q,DATA_TRANSPORT!$A:$A,B74,DATA_TRANSPORT!$E:$E,$B$6,DATA_TRANSPORT!$AB:$AB,$B$7))</f>
        <v/>
      </c>
      <c r="H74">
        <f>IF(F74=0,0,SUMIFS(DATA_TRANSPORT!$M:$M,DATA_TRANSPORT!$A:$A,B74,DATA_TRANSPORT!$E:$E,$B$6,DATA_TRANSPORT!$AB:$AB,$B$7))</f>
        <v/>
      </c>
      <c r="I74">
        <f>IF(F74=0,0,SUMIFS(DATA_TRANSPORT!$N:$N,DATA_TRANSPORT!$A:$A,B74,DATA_TRANSPORT!$E:$E,$B$6,DATA_TRANSPORT!$AB:$AB,$B$7))</f>
        <v/>
      </c>
      <c r="J74">
        <f>IF(F74=0,0,SUMIFS(DATA_TRANSPORT!$P:$P,DATA_TRANSPORT!$A:$A,B74,DATA_TRANSPORT!$E:$E,$B$6,DATA_TRANSPORT!$AB:$AB,$B$7))</f>
        <v/>
      </c>
      <c r="K74">
        <f>IF(F74=0,0,SUMIFS(DATA_TRANSPORT!$I:$I,DATA_TRANSPORT!$A:$A,B74,DATA_TRANSPORT!$E:$E,$B$6,DATA_TRANSPORT!$AB:$AB,$B$7))</f>
        <v/>
      </c>
      <c r="L74">
        <f>IF(F74=0,0,SUMIFS(DATA_TRANSPORT!$I:$I,DATA_TRANSPORT!$A:$A,B74,DATA_TRANSPORT!$E:$E,$B$6,DATA_TRANSPORT!$AB:$AB,$B$7,DATA_TRANSPORT!$U:$U,"Ran"))</f>
        <v/>
      </c>
      <c r="M74">
        <f>IF(F74=0,0,SUMIFS(DATA_TRANSPORT!$L:$L,DATA_TRANSPORT!$A:$A,B74,DATA_TRANSPORT!$E:$E,$B$6,DATA_TRANSPORT!$AB:$AB,$B$7))</f>
        <v/>
      </c>
      <c r="N74">
        <f>IF(F74=0,0,SUMIFS(DATA_TRANSPORT!$R:$R,DATA_TRANSPORT!$A:$A,B74,DATA_TRANSPORT!$E:$E,$B$6,DATA_TRANSPORT!$AB:$AB,$B$7))</f>
        <v/>
      </c>
      <c r="O74">
        <f>IF(F74=0,0,SUMIFS(DATA_TRANSPORT!$S:$S,DATA_TRANSPORT!$A:$A,B74,DATA_TRANSPORT!$E:$E,$B$6,DATA_TRANSPORT!$AB:$AB,$B$7))</f>
        <v/>
      </c>
      <c r="P74">
        <f>IF(OR(B74="",$B$17),0,SUMIFS(DATA_TRANSPORT_COSTS!$M:$M,DATA_TRANSPORT_COSTS!$A:$A,B74,DATA_TRANSPORT_COSTS!$D:$D,$B$6))</f>
        <v/>
      </c>
      <c r="Q74">
        <f>O74+P74</f>
        <v/>
      </c>
      <c r="R74">
        <f>P74+IF(F74=0,0,SUMIFS(DATA_TRANSPORT!$S:$S,DATA_TRANSPORT!$A:$A,B74,DATA_TRANSPORT!$E:$E,$B$6,DATA_TRANSPORT!$AB:$AB,$B$7,DATA_TRANSPORT!$T:$T,"Central"))</f>
        <v/>
      </c>
      <c r="S74">
        <f>IF(F74=0,0,SUMIFS(DATA_TRANSPORT!$S:$S,DATA_TRANSPORT!$A:$A,B74,DATA_TRANSPORT!$E:$E,$B$6,DATA_TRANSPORT!$AB:$AB,$B$7,DATA_TRANSPORT!$T:$T,"Members"))</f>
        <v/>
      </c>
      <c r="T74">
        <f>IF(OR(B74="",$B$17),0,SUMIFS(DATA_TRANSPORT_BUDGET!$G:$G,DATA_TRANSPORT_BUDGET!$A:$A,B74,DATA_TRANSPORT_BUDGET!$D:$D,$B$6))</f>
        <v/>
      </c>
      <c r="U74">
        <f>IF(F74=0,0,SUMIFS(DATA_TRANSPORT!$S:$S,DATA_TRANSPORT!$A:$A,B74,DATA_TRANSPORT!$E:$E,$B$6,DATA_TRANSPORT!$AB:$AB,$B$7,DATA_TRANSPORT!$C:$C,"FT Procured"))</f>
        <v/>
      </c>
      <c r="V74">
        <f>IF(F74=0,0,COUNTIFS(DATA_TRANSPORT!$A:$A,B74,DATA_TRANSPORT!$E:$E,$B$6,DATA_TRANSPORT!$AB:$AB,$B$7,DATA_TRANSPORT!$U:$U,"Breakdown"))</f>
        <v/>
      </c>
      <c r="W74">
        <f>IF(M74=0,0,N74/M74)</f>
        <v/>
      </c>
      <c r="X74">
        <f>IF(F74&gt;0,1,0)</f>
        <v/>
      </c>
      <c r="Y74">
        <f>IF(AND(A74&gt;=1,A74&lt;=$B$11),X74,0)</f>
        <v/>
      </c>
      <c r="Z74">
        <f>IF(AND(C74=$B$12,E74=$B$14),X74,0)</f>
        <v/>
      </c>
      <c r="AA74">
        <f>IF(AND(D74=$B$13,E74=$B$14),X74,0)</f>
        <v/>
      </c>
      <c r="AB74">
        <f>IF(E74=$B$14,X74,0)</f>
        <v/>
      </c>
      <c r="AE74">
        <f>IFERROR(INDEX(MASTER_AREAS!$B:$B,73)&amp;"","")</f>
        <v/>
      </c>
      <c r="AF74">
        <f>IF(OR(AE74="",$B$10=0),0,SUMIFS(DATA_TRANSPORT!$Q:$Q,DATA_TRANSPORT!$A:$A,$B$10,DATA_TRANSPORT!$E:$E,AE74))</f>
        <v/>
      </c>
      <c r="AG74">
        <f>IF(OR(AE74="",$B$10=0),0,SUMIFS(DATA_TRANSPORT!$I:$I,DATA_TRANSPORT!$A:$A,$B$10,DATA_TRANSPORT!$E:$E,AE74,DATA_TRANSPORT!$U:$U,"Ran"))</f>
        <v/>
      </c>
      <c r="AH74">
        <f>IF(OR(AE74="",$B$10=0),0,SUMIFS(DATA_TRANSPORT!$L:$L,DATA_TRANSPORT!$A:$A,$B$10,DATA_TRANSPORT!$E:$E,AE74))</f>
        <v/>
      </c>
      <c r="AI74">
        <f>IF(OR(AE74="",$B$10=0),0,SUMIFS(DATA_TRANSPORT!$R:$R,DATA_TRANSPORT!$A:$A,$B$10,DATA_TRANSPORT!$E:$E,AE74))</f>
        <v/>
      </c>
      <c r="AJ74">
        <f>IF(AH74=0,"",AI74/AH74)</f>
        <v/>
      </c>
      <c r="AK74">
        <f>IF(OR(AE74="",$B$10=0),0,SUMIFS(DATA_TRANSPORT!$S:$S,DATA_TRANSPORT!$A:$A,$B$10,DATA_TRANSPORT!$E:$E,AE74))+IF(OR(AE74="",$B$10=0),0,SUMIFS(DATA_TRANSPORT_COSTS!$M:$M,DATA_TRANSPORT_COSTS!$A:$A,$B$10,DATA_TRANSPORT_COSTS!$D:$D,AE74))</f>
        <v/>
      </c>
      <c r="AL74">
        <f>IF(OR(AF74=0,AK74=0),"",AK74/AF74)</f>
        <v/>
      </c>
      <c r="AM74">
        <f>IF(OR(AE74="",$B$10=0),0,SUMIFS(DATA_TRANSPORT!$S:$S,DATA_TRANSPORT!$A:$A,$B$10,DATA_TRANSPORT!$E:$E,AE74,DATA_TRANSPORT!$C:$C,"FT Procured"))</f>
        <v/>
      </c>
      <c r="AN74">
        <f>IF(OR(AE74="",$B$10=0),0,SUMIFS(DATA_TRANSPORT_BUDGET!$G:$G,DATA_TRANSPORT_BUDGET!$A:$A,$B$10,DATA_TRANSPORT_BUDGET!$D:$D,AE74))</f>
        <v/>
      </c>
      <c r="AO74">
        <f>IF(AN74=0,"",AM74-AN74)</f>
        <v/>
      </c>
      <c r="AP74">
        <f>IF(OR(AE74="",$B$10=0),0,COUNTIFS(DATA_TRANSPORT!$A:$A,$B$10,DATA_TRANSPORT!$E:$E,AE74,DATA_TRANSPORT!$C:$C,"FT Procured",DATA_TRANSPORT!$Y:$Y,"Y"))</f>
        <v/>
      </c>
      <c r="AQ74">
        <f>IF(OR(AE74="",$B$10=0),0,SUMIFS(DATA_TRANSPORT_BUDGET!$E:$E,DATA_TRANSPORT_BUDGET!$A:$A,$B$10,DATA_TRANSPORT_BUDGET!$D:$D,AE74))</f>
        <v/>
      </c>
      <c r="AR74">
        <f>IF(OR(AE74="",$B$10=0),0,COUNTIFS(DATA_TRANSPORT!$A:$A,$B$10,DATA_TRANSPORT!$E:$E,AE74,DATA_TRANSPORT!$U:$U,"Breakdown"))</f>
        <v/>
      </c>
      <c r="AS74">
        <f>IF(IF(OR(AE74="",$B$10=0),0,SUMIFS(DATA_TRANSPORT!$L:$L,DATA_TRANSPORT!$A:$A,$B$10-7,DATA_TRANSPORT!$E:$E,AE74))=0,"",IF(OR(AE74="",$B$10=0),0,SUMIFS(DATA_TRANSPORT!$R:$R,DATA_TRANSPORT!$A:$A,$B$10-7,DATA_TRANSPORT!$E:$E,AE74))/IF(OR(AE74="",$B$10=0),0,SUMIFS(DATA_TRANSPORT!$L:$L,DATA_TRANSPORT!$A:$A,$B$10-7,DATA_TRANSPORT!$E:$E,AE74)))</f>
        <v/>
      </c>
      <c r="AT74">
        <f>IF(IF(OR(AE74="",$B$10=0),0,SUMIFS(DATA_TRANSPORT!$L:$L,DATA_TRANSPORT!$A:$A,$B$10-14,DATA_TRANSPORT!$E:$E,AE74))=0,"",IF(OR(AE74="",$B$10=0),0,SUMIFS(DATA_TRANSPORT!$R:$R,DATA_TRANSPORT!$A:$A,$B$10-14,DATA_TRANSPORT!$E:$E,AE74))/IF(OR(AE74="",$B$10=0),0,SUMIFS(DATA_TRANSPORT!$L:$L,DATA_TRANSPORT!$A:$A,$B$10-14,DATA_TRANSPORT!$E:$E,AE74)))</f>
        <v/>
      </c>
      <c r="AU74">
        <f>IF(IF(OR(AE74="",$B$10=0),0,SUMIFS(DATA_TRANSPORT!$L:$L,DATA_TRANSPORT!$A:$A,$B$10-21,DATA_TRANSPORT!$E:$E,AE74))=0,"",IF(OR(AE74="",$B$10=0),0,SUMIFS(DATA_TRANSPORT!$R:$R,DATA_TRANSPORT!$A:$A,$B$10-21,DATA_TRANSPORT!$E:$E,AE74))/IF(OR(AE74="",$B$10=0),0,SUMIFS(DATA_TRANSPORT!$L:$L,DATA_TRANSPORT!$A:$A,$B$10-21,DATA_TRANSPORT!$E:$E,AE74)))</f>
        <v/>
      </c>
      <c r="AV74">
        <f>IF(AND(ISNUMBER(AJ74),AJ74&lt;UtilLow),1,0)+IF(AND(ISNUMBER(AS74),AS74&lt;UtilLow),1,0)+IF(AND(ISNUMBER(AT74),AT74&lt;UtilLow),1,0)+IF(AND(ISNUMBER(AU74),AU74&lt;UtilLow),1,0)</f>
        <v/>
      </c>
      <c r="AW74">
        <f>IF(AV74&gt;=UtilLowWeeks,AE74&amp;": seats only "&amp;TEXT(AJ74,"0%")&amp;" full, under "&amp;TEXT(UtilLow,"0%")&amp;" for "&amp;AV74&amp;" weeks running",IF(AND(ISNUMBER(AJ74),AJ74&gt;UtilHigh),AE74&amp;": demand exceeds seats ("&amp;TEXT(AJ74,"0%")&amp;" full) — consider more buses",IF(AND(ISNUMBER(AO74),AO74&gt;0),AE74&amp;": FT spend ₦"&amp;TEXT(AO74,"#,##0")&amp;" over the weekly budget",IF(AR74&gt;0,AE74&amp;": "&amp;AR74&amp;" coaster breakdown(s) this week",""))))</f>
        <v/>
      </c>
      <c r="AX74">
        <f>IF(ISNUMBER(AJ74),AJ74+ROW()/1000000000,"")</f>
        <v/>
      </c>
      <c r="AY74">
        <f>IF(ISNUMBER(AL74),AL74+ROW()/1000000,"")</f>
        <v/>
      </c>
      <c r="AZ74">
        <f>IF(AND(ISNUMBER(AO74),AO74&gt;0),AO74+ROW()/1000000,"")</f>
        <v/>
      </c>
      <c r="BA74">
        <f>IF(AF74&gt;0,AF74+ROW()/1000000,"")</f>
        <v/>
      </c>
      <c r="BB74">
        <f>IF(AW74="","",ROW())</f>
        <v/>
      </c>
    </row>
    <row r="75">
      <c r="A75" t="n">
        <v>54</v>
      </c>
      <c r="B75" s="170">
        <f>IF($B$10=0,"",$B$10-7*A75)</f>
        <v/>
      </c>
      <c r="C75">
        <f>IF(B75="","",MONTH(B75))</f>
        <v/>
      </c>
      <c r="D75">
        <f>IF(B75="","",ROUNDUP(MONTH(B75)/3,0))</f>
        <v/>
      </c>
      <c r="E75">
        <f>IF(B75="","",YEAR(B75))</f>
        <v/>
      </c>
      <c r="F75">
        <f>IF(B75="",0,COUNTIFS(DATA_TRANSPORT!$A:$A,B75,DATA_TRANSPORT!$E:$E,$B$6,DATA_TRANSPORT!$AB:$AB,$B$7))</f>
        <v/>
      </c>
      <c r="G75">
        <f>IF(F75=0,0,SUMIFS(DATA_TRANSPORT!$Q:$Q,DATA_TRANSPORT!$A:$A,B75,DATA_TRANSPORT!$E:$E,$B$6,DATA_TRANSPORT!$AB:$AB,$B$7))</f>
        <v/>
      </c>
      <c r="H75">
        <f>IF(F75=0,0,SUMIFS(DATA_TRANSPORT!$M:$M,DATA_TRANSPORT!$A:$A,B75,DATA_TRANSPORT!$E:$E,$B$6,DATA_TRANSPORT!$AB:$AB,$B$7))</f>
        <v/>
      </c>
      <c r="I75">
        <f>IF(F75=0,0,SUMIFS(DATA_TRANSPORT!$N:$N,DATA_TRANSPORT!$A:$A,B75,DATA_TRANSPORT!$E:$E,$B$6,DATA_TRANSPORT!$AB:$AB,$B$7))</f>
        <v/>
      </c>
      <c r="J75">
        <f>IF(F75=0,0,SUMIFS(DATA_TRANSPORT!$P:$P,DATA_TRANSPORT!$A:$A,B75,DATA_TRANSPORT!$E:$E,$B$6,DATA_TRANSPORT!$AB:$AB,$B$7))</f>
        <v/>
      </c>
      <c r="K75">
        <f>IF(F75=0,0,SUMIFS(DATA_TRANSPORT!$I:$I,DATA_TRANSPORT!$A:$A,B75,DATA_TRANSPORT!$E:$E,$B$6,DATA_TRANSPORT!$AB:$AB,$B$7))</f>
        <v/>
      </c>
      <c r="L75">
        <f>IF(F75=0,0,SUMIFS(DATA_TRANSPORT!$I:$I,DATA_TRANSPORT!$A:$A,B75,DATA_TRANSPORT!$E:$E,$B$6,DATA_TRANSPORT!$AB:$AB,$B$7,DATA_TRANSPORT!$U:$U,"Ran"))</f>
        <v/>
      </c>
      <c r="M75">
        <f>IF(F75=0,0,SUMIFS(DATA_TRANSPORT!$L:$L,DATA_TRANSPORT!$A:$A,B75,DATA_TRANSPORT!$E:$E,$B$6,DATA_TRANSPORT!$AB:$AB,$B$7))</f>
        <v/>
      </c>
      <c r="N75">
        <f>IF(F75=0,0,SUMIFS(DATA_TRANSPORT!$R:$R,DATA_TRANSPORT!$A:$A,B75,DATA_TRANSPORT!$E:$E,$B$6,DATA_TRANSPORT!$AB:$AB,$B$7))</f>
        <v/>
      </c>
      <c r="O75">
        <f>IF(F75=0,0,SUMIFS(DATA_TRANSPORT!$S:$S,DATA_TRANSPORT!$A:$A,B75,DATA_TRANSPORT!$E:$E,$B$6,DATA_TRANSPORT!$AB:$AB,$B$7))</f>
        <v/>
      </c>
      <c r="P75">
        <f>IF(OR(B75="",$B$17),0,SUMIFS(DATA_TRANSPORT_COSTS!$M:$M,DATA_TRANSPORT_COSTS!$A:$A,B75,DATA_TRANSPORT_COSTS!$D:$D,$B$6))</f>
        <v/>
      </c>
      <c r="Q75">
        <f>O75+P75</f>
        <v/>
      </c>
      <c r="R75">
        <f>P75+IF(F75=0,0,SUMIFS(DATA_TRANSPORT!$S:$S,DATA_TRANSPORT!$A:$A,B75,DATA_TRANSPORT!$E:$E,$B$6,DATA_TRANSPORT!$AB:$AB,$B$7,DATA_TRANSPORT!$T:$T,"Central"))</f>
        <v/>
      </c>
      <c r="S75">
        <f>IF(F75=0,0,SUMIFS(DATA_TRANSPORT!$S:$S,DATA_TRANSPORT!$A:$A,B75,DATA_TRANSPORT!$E:$E,$B$6,DATA_TRANSPORT!$AB:$AB,$B$7,DATA_TRANSPORT!$T:$T,"Members"))</f>
        <v/>
      </c>
      <c r="T75">
        <f>IF(OR(B75="",$B$17),0,SUMIFS(DATA_TRANSPORT_BUDGET!$G:$G,DATA_TRANSPORT_BUDGET!$A:$A,B75,DATA_TRANSPORT_BUDGET!$D:$D,$B$6))</f>
        <v/>
      </c>
      <c r="U75">
        <f>IF(F75=0,0,SUMIFS(DATA_TRANSPORT!$S:$S,DATA_TRANSPORT!$A:$A,B75,DATA_TRANSPORT!$E:$E,$B$6,DATA_TRANSPORT!$AB:$AB,$B$7,DATA_TRANSPORT!$C:$C,"FT Procured"))</f>
        <v/>
      </c>
      <c r="V75">
        <f>IF(F75=0,0,COUNTIFS(DATA_TRANSPORT!$A:$A,B75,DATA_TRANSPORT!$E:$E,$B$6,DATA_TRANSPORT!$AB:$AB,$B$7,DATA_TRANSPORT!$U:$U,"Breakdown"))</f>
        <v/>
      </c>
      <c r="W75">
        <f>IF(M75=0,0,N75/M75)</f>
        <v/>
      </c>
      <c r="X75">
        <f>IF(F75&gt;0,1,0)</f>
        <v/>
      </c>
      <c r="Y75">
        <f>IF(AND(A75&gt;=1,A75&lt;=$B$11),X75,0)</f>
        <v/>
      </c>
      <c r="Z75">
        <f>IF(AND(C75=$B$12,E75=$B$14),X75,0)</f>
        <v/>
      </c>
      <c r="AA75">
        <f>IF(AND(D75=$B$13,E75=$B$14),X75,0)</f>
        <v/>
      </c>
      <c r="AB75">
        <f>IF(E75=$B$14,X75,0)</f>
        <v/>
      </c>
      <c r="AE75">
        <f>IFERROR(INDEX(MASTER_AREAS!$B:$B,74)&amp;"","")</f>
        <v/>
      </c>
      <c r="AF75">
        <f>IF(OR(AE75="",$B$10=0),0,SUMIFS(DATA_TRANSPORT!$Q:$Q,DATA_TRANSPORT!$A:$A,$B$10,DATA_TRANSPORT!$E:$E,AE75))</f>
        <v/>
      </c>
      <c r="AG75">
        <f>IF(OR(AE75="",$B$10=0),0,SUMIFS(DATA_TRANSPORT!$I:$I,DATA_TRANSPORT!$A:$A,$B$10,DATA_TRANSPORT!$E:$E,AE75,DATA_TRANSPORT!$U:$U,"Ran"))</f>
        <v/>
      </c>
      <c r="AH75">
        <f>IF(OR(AE75="",$B$10=0),0,SUMIFS(DATA_TRANSPORT!$L:$L,DATA_TRANSPORT!$A:$A,$B$10,DATA_TRANSPORT!$E:$E,AE75))</f>
        <v/>
      </c>
      <c r="AI75">
        <f>IF(OR(AE75="",$B$10=0),0,SUMIFS(DATA_TRANSPORT!$R:$R,DATA_TRANSPORT!$A:$A,$B$10,DATA_TRANSPORT!$E:$E,AE75))</f>
        <v/>
      </c>
      <c r="AJ75">
        <f>IF(AH75=0,"",AI75/AH75)</f>
        <v/>
      </c>
      <c r="AK75">
        <f>IF(OR(AE75="",$B$10=0),0,SUMIFS(DATA_TRANSPORT!$S:$S,DATA_TRANSPORT!$A:$A,$B$10,DATA_TRANSPORT!$E:$E,AE75))+IF(OR(AE75="",$B$10=0),0,SUMIFS(DATA_TRANSPORT_COSTS!$M:$M,DATA_TRANSPORT_COSTS!$A:$A,$B$10,DATA_TRANSPORT_COSTS!$D:$D,AE75))</f>
        <v/>
      </c>
      <c r="AL75">
        <f>IF(OR(AF75=0,AK75=0),"",AK75/AF75)</f>
        <v/>
      </c>
      <c r="AM75">
        <f>IF(OR(AE75="",$B$10=0),0,SUMIFS(DATA_TRANSPORT!$S:$S,DATA_TRANSPORT!$A:$A,$B$10,DATA_TRANSPORT!$E:$E,AE75,DATA_TRANSPORT!$C:$C,"FT Procured"))</f>
        <v/>
      </c>
      <c r="AN75">
        <f>IF(OR(AE75="",$B$10=0),0,SUMIFS(DATA_TRANSPORT_BUDGET!$G:$G,DATA_TRANSPORT_BUDGET!$A:$A,$B$10,DATA_TRANSPORT_BUDGET!$D:$D,AE75))</f>
        <v/>
      </c>
      <c r="AO75">
        <f>IF(AN75=0,"",AM75-AN75)</f>
        <v/>
      </c>
      <c r="AP75">
        <f>IF(OR(AE75="",$B$10=0),0,COUNTIFS(DATA_TRANSPORT!$A:$A,$B$10,DATA_TRANSPORT!$E:$E,AE75,DATA_TRANSPORT!$C:$C,"FT Procured",DATA_TRANSPORT!$Y:$Y,"Y"))</f>
        <v/>
      </c>
      <c r="AQ75">
        <f>IF(OR(AE75="",$B$10=0),0,SUMIFS(DATA_TRANSPORT_BUDGET!$E:$E,DATA_TRANSPORT_BUDGET!$A:$A,$B$10,DATA_TRANSPORT_BUDGET!$D:$D,AE75))</f>
        <v/>
      </c>
      <c r="AR75">
        <f>IF(OR(AE75="",$B$10=0),0,COUNTIFS(DATA_TRANSPORT!$A:$A,$B$10,DATA_TRANSPORT!$E:$E,AE75,DATA_TRANSPORT!$U:$U,"Breakdown"))</f>
        <v/>
      </c>
      <c r="AS75">
        <f>IF(IF(OR(AE75="",$B$10=0),0,SUMIFS(DATA_TRANSPORT!$L:$L,DATA_TRANSPORT!$A:$A,$B$10-7,DATA_TRANSPORT!$E:$E,AE75))=0,"",IF(OR(AE75="",$B$10=0),0,SUMIFS(DATA_TRANSPORT!$R:$R,DATA_TRANSPORT!$A:$A,$B$10-7,DATA_TRANSPORT!$E:$E,AE75))/IF(OR(AE75="",$B$10=0),0,SUMIFS(DATA_TRANSPORT!$L:$L,DATA_TRANSPORT!$A:$A,$B$10-7,DATA_TRANSPORT!$E:$E,AE75)))</f>
        <v/>
      </c>
      <c r="AT75">
        <f>IF(IF(OR(AE75="",$B$10=0),0,SUMIFS(DATA_TRANSPORT!$L:$L,DATA_TRANSPORT!$A:$A,$B$10-14,DATA_TRANSPORT!$E:$E,AE75))=0,"",IF(OR(AE75="",$B$10=0),0,SUMIFS(DATA_TRANSPORT!$R:$R,DATA_TRANSPORT!$A:$A,$B$10-14,DATA_TRANSPORT!$E:$E,AE75))/IF(OR(AE75="",$B$10=0),0,SUMIFS(DATA_TRANSPORT!$L:$L,DATA_TRANSPORT!$A:$A,$B$10-14,DATA_TRANSPORT!$E:$E,AE75)))</f>
        <v/>
      </c>
      <c r="AU75">
        <f>IF(IF(OR(AE75="",$B$10=0),0,SUMIFS(DATA_TRANSPORT!$L:$L,DATA_TRANSPORT!$A:$A,$B$10-21,DATA_TRANSPORT!$E:$E,AE75))=0,"",IF(OR(AE75="",$B$10=0),0,SUMIFS(DATA_TRANSPORT!$R:$R,DATA_TRANSPORT!$A:$A,$B$10-21,DATA_TRANSPORT!$E:$E,AE75))/IF(OR(AE75="",$B$10=0),0,SUMIFS(DATA_TRANSPORT!$L:$L,DATA_TRANSPORT!$A:$A,$B$10-21,DATA_TRANSPORT!$E:$E,AE75)))</f>
        <v/>
      </c>
      <c r="AV75">
        <f>IF(AND(ISNUMBER(AJ75),AJ75&lt;UtilLow),1,0)+IF(AND(ISNUMBER(AS75),AS75&lt;UtilLow),1,0)+IF(AND(ISNUMBER(AT75),AT75&lt;UtilLow),1,0)+IF(AND(ISNUMBER(AU75),AU75&lt;UtilLow),1,0)</f>
        <v/>
      </c>
      <c r="AW75">
        <f>IF(AV75&gt;=UtilLowWeeks,AE75&amp;": seats only "&amp;TEXT(AJ75,"0%")&amp;" full, under "&amp;TEXT(UtilLow,"0%")&amp;" for "&amp;AV75&amp;" weeks running",IF(AND(ISNUMBER(AJ75),AJ75&gt;UtilHigh),AE75&amp;": demand exceeds seats ("&amp;TEXT(AJ75,"0%")&amp;" full) — consider more buses",IF(AND(ISNUMBER(AO75),AO75&gt;0),AE75&amp;": FT spend ₦"&amp;TEXT(AO75,"#,##0")&amp;" over the weekly budget",IF(AR75&gt;0,AE75&amp;": "&amp;AR75&amp;" coaster breakdown(s) this week",""))))</f>
        <v/>
      </c>
      <c r="AX75">
        <f>IF(ISNUMBER(AJ75),AJ75+ROW()/1000000000,"")</f>
        <v/>
      </c>
      <c r="AY75">
        <f>IF(ISNUMBER(AL75),AL75+ROW()/1000000,"")</f>
        <v/>
      </c>
      <c r="AZ75">
        <f>IF(AND(ISNUMBER(AO75),AO75&gt;0),AO75+ROW()/1000000,"")</f>
        <v/>
      </c>
      <c r="BA75">
        <f>IF(AF75&gt;0,AF75+ROW()/1000000,"")</f>
        <v/>
      </c>
      <c r="BB75">
        <f>IF(AW75="","",ROW())</f>
        <v/>
      </c>
    </row>
    <row r="76">
      <c r="A76" t="n">
        <v>55</v>
      </c>
      <c r="B76" s="170">
        <f>IF($B$10=0,"",$B$10-7*A76)</f>
        <v/>
      </c>
      <c r="C76">
        <f>IF(B76="","",MONTH(B76))</f>
        <v/>
      </c>
      <c r="D76">
        <f>IF(B76="","",ROUNDUP(MONTH(B76)/3,0))</f>
        <v/>
      </c>
      <c r="E76">
        <f>IF(B76="","",YEAR(B76))</f>
        <v/>
      </c>
      <c r="F76">
        <f>IF(B76="",0,COUNTIFS(DATA_TRANSPORT!$A:$A,B76,DATA_TRANSPORT!$E:$E,$B$6,DATA_TRANSPORT!$AB:$AB,$B$7))</f>
        <v/>
      </c>
      <c r="G76">
        <f>IF(F76=0,0,SUMIFS(DATA_TRANSPORT!$Q:$Q,DATA_TRANSPORT!$A:$A,B76,DATA_TRANSPORT!$E:$E,$B$6,DATA_TRANSPORT!$AB:$AB,$B$7))</f>
        <v/>
      </c>
      <c r="H76">
        <f>IF(F76=0,0,SUMIFS(DATA_TRANSPORT!$M:$M,DATA_TRANSPORT!$A:$A,B76,DATA_TRANSPORT!$E:$E,$B$6,DATA_TRANSPORT!$AB:$AB,$B$7))</f>
        <v/>
      </c>
      <c r="I76">
        <f>IF(F76=0,0,SUMIFS(DATA_TRANSPORT!$N:$N,DATA_TRANSPORT!$A:$A,B76,DATA_TRANSPORT!$E:$E,$B$6,DATA_TRANSPORT!$AB:$AB,$B$7))</f>
        <v/>
      </c>
      <c r="J76">
        <f>IF(F76=0,0,SUMIFS(DATA_TRANSPORT!$P:$P,DATA_TRANSPORT!$A:$A,B76,DATA_TRANSPORT!$E:$E,$B$6,DATA_TRANSPORT!$AB:$AB,$B$7))</f>
        <v/>
      </c>
      <c r="K76">
        <f>IF(F76=0,0,SUMIFS(DATA_TRANSPORT!$I:$I,DATA_TRANSPORT!$A:$A,B76,DATA_TRANSPORT!$E:$E,$B$6,DATA_TRANSPORT!$AB:$AB,$B$7))</f>
        <v/>
      </c>
      <c r="L76">
        <f>IF(F76=0,0,SUMIFS(DATA_TRANSPORT!$I:$I,DATA_TRANSPORT!$A:$A,B76,DATA_TRANSPORT!$E:$E,$B$6,DATA_TRANSPORT!$AB:$AB,$B$7,DATA_TRANSPORT!$U:$U,"Ran"))</f>
        <v/>
      </c>
      <c r="M76">
        <f>IF(F76=0,0,SUMIFS(DATA_TRANSPORT!$L:$L,DATA_TRANSPORT!$A:$A,B76,DATA_TRANSPORT!$E:$E,$B$6,DATA_TRANSPORT!$AB:$AB,$B$7))</f>
        <v/>
      </c>
      <c r="N76">
        <f>IF(F76=0,0,SUMIFS(DATA_TRANSPORT!$R:$R,DATA_TRANSPORT!$A:$A,B76,DATA_TRANSPORT!$E:$E,$B$6,DATA_TRANSPORT!$AB:$AB,$B$7))</f>
        <v/>
      </c>
      <c r="O76">
        <f>IF(F76=0,0,SUMIFS(DATA_TRANSPORT!$S:$S,DATA_TRANSPORT!$A:$A,B76,DATA_TRANSPORT!$E:$E,$B$6,DATA_TRANSPORT!$AB:$AB,$B$7))</f>
        <v/>
      </c>
      <c r="P76">
        <f>IF(OR(B76="",$B$17),0,SUMIFS(DATA_TRANSPORT_COSTS!$M:$M,DATA_TRANSPORT_COSTS!$A:$A,B76,DATA_TRANSPORT_COSTS!$D:$D,$B$6))</f>
        <v/>
      </c>
      <c r="Q76">
        <f>O76+P76</f>
        <v/>
      </c>
      <c r="R76">
        <f>P76+IF(F76=0,0,SUMIFS(DATA_TRANSPORT!$S:$S,DATA_TRANSPORT!$A:$A,B76,DATA_TRANSPORT!$E:$E,$B$6,DATA_TRANSPORT!$AB:$AB,$B$7,DATA_TRANSPORT!$T:$T,"Central"))</f>
        <v/>
      </c>
      <c r="S76">
        <f>IF(F76=0,0,SUMIFS(DATA_TRANSPORT!$S:$S,DATA_TRANSPORT!$A:$A,B76,DATA_TRANSPORT!$E:$E,$B$6,DATA_TRANSPORT!$AB:$AB,$B$7,DATA_TRANSPORT!$T:$T,"Members"))</f>
        <v/>
      </c>
      <c r="T76">
        <f>IF(OR(B76="",$B$17),0,SUMIFS(DATA_TRANSPORT_BUDGET!$G:$G,DATA_TRANSPORT_BUDGET!$A:$A,B76,DATA_TRANSPORT_BUDGET!$D:$D,$B$6))</f>
        <v/>
      </c>
      <c r="U76">
        <f>IF(F76=0,0,SUMIFS(DATA_TRANSPORT!$S:$S,DATA_TRANSPORT!$A:$A,B76,DATA_TRANSPORT!$E:$E,$B$6,DATA_TRANSPORT!$AB:$AB,$B$7,DATA_TRANSPORT!$C:$C,"FT Procured"))</f>
        <v/>
      </c>
      <c r="V76">
        <f>IF(F76=0,0,COUNTIFS(DATA_TRANSPORT!$A:$A,B76,DATA_TRANSPORT!$E:$E,$B$6,DATA_TRANSPORT!$AB:$AB,$B$7,DATA_TRANSPORT!$U:$U,"Breakdown"))</f>
        <v/>
      </c>
      <c r="W76">
        <f>IF(M76=0,0,N76/M76)</f>
        <v/>
      </c>
      <c r="X76">
        <f>IF(F76&gt;0,1,0)</f>
        <v/>
      </c>
      <c r="Y76">
        <f>IF(AND(A76&gt;=1,A76&lt;=$B$11),X76,0)</f>
        <v/>
      </c>
      <c r="Z76">
        <f>IF(AND(C76=$B$12,E76=$B$14),X76,0)</f>
        <v/>
      </c>
      <c r="AA76">
        <f>IF(AND(D76=$B$13,E76=$B$14),X76,0)</f>
        <v/>
      </c>
      <c r="AB76">
        <f>IF(E76=$B$14,X76,0)</f>
        <v/>
      </c>
      <c r="AE76">
        <f>IFERROR(INDEX(MASTER_AREAS!$B:$B,75)&amp;"","")</f>
        <v/>
      </c>
      <c r="AF76">
        <f>IF(OR(AE76="",$B$10=0),0,SUMIFS(DATA_TRANSPORT!$Q:$Q,DATA_TRANSPORT!$A:$A,$B$10,DATA_TRANSPORT!$E:$E,AE76))</f>
        <v/>
      </c>
      <c r="AG76">
        <f>IF(OR(AE76="",$B$10=0),0,SUMIFS(DATA_TRANSPORT!$I:$I,DATA_TRANSPORT!$A:$A,$B$10,DATA_TRANSPORT!$E:$E,AE76,DATA_TRANSPORT!$U:$U,"Ran"))</f>
        <v/>
      </c>
      <c r="AH76">
        <f>IF(OR(AE76="",$B$10=0),0,SUMIFS(DATA_TRANSPORT!$L:$L,DATA_TRANSPORT!$A:$A,$B$10,DATA_TRANSPORT!$E:$E,AE76))</f>
        <v/>
      </c>
      <c r="AI76">
        <f>IF(OR(AE76="",$B$10=0),0,SUMIFS(DATA_TRANSPORT!$R:$R,DATA_TRANSPORT!$A:$A,$B$10,DATA_TRANSPORT!$E:$E,AE76))</f>
        <v/>
      </c>
      <c r="AJ76">
        <f>IF(AH76=0,"",AI76/AH76)</f>
        <v/>
      </c>
      <c r="AK76">
        <f>IF(OR(AE76="",$B$10=0),0,SUMIFS(DATA_TRANSPORT!$S:$S,DATA_TRANSPORT!$A:$A,$B$10,DATA_TRANSPORT!$E:$E,AE76))+IF(OR(AE76="",$B$10=0),0,SUMIFS(DATA_TRANSPORT_COSTS!$M:$M,DATA_TRANSPORT_COSTS!$A:$A,$B$10,DATA_TRANSPORT_COSTS!$D:$D,AE76))</f>
        <v/>
      </c>
      <c r="AL76">
        <f>IF(OR(AF76=0,AK76=0),"",AK76/AF76)</f>
        <v/>
      </c>
      <c r="AM76">
        <f>IF(OR(AE76="",$B$10=0),0,SUMIFS(DATA_TRANSPORT!$S:$S,DATA_TRANSPORT!$A:$A,$B$10,DATA_TRANSPORT!$E:$E,AE76,DATA_TRANSPORT!$C:$C,"FT Procured"))</f>
        <v/>
      </c>
      <c r="AN76">
        <f>IF(OR(AE76="",$B$10=0),0,SUMIFS(DATA_TRANSPORT_BUDGET!$G:$G,DATA_TRANSPORT_BUDGET!$A:$A,$B$10,DATA_TRANSPORT_BUDGET!$D:$D,AE76))</f>
        <v/>
      </c>
      <c r="AO76">
        <f>IF(AN76=0,"",AM76-AN76)</f>
        <v/>
      </c>
      <c r="AP76">
        <f>IF(OR(AE76="",$B$10=0),0,COUNTIFS(DATA_TRANSPORT!$A:$A,$B$10,DATA_TRANSPORT!$E:$E,AE76,DATA_TRANSPORT!$C:$C,"FT Procured",DATA_TRANSPORT!$Y:$Y,"Y"))</f>
        <v/>
      </c>
      <c r="AQ76">
        <f>IF(OR(AE76="",$B$10=0),0,SUMIFS(DATA_TRANSPORT_BUDGET!$E:$E,DATA_TRANSPORT_BUDGET!$A:$A,$B$10,DATA_TRANSPORT_BUDGET!$D:$D,AE76))</f>
        <v/>
      </c>
      <c r="AR76">
        <f>IF(OR(AE76="",$B$10=0),0,COUNTIFS(DATA_TRANSPORT!$A:$A,$B$10,DATA_TRANSPORT!$E:$E,AE76,DATA_TRANSPORT!$U:$U,"Breakdown"))</f>
        <v/>
      </c>
      <c r="AS76">
        <f>IF(IF(OR(AE76="",$B$10=0),0,SUMIFS(DATA_TRANSPORT!$L:$L,DATA_TRANSPORT!$A:$A,$B$10-7,DATA_TRANSPORT!$E:$E,AE76))=0,"",IF(OR(AE76="",$B$10=0),0,SUMIFS(DATA_TRANSPORT!$R:$R,DATA_TRANSPORT!$A:$A,$B$10-7,DATA_TRANSPORT!$E:$E,AE76))/IF(OR(AE76="",$B$10=0),0,SUMIFS(DATA_TRANSPORT!$L:$L,DATA_TRANSPORT!$A:$A,$B$10-7,DATA_TRANSPORT!$E:$E,AE76)))</f>
        <v/>
      </c>
      <c r="AT76">
        <f>IF(IF(OR(AE76="",$B$10=0),0,SUMIFS(DATA_TRANSPORT!$L:$L,DATA_TRANSPORT!$A:$A,$B$10-14,DATA_TRANSPORT!$E:$E,AE76))=0,"",IF(OR(AE76="",$B$10=0),0,SUMIFS(DATA_TRANSPORT!$R:$R,DATA_TRANSPORT!$A:$A,$B$10-14,DATA_TRANSPORT!$E:$E,AE76))/IF(OR(AE76="",$B$10=0),0,SUMIFS(DATA_TRANSPORT!$L:$L,DATA_TRANSPORT!$A:$A,$B$10-14,DATA_TRANSPORT!$E:$E,AE76)))</f>
        <v/>
      </c>
      <c r="AU76">
        <f>IF(IF(OR(AE76="",$B$10=0),0,SUMIFS(DATA_TRANSPORT!$L:$L,DATA_TRANSPORT!$A:$A,$B$10-21,DATA_TRANSPORT!$E:$E,AE76))=0,"",IF(OR(AE76="",$B$10=0),0,SUMIFS(DATA_TRANSPORT!$R:$R,DATA_TRANSPORT!$A:$A,$B$10-21,DATA_TRANSPORT!$E:$E,AE76))/IF(OR(AE76="",$B$10=0),0,SUMIFS(DATA_TRANSPORT!$L:$L,DATA_TRANSPORT!$A:$A,$B$10-21,DATA_TRANSPORT!$E:$E,AE76)))</f>
        <v/>
      </c>
      <c r="AV76">
        <f>IF(AND(ISNUMBER(AJ76),AJ76&lt;UtilLow),1,0)+IF(AND(ISNUMBER(AS76),AS76&lt;UtilLow),1,0)+IF(AND(ISNUMBER(AT76),AT76&lt;UtilLow),1,0)+IF(AND(ISNUMBER(AU76),AU76&lt;UtilLow),1,0)</f>
        <v/>
      </c>
      <c r="AW76">
        <f>IF(AV76&gt;=UtilLowWeeks,AE76&amp;": seats only "&amp;TEXT(AJ76,"0%")&amp;" full, under "&amp;TEXT(UtilLow,"0%")&amp;" for "&amp;AV76&amp;" weeks running",IF(AND(ISNUMBER(AJ76),AJ76&gt;UtilHigh),AE76&amp;": demand exceeds seats ("&amp;TEXT(AJ76,"0%")&amp;" full) — consider more buses",IF(AND(ISNUMBER(AO76),AO76&gt;0),AE76&amp;": FT spend ₦"&amp;TEXT(AO76,"#,##0")&amp;" over the weekly budget",IF(AR76&gt;0,AE76&amp;": "&amp;AR76&amp;" coaster breakdown(s) this week",""))))</f>
        <v/>
      </c>
      <c r="AX76">
        <f>IF(ISNUMBER(AJ76),AJ76+ROW()/1000000000,"")</f>
        <v/>
      </c>
      <c r="AY76">
        <f>IF(ISNUMBER(AL76),AL76+ROW()/1000000,"")</f>
        <v/>
      </c>
      <c r="AZ76">
        <f>IF(AND(ISNUMBER(AO76),AO76&gt;0),AO76+ROW()/1000000,"")</f>
        <v/>
      </c>
      <c r="BA76">
        <f>IF(AF76&gt;0,AF76+ROW()/1000000,"")</f>
        <v/>
      </c>
      <c r="BB76">
        <f>IF(AW76="","",ROW())</f>
        <v/>
      </c>
    </row>
    <row r="77">
      <c r="A77" t="n">
        <v>56</v>
      </c>
      <c r="B77" s="170">
        <f>IF($B$10=0,"",$B$10-7*A77)</f>
        <v/>
      </c>
      <c r="C77">
        <f>IF(B77="","",MONTH(B77))</f>
        <v/>
      </c>
      <c r="D77">
        <f>IF(B77="","",ROUNDUP(MONTH(B77)/3,0))</f>
        <v/>
      </c>
      <c r="E77">
        <f>IF(B77="","",YEAR(B77))</f>
        <v/>
      </c>
      <c r="F77">
        <f>IF(B77="",0,COUNTIFS(DATA_TRANSPORT!$A:$A,B77,DATA_TRANSPORT!$E:$E,$B$6,DATA_TRANSPORT!$AB:$AB,$B$7))</f>
        <v/>
      </c>
      <c r="G77">
        <f>IF(F77=0,0,SUMIFS(DATA_TRANSPORT!$Q:$Q,DATA_TRANSPORT!$A:$A,B77,DATA_TRANSPORT!$E:$E,$B$6,DATA_TRANSPORT!$AB:$AB,$B$7))</f>
        <v/>
      </c>
      <c r="H77">
        <f>IF(F77=0,0,SUMIFS(DATA_TRANSPORT!$M:$M,DATA_TRANSPORT!$A:$A,B77,DATA_TRANSPORT!$E:$E,$B$6,DATA_TRANSPORT!$AB:$AB,$B$7))</f>
        <v/>
      </c>
      <c r="I77">
        <f>IF(F77=0,0,SUMIFS(DATA_TRANSPORT!$N:$N,DATA_TRANSPORT!$A:$A,B77,DATA_TRANSPORT!$E:$E,$B$6,DATA_TRANSPORT!$AB:$AB,$B$7))</f>
        <v/>
      </c>
      <c r="J77">
        <f>IF(F77=0,0,SUMIFS(DATA_TRANSPORT!$P:$P,DATA_TRANSPORT!$A:$A,B77,DATA_TRANSPORT!$E:$E,$B$6,DATA_TRANSPORT!$AB:$AB,$B$7))</f>
        <v/>
      </c>
      <c r="K77">
        <f>IF(F77=0,0,SUMIFS(DATA_TRANSPORT!$I:$I,DATA_TRANSPORT!$A:$A,B77,DATA_TRANSPORT!$E:$E,$B$6,DATA_TRANSPORT!$AB:$AB,$B$7))</f>
        <v/>
      </c>
      <c r="L77">
        <f>IF(F77=0,0,SUMIFS(DATA_TRANSPORT!$I:$I,DATA_TRANSPORT!$A:$A,B77,DATA_TRANSPORT!$E:$E,$B$6,DATA_TRANSPORT!$AB:$AB,$B$7,DATA_TRANSPORT!$U:$U,"Ran"))</f>
        <v/>
      </c>
      <c r="M77">
        <f>IF(F77=0,0,SUMIFS(DATA_TRANSPORT!$L:$L,DATA_TRANSPORT!$A:$A,B77,DATA_TRANSPORT!$E:$E,$B$6,DATA_TRANSPORT!$AB:$AB,$B$7))</f>
        <v/>
      </c>
      <c r="N77">
        <f>IF(F77=0,0,SUMIFS(DATA_TRANSPORT!$R:$R,DATA_TRANSPORT!$A:$A,B77,DATA_TRANSPORT!$E:$E,$B$6,DATA_TRANSPORT!$AB:$AB,$B$7))</f>
        <v/>
      </c>
      <c r="O77">
        <f>IF(F77=0,0,SUMIFS(DATA_TRANSPORT!$S:$S,DATA_TRANSPORT!$A:$A,B77,DATA_TRANSPORT!$E:$E,$B$6,DATA_TRANSPORT!$AB:$AB,$B$7))</f>
        <v/>
      </c>
      <c r="P77">
        <f>IF(OR(B77="",$B$17),0,SUMIFS(DATA_TRANSPORT_COSTS!$M:$M,DATA_TRANSPORT_COSTS!$A:$A,B77,DATA_TRANSPORT_COSTS!$D:$D,$B$6))</f>
        <v/>
      </c>
      <c r="Q77">
        <f>O77+P77</f>
        <v/>
      </c>
      <c r="R77">
        <f>P77+IF(F77=0,0,SUMIFS(DATA_TRANSPORT!$S:$S,DATA_TRANSPORT!$A:$A,B77,DATA_TRANSPORT!$E:$E,$B$6,DATA_TRANSPORT!$AB:$AB,$B$7,DATA_TRANSPORT!$T:$T,"Central"))</f>
        <v/>
      </c>
      <c r="S77">
        <f>IF(F77=0,0,SUMIFS(DATA_TRANSPORT!$S:$S,DATA_TRANSPORT!$A:$A,B77,DATA_TRANSPORT!$E:$E,$B$6,DATA_TRANSPORT!$AB:$AB,$B$7,DATA_TRANSPORT!$T:$T,"Members"))</f>
        <v/>
      </c>
      <c r="T77">
        <f>IF(OR(B77="",$B$17),0,SUMIFS(DATA_TRANSPORT_BUDGET!$G:$G,DATA_TRANSPORT_BUDGET!$A:$A,B77,DATA_TRANSPORT_BUDGET!$D:$D,$B$6))</f>
        <v/>
      </c>
      <c r="U77">
        <f>IF(F77=0,0,SUMIFS(DATA_TRANSPORT!$S:$S,DATA_TRANSPORT!$A:$A,B77,DATA_TRANSPORT!$E:$E,$B$6,DATA_TRANSPORT!$AB:$AB,$B$7,DATA_TRANSPORT!$C:$C,"FT Procured"))</f>
        <v/>
      </c>
      <c r="V77">
        <f>IF(F77=0,0,COUNTIFS(DATA_TRANSPORT!$A:$A,B77,DATA_TRANSPORT!$E:$E,$B$6,DATA_TRANSPORT!$AB:$AB,$B$7,DATA_TRANSPORT!$U:$U,"Breakdown"))</f>
        <v/>
      </c>
      <c r="W77">
        <f>IF(M77=0,0,N77/M77)</f>
        <v/>
      </c>
      <c r="X77">
        <f>IF(F77&gt;0,1,0)</f>
        <v/>
      </c>
      <c r="Y77">
        <f>IF(AND(A77&gt;=1,A77&lt;=$B$11),X77,0)</f>
        <v/>
      </c>
      <c r="Z77">
        <f>IF(AND(C77=$B$12,E77=$B$14),X77,0)</f>
        <v/>
      </c>
      <c r="AA77">
        <f>IF(AND(D77=$B$13,E77=$B$14),X77,0)</f>
        <v/>
      </c>
      <c r="AB77">
        <f>IF(E77=$B$14,X77,0)</f>
        <v/>
      </c>
      <c r="AE77">
        <f>IFERROR(INDEX(MASTER_AREAS!$B:$B,76)&amp;"","")</f>
        <v/>
      </c>
      <c r="AF77">
        <f>IF(OR(AE77="",$B$10=0),0,SUMIFS(DATA_TRANSPORT!$Q:$Q,DATA_TRANSPORT!$A:$A,$B$10,DATA_TRANSPORT!$E:$E,AE77))</f>
        <v/>
      </c>
      <c r="AG77">
        <f>IF(OR(AE77="",$B$10=0),0,SUMIFS(DATA_TRANSPORT!$I:$I,DATA_TRANSPORT!$A:$A,$B$10,DATA_TRANSPORT!$E:$E,AE77,DATA_TRANSPORT!$U:$U,"Ran"))</f>
        <v/>
      </c>
      <c r="AH77">
        <f>IF(OR(AE77="",$B$10=0),0,SUMIFS(DATA_TRANSPORT!$L:$L,DATA_TRANSPORT!$A:$A,$B$10,DATA_TRANSPORT!$E:$E,AE77))</f>
        <v/>
      </c>
      <c r="AI77">
        <f>IF(OR(AE77="",$B$10=0),0,SUMIFS(DATA_TRANSPORT!$R:$R,DATA_TRANSPORT!$A:$A,$B$10,DATA_TRANSPORT!$E:$E,AE77))</f>
        <v/>
      </c>
      <c r="AJ77">
        <f>IF(AH77=0,"",AI77/AH77)</f>
        <v/>
      </c>
      <c r="AK77">
        <f>IF(OR(AE77="",$B$10=0),0,SUMIFS(DATA_TRANSPORT!$S:$S,DATA_TRANSPORT!$A:$A,$B$10,DATA_TRANSPORT!$E:$E,AE77))+IF(OR(AE77="",$B$10=0),0,SUMIFS(DATA_TRANSPORT_COSTS!$M:$M,DATA_TRANSPORT_COSTS!$A:$A,$B$10,DATA_TRANSPORT_COSTS!$D:$D,AE77))</f>
        <v/>
      </c>
      <c r="AL77">
        <f>IF(OR(AF77=0,AK77=0),"",AK77/AF77)</f>
        <v/>
      </c>
      <c r="AM77">
        <f>IF(OR(AE77="",$B$10=0),0,SUMIFS(DATA_TRANSPORT!$S:$S,DATA_TRANSPORT!$A:$A,$B$10,DATA_TRANSPORT!$E:$E,AE77,DATA_TRANSPORT!$C:$C,"FT Procured"))</f>
        <v/>
      </c>
      <c r="AN77">
        <f>IF(OR(AE77="",$B$10=0),0,SUMIFS(DATA_TRANSPORT_BUDGET!$G:$G,DATA_TRANSPORT_BUDGET!$A:$A,$B$10,DATA_TRANSPORT_BUDGET!$D:$D,AE77))</f>
        <v/>
      </c>
      <c r="AO77">
        <f>IF(AN77=0,"",AM77-AN77)</f>
        <v/>
      </c>
      <c r="AP77">
        <f>IF(OR(AE77="",$B$10=0),0,COUNTIFS(DATA_TRANSPORT!$A:$A,$B$10,DATA_TRANSPORT!$E:$E,AE77,DATA_TRANSPORT!$C:$C,"FT Procured",DATA_TRANSPORT!$Y:$Y,"Y"))</f>
        <v/>
      </c>
      <c r="AQ77">
        <f>IF(OR(AE77="",$B$10=0),0,SUMIFS(DATA_TRANSPORT_BUDGET!$E:$E,DATA_TRANSPORT_BUDGET!$A:$A,$B$10,DATA_TRANSPORT_BUDGET!$D:$D,AE77))</f>
        <v/>
      </c>
      <c r="AR77">
        <f>IF(OR(AE77="",$B$10=0),0,COUNTIFS(DATA_TRANSPORT!$A:$A,$B$10,DATA_TRANSPORT!$E:$E,AE77,DATA_TRANSPORT!$U:$U,"Breakdown"))</f>
        <v/>
      </c>
      <c r="AS77">
        <f>IF(IF(OR(AE77="",$B$10=0),0,SUMIFS(DATA_TRANSPORT!$L:$L,DATA_TRANSPORT!$A:$A,$B$10-7,DATA_TRANSPORT!$E:$E,AE77))=0,"",IF(OR(AE77="",$B$10=0),0,SUMIFS(DATA_TRANSPORT!$R:$R,DATA_TRANSPORT!$A:$A,$B$10-7,DATA_TRANSPORT!$E:$E,AE77))/IF(OR(AE77="",$B$10=0),0,SUMIFS(DATA_TRANSPORT!$L:$L,DATA_TRANSPORT!$A:$A,$B$10-7,DATA_TRANSPORT!$E:$E,AE77)))</f>
        <v/>
      </c>
      <c r="AT77">
        <f>IF(IF(OR(AE77="",$B$10=0),0,SUMIFS(DATA_TRANSPORT!$L:$L,DATA_TRANSPORT!$A:$A,$B$10-14,DATA_TRANSPORT!$E:$E,AE77))=0,"",IF(OR(AE77="",$B$10=0),0,SUMIFS(DATA_TRANSPORT!$R:$R,DATA_TRANSPORT!$A:$A,$B$10-14,DATA_TRANSPORT!$E:$E,AE77))/IF(OR(AE77="",$B$10=0),0,SUMIFS(DATA_TRANSPORT!$L:$L,DATA_TRANSPORT!$A:$A,$B$10-14,DATA_TRANSPORT!$E:$E,AE77)))</f>
        <v/>
      </c>
      <c r="AU77">
        <f>IF(IF(OR(AE77="",$B$10=0),0,SUMIFS(DATA_TRANSPORT!$L:$L,DATA_TRANSPORT!$A:$A,$B$10-21,DATA_TRANSPORT!$E:$E,AE77))=0,"",IF(OR(AE77="",$B$10=0),0,SUMIFS(DATA_TRANSPORT!$R:$R,DATA_TRANSPORT!$A:$A,$B$10-21,DATA_TRANSPORT!$E:$E,AE77))/IF(OR(AE77="",$B$10=0),0,SUMIFS(DATA_TRANSPORT!$L:$L,DATA_TRANSPORT!$A:$A,$B$10-21,DATA_TRANSPORT!$E:$E,AE77)))</f>
        <v/>
      </c>
      <c r="AV77">
        <f>IF(AND(ISNUMBER(AJ77),AJ77&lt;UtilLow),1,0)+IF(AND(ISNUMBER(AS77),AS77&lt;UtilLow),1,0)+IF(AND(ISNUMBER(AT77),AT77&lt;UtilLow),1,0)+IF(AND(ISNUMBER(AU77),AU77&lt;UtilLow),1,0)</f>
        <v/>
      </c>
      <c r="AW77">
        <f>IF(AV77&gt;=UtilLowWeeks,AE77&amp;": seats only "&amp;TEXT(AJ77,"0%")&amp;" full, under "&amp;TEXT(UtilLow,"0%")&amp;" for "&amp;AV77&amp;" weeks running",IF(AND(ISNUMBER(AJ77),AJ77&gt;UtilHigh),AE77&amp;": demand exceeds seats ("&amp;TEXT(AJ77,"0%")&amp;" full) — consider more buses",IF(AND(ISNUMBER(AO77),AO77&gt;0),AE77&amp;": FT spend ₦"&amp;TEXT(AO77,"#,##0")&amp;" over the weekly budget",IF(AR77&gt;0,AE77&amp;": "&amp;AR77&amp;" coaster breakdown(s) this week",""))))</f>
        <v/>
      </c>
      <c r="AX77">
        <f>IF(ISNUMBER(AJ77),AJ77+ROW()/1000000000,"")</f>
        <v/>
      </c>
      <c r="AY77">
        <f>IF(ISNUMBER(AL77),AL77+ROW()/1000000,"")</f>
        <v/>
      </c>
      <c r="AZ77">
        <f>IF(AND(ISNUMBER(AO77),AO77&gt;0),AO77+ROW()/1000000,"")</f>
        <v/>
      </c>
      <c r="BA77">
        <f>IF(AF77&gt;0,AF77+ROW()/1000000,"")</f>
        <v/>
      </c>
      <c r="BB77">
        <f>IF(AW77="","",ROW())</f>
        <v/>
      </c>
    </row>
    <row r="78">
      <c r="A78" t="n">
        <v>57</v>
      </c>
      <c r="B78" s="170">
        <f>IF($B$10=0,"",$B$10-7*A78)</f>
        <v/>
      </c>
      <c r="C78">
        <f>IF(B78="","",MONTH(B78))</f>
        <v/>
      </c>
      <c r="D78">
        <f>IF(B78="","",ROUNDUP(MONTH(B78)/3,0))</f>
        <v/>
      </c>
      <c r="E78">
        <f>IF(B78="","",YEAR(B78))</f>
        <v/>
      </c>
      <c r="F78">
        <f>IF(B78="",0,COUNTIFS(DATA_TRANSPORT!$A:$A,B78,DATA_TRANSPORT!$E:$E,$B$6,DATA_TRANSPORT!$AB:$AB,$B$7))</f>
        <v/>
      </c>
      <c r="G78">
        <f>IF(F78=0,0,SUMIFS(DATA_TRANSPORT!$Q:$Q,DATA_TRANSPORT!$A:$A,B78,DATA_TRANSPORT!$E:$E,$B$6,DATA_TRANSPORT!$AB:$AB,$B$7))</f>
        <v/>
      </c>
      <c r="H78">
        <f>IF(F78=0,0,SUMIFS(DATA_TRANSPORT!$M:$M,DATA_TRANSPORT!$A:$A,B78,DATA_TRANSPORT!$E:$E,$B$6,DATA_TRANSPORT!$AB:$AB,$B$7))</f>
        <v/>
      </c>
      <c r="I78">
        <f>IF(F78=0,0,SUMIFS(DATA_TRANSPORT!$N:$N,DATA_TRANSPORT!$A:$A,B78,DATA_TRANSPORT!$E:$E,$B$6,DATA_TRANSPORT!$AB:$AB,$B$7))</f>
        <v/>
      </c>
      <c r="J78">
        <f>IF(F78=0,0,SUMIFS(DATA_TRANSPORT!$P:$P,DATA_TRANSPORT!$A:$A,B78,DATA_TRANSPORT!$E:$E,$B$6,DATA_TRANSPORT!$AB:$AB,$B$7))</f>
        <v/>
      </c>
      <c r="K78">
        <f>IF(F78=0,0,SUMIFS(DATA_TRANSPORT!$I:$I,DATA_TRANSPORT!$A:$A,B78,DATA_TRANSPORT!$E:$E,$B$6,DATA_TRANSPORT!$AB:$AB,$B$7))</f>
        <v/>
      </c>
      <c r="L78">
        <f>IF(F78=0,0,SUMIFS(DATA_TRANSPORT!$I:$I,DATA_TRANSPORT!$A:$A,B78,DATA_TRANSPORT!$E:$E,$B$6,DATA_TRANSPORT!$AB:$AB,$B$7,DATA_TRANSPORT!$U:$U,"Ran"))</f>
        <v/>
      </c>
      <c r="M78">
        <f>IF(F78=0,0,SUMIFS(DATA_TRANSPORT!$L:$L,DATA_TRANSPORT!$A:$A,B78,DATA_TRANSPORT!$E:$E,$B$6,DATA_TRANSPORT!$AB:$AB,$B$7))</f>
        <v/>
      </c>
      <c r="N78">
        <f>IF(F78=0,0,SUMIFS(DATA_TRANSPORT!$R:$R,DATA_TRANSPORT!$A:$A,B78,DATA_TRANSPORT!$E:$E,$B$6,DATA_TRANSPORT!$AB:$AB,$B$7))</f>
        <v/>
      </c>
      <c r="O78">
        <f>IF(F78=0,0,SUMIFS(DATA_TRANSPORT!$S:$S,DATA_TRANSPORT!$A:$A,B78,DATA_TRANSPORT!$E:$E,$B$6,DATA_TRANSPORT!$AB:$AB,$B$7))</f>
        <v/>
      </c>
      <c r="P78">
        <f>IF(OR(B78="",$B$17),0,SUMIFS(DATA_TRANSPORT_COSTS!$M:$M,DATA_TRANSPORT_COSTS!$A:$A,B78,DATA_TRANSPORT_COSTS!$D:$D,$B$6))</f>
        <v/>
      </c>
      <c r="Q78">
        <f>O78+P78</f>
        <v/>
      </c>
      <c r="R78">
        <f>P78+IF(F78=0,0,SUMIFS(DATA_TRANSPORT!$S:$S,DATA_TRANSPORT!$A:$A,B78,DATA_TRANSPORT!$E:$E,$B$6,DATA_TRANSPORT!$AB:$AB,$B$7,DATA_TRANSPORT!$T:$T,"Central"))</f>
        <v/>
      </c>
      <c r="S78">
        <f>IF(F78=0,0,SUMIFS(DATA_TRANSPORT!$S:$S,DATA_TRANSPORT!$A:$A,B78,DATA_TRANSPORT!$E:$E,$B$6,DATA_TRANSPORT!$AB:$AB,$B$7,DATA_TRANSPORT!$T:$T,"Members"))</f>
        <v/>
      </c>
      <c r="T78">
        <f>IF(OR(B78="",$B$17),0,SUMIFS(DATA_TRANSPORT_BUDGET!$G:$G,DATA_TRANSPORT_BUDGET!$A:$A,B78,DATA_TRANSPORT_BUDGET!$D:$D,$B$6))</f>
        <v/>
      </c>
      <c r="U78">
        <f>IF(F78=0,0,SUMIFS(DATA_TRANSPORT!$S:$S,DATA_TRANSPORT!$A:$A,B78,DATA_TRANSPORT!$E:$E,$B$6,DATA_TRANSPORT!$AB:$AB,$B$7,DATA_TRANSPORT!$C:$C,"FT Procured"))</f>
        <v/>
      </c>
      <c r="V78">
        <f>IF(F78=0,0,COUNTIFS(DATA_TRANSPORT!$A:$A,B78,DATA_TRANSPORT!$E:$E,$B$6,DATA_TRANSPORT!$AB:$AB,$B$7,DATA_TRANSPORT!$U:$U,"Breakdown"))</f>
        <v/>
      </c>
      <c r="W78">
        <f>IF(M78=0,0,N78/M78)</f>
        <v/>
      </c>
      <c r="X78">
        <f>IF(F78&gt;0,1,0)</f>
        <v/>
      </c>
      <c r="Y78">
        <f>IF(AND(A78&gt;=1,A78&lt;=$B$11),X78,0)</f>
        <v/>
      </c>
      <c r="Z78">
        <f>IF(AND(C78=$B$12,E78=$B$14),X78,0)</f>
        <v/>
      </c>
      <c r="AA78">
        <f>IF(AND(D78=$B$13,E78=$B$14),X78,0)</f>
        <v/>
      </c>
      <c r="AB78">
        <f>IF(E78=$B$14,X78,0)</f>
        <v/>
      </c>
      <c r="AE78">
        <f>IFERROR(INDEX(MASTER_AREAS!$B:$B,77)&amp;"","")</f>
        <v/>
      </c>
      <c r="AF78">
        <f>IF(OR(AE78="",$B$10=0),0,SUMIFS(DATA_TRANSPORT!$Q:$Q,DATA_TRANSPORT!$A:$A,$B$10,DATA_TRANSPORT!$E:$E,AE78))</f>
        <v/>
      </c>
      <c r="AG78">
        <f>IF(OR(AE78="",$B$10=0),0,SUMIFS(DATA_TRANSPORT!$I:$I,DATA_TRANSPORT!$A:$A,$B$10,DATA_TRANSPORT!$E:$E,AE78,DATA_TRANSPORT!$U:$U,"Ran"))</f>
        <v/>
      </c>
      <c r="AH78">
        <f>IF(OR(AE78="",$B$10=0),0,SUMIFS(DATA_TRANSPORT!$L:$L,DATA_TRANSPORT!$A:$A,$B$10,DATA_TRANSPORT!$E:$E,AE78))</f>
        <v/>
      </c>
      <c r="AI78">
        <f>IF(OR(AE78="",$B$10=0),0,SUMIFS(DATA_TRANSPORT!$R:$R,DATA_TRANSPORT!$A:$A,$B$10,DATA_TRANSPORT!$E:$E,AE78))</f>
        <v/>
      </c>
      <c r="AJ78">
        <f>IF(AH78=0,"",AI78/AH78)</f>
        <v/>
      </c>
      <c r="AK78">
        <f>IF(OR(AE78="",$B$10=0),0,SUMIFS(DATA_TRANSPORT!$S:$S,DATA_TRANSPORT!$A:$A,$B$10,DATA_TRANSPORT!$E:$E,AE78))+IF(OR(AE78="",$B$10=0),0,SUMIFS(DATA_TRANSPORT_COSTS!$M:$M,DATA_TRANSPORT_COSTS!$A:$A,$B$10,DATA_TRANSPORT_COSTS!$D:$D,AE78))</f>
        <v/>
      </c>
      <c r="AL78">
        <f>IF(OR(AF78=0,AK78=0),"",AK78/AF78)</f>
        <v/>
      </c>
      <c r="AM78">
        <f>IF(OR(AE78="",$B$10=0),0,SUMIFS(DATA_TRANSPORT!$S:$S,DATA_TRANSPORT!$A:$A,$B$10,DATA_TRANSPORT!$E:$E,AE78,DATA_TRANSPORT!$C:$C,"FT Procured"))</f>
        <v/>
      </c>
      <c r="AN78">
        <f>IF(OR(AE78="",$B$10=0),0,SUMIFS(DATA_TRANSPORT_BUDGET!$G:$G,DATA_TRANSPORT_BUDGET!$A:$A,$B$10,DATA_TRANSPORT_BUDGET!$D:$D,AE78))</f>
        <v/>
      </c>
      <c r="AO78">
        <f>IF(AN78=0,"",AM78-AN78)</f>
        <v/>
      </c>
      <c r="AP78">
        <f>IF(OR(AE78="",$B$10=0),0,COUNTIFS(DATA_TRANSPORT!$A:$A,$B$10,DATA_TRANSPORT!$E:$E,AE78,DATA_TRANSPORT!$C:$C,"FT Procured",DATA_TRANSPORT!$Y:$Y,"Y"))</f>
        <v/>
      </c>
      <c r="AQ78">
        <f>IF(OR(AE78="",$B$10=0),0,SUMIFS(DATA_TRANSPORT_BUDGET!$E:$E,DATA_TRANSPORT_BUDGET!$A:$A,$B$10,DATA_TRANSPORT_BUDGET!$D:$D,AE78))</f>
        <v/>
      </c>
      <c r="AR78">
        <f>IF(OR(AE78="",$B$10=0),0,COUNTIFS(DATA_TRANSPORT!$A:$A,$B$10,DATA_TRANSPORT!$E:$E,AE78,DATA_TRANSPORT!$U:$U,"Breakdown"))</f>
        <v/>
      </c>
      <c r="AS78">
        <f>IF(IF(OR(AE78="",$B$10=0),0,SUMIFS(DATA_TRANSPORT!$L:$L,DATA_TRANSPORT!$A:$A,$B$10-7,DATA_TRANSPORT!$E:$E,AE78))=0,"",IF(OR(AE78="",$B$10=0),0,SUMIFS(DATA_TRANSPORT!$R:$R,DATA_TRANSPORT!$A:$A,$B$10-7,DATA_TRANSPORT!$E:$E,AE78))/IF(OR(AE78="",$B$10=0),0,SUMIFS(DATA_TRANSPORT!$L:$L,DATA_TRANSPORT!$A:$A,$B$10-7,DATA_TRANSPORT!$E:$E,AE78)))</f>
        <v/>
      </c>
      <c r="AT78">
        <f>IF(IF(OR(AE78="",$B$10=0),0,SUMIFS(DATA_TRANSPORT!$L:$L,DATA_TRANSPORT!$A:$A,$B$10-14,DATA_TRANSPORT!$E:$E,AE78))=0,"",IF(OR(AE78="",$B$10=0),0,SUMIFS(DATA_TRANSPORT!$R:$R,DATA_TRANSPORT!$A:$A,$B$10-14,DATA_TRANSPORT!$E:$E,AE78))/IF(OR(AE78="",$B$10=0),0,SUMIFS(DATA_TRANSPORT!$L:$L,DATA_TRANSPORT!$A:$A,$B$10-14,DATA_TRANSPORT!$E:$E,AE78)))</f>
        <v/>
      </c>
      <c r="AU78">
        <f>IF(IF(OR(AE78="",$B$10=0),0,SUMIFS(DATA_TRANSPORT!$L:$L,DATA_TRANSPORT!$A:$A,$B$10-21,DATA_TRANSPORT!$E:$E,AE78))=0,"",IF(OR(AE78="",$B$10=0),0,SUMIFS(DATA_TRANSPORT!$R:$R,DATA_TRANSPORT!$A:$A,$B$10-21,DATA_TRANSPORT!$E:$E,AE78))/IF(OR(AE78="",$B$10=0),0,SUMIFS(DATA_TRANSPORT!$L:$L,DATA_TRANSPORT!$A:$A,$B$10-21,DATA_TRANSPORT!$E:$E,AE78)))</f>
        <v/>
      </c>
      <c r="AV78">
        <f>IF(AND(ISNUMBER(AJ78),AJ78&lt;UtilLow),1,0)+IF(AND(ISNUMBER(AS78),AS78&lt;UtilLow),1,0)+IF(AND(ISNUMBER(AT78),AT78&lt;UtilLow),1,0)+IF(AND(ISNUMBER(AU78),AU78&lt;UtilLow),1,0)</f>
        <v/>
      </c>
      <c r="AW78">
        <f>IF(AV78&gt;=UtilLowWeeks,AE78&amp;": seats only "&amp;TEXT(AJ78,"0%")&amp;" full, under "&amp;TEXT(UtilLow,"0%")&amp;" for "&amp;AV78&amp;" weeks running",IF(AND(ISNUMBER(AJ78),AJ78&gt;UtilHigh),AE78&amp;": demand exceeds seats ("&amp;TEXT(AJ78,"0%")&amp;" full) — consider more buses",IF(AND(ISNUMBER(AO78),AO78&gt;0),AE78&amp;": FT spend ₦"&amp;TEXT(AO78,"#,##0")&amp;" over the weekly budget",IF(AR78&gt;0,AE78&amp;": "&amp;AR78&amp;" coaster breakdown(s) this week",""))))</f>
        <v/>
      </c>
      <c r="AX78">
        <f>IF(ISNUMBER(AJ78),AJ78+ROW()/1000000000,"")</f>
        <v/>
      </c>
      <c r="AY78">
        <f>IF(ISNUMBER(AL78),AL78+ROW()/1000000,"")</f>
        <v/>
      </c>
      <c r="AZ78">
        <f>IF(AND(ISNUMBER(AO78),AO78&gt;0),AO78+ROW()/1000000,"")</f>
        <v/>
      </c>
      <c r="BA78">
        <f>IF(AF78&gt;0,AF78+ROW()/1000000,"")</f>
        <v/>
      </c>
      <c r="BB78">
        <f>IF(AW78="","",ROW())</f>
        <v/>
      </c>
    </row>
    <row r="79">
      <c r="A79" t="n">
        <v>58</v>
      </c>
      <c r="B79" s="170">
        <f>IF($B$10=0,"",$B$10-7*A79)</f>
        <v/>
      </c>
      <c r="C79">
        <f>IF(B79="","",MONTH(B79))</f>
        <v/>
      </c>
      <c r="D79">
        <f>IF(B79="","",ROUNDUP(MONTH(B79)/3,0))</f>
        <v/>
      </c>
      <c r="E79">
        <f>IF(B79="","",YEAR(B79))</f>
        <v/>
      </c>
      <c r="F79">
        <f>IF(B79="",0,COUNTIFS(DATA_TRANSPORT!$A:$A,B79,DATA_TRANSPORT!$E:$E,$B$6,DATA_TRANSPORT!$AB:$AB,$B$7))</f>
        <v/>
      </c>
      <c r="G79">
        <f>IF(F79=0,0,SUMIFS(DATA_TRANSPORT!$Q:$Q,DATA_TRANSPORT!$A:$A,B79,DATA_TRANSPORT!$E:$E,$B$6,DATA_TRANSPORT!$AB:$AB,$B$7))</f>
        <v/>
      </c>
      <c r="H79">
        <f>IF(F79=0,0,SUMIFS(DATA_TRANSPORT!$M:$M,DATA_TRANSPORT!$A:$A,B79,DATA_TRANSPORT!$E:$E,$B$6,DATA_TRANSPORT!$AB:$AB,$B$7))</f>
        <v/>
      </c>
      <c r="I79">
        <f>IF(F79=0,0,SUMIFS(DATA_TRANSPORT!$N:$N,DATA_TRANSPORT!$A:$A,B79,DATA_TRANSPORT!$E:$E,$B$6,DATA_TRANSPORT!$AB:$AB,$B$7))</f>
        <v/>
      </c>
      <c r="J79">
        <f>IF(F79=0,0,SUMIFS(DATA_TRANSPORT!$P:$P,DATA_TRANSPORT!$A:$A,B79,DATA_TRANSPORT!$E:$E,$B$6,DATA_TRANSPORT!$AB:$AB,$B$7))</f>
        <v/>
      </c>
      <c r="K79">
        <f>IF(F79=0,0,SUMIFS(DATA_TRANSPORT!$I:$I,DATA_TRANSPORT!$A:$A,B79,DATA_TRANSPORT!$E:$E,$B$6,DATA_TRANSPORT!$AB:$AB,$B$7))</f>
        <v/>
      </c>
      <c r="L79">
        <f>IF(F79=0,0,SUMIFS(DATA_TRANSPORT!$I:$I,DATA_TRANSPORT!$A:$A,B79,DATA_TRANSPORT!$E:$E,$B$6,DATA_TRANSPORT!$AB:$AB,$B$7,DATA_TRANSPORT!$U:$U,"Ran"))</f>
        <v/>
      </c>
      <c r="M79">
        <f>IF(F79=0,0,SUMIFS(DATA_TRANSPORT!$L:$L,DATA_TRANSPORT!$A:$A,B79,DATA_TRANSPORT!$E:$E,$B$6,DATA_TRANSPORT!$AB:$AB,$B$7))</f>
        <v/>
      </c>
      <c r="N79">
        <f>IF(F79=0,0,SUMIFS(DATA_TRANSPORT!$R:$R,DATA_TRANSPORT!$A:$A,B79,DATA_TRANSPORT!$E:$E,$B$6,DATA_TRANSPORT!$AB:$AB,$B$7))</f>
        <v/>
      </c>
      <c r="O79">
        <f>IF(F79=0,0,SUMIFS(DATA_TRANSPORT!$S:$S,DATA_TRANSPORT!$A:$A,B79,DATA_TRANSPORT!$E:$E,$B$6,DATA_TRANSPORT!$AB:$AB,$B$7))</f>
        <v/>
      </c>
      <c r="P79">
        <f>IF(OR(B79="",$B$17),0,SUMIFS(DATA_TRANSPORT_COSTS!$M:$M,DATA_TRANSPORT_COSTS!$A:$A,B79,DATA_TRANSPORT_COSTS!$D:$D,$B$6))</f>
        <v/>
      </c>
      <c r="Q79">
        <f>O79+P79</f>
        <v/>
      </c>
      <c r="R79">
        <f>P79+IF(F79=0,0,SUMIFS(DATA_TRANSPORT!$S:$S,DATA_TRANSPORT!$A:$A,B79,DATA_TRANSPORT!$E:$E,$B$6,DATA_TRANSPORT!$AB:$AB,$B$7,DATA_TRANSPORT!$T:$T,"Central"))</f>
        <v/>
      </c>
      <c r="S79">
        <f>IF(F79=0,0,SUMIFS(DATA_TRANSPORT!$S:$S,DATA_TRANSPORT!$A:$A,B79,DATA_TRANSPORT!$E:$E,$B$6,DATA_TRANSPORT!$AB:$AB,$B$7,DATA_TRANSPORT!$T:$T,"Members"))</f>
        <v/>
      </c>
      <c r="T79">
        <f>IF(OR(B79="",$B$17),0,SUMIFS(DATA_TRANSPORT_BUDGET!$G:$G,DATA_TRANSPORT_BUDGET!$A:$A,B79,DATA_TRANSPORT_BUDGET!$D:$D,$B$6))</f>
        <v/>
      </c>
      <c r="U79">
        <f>IF(F79=0,0,SUMIFS(DATA_TRANSPORT!$S:$S,DATA_TRANSPORT!$A:$A,B79,DATA_TRANSPORT!$E:$E,$B$6,DATA_TRANSPORT!$AB:$AB,$B$7,DATA_TRANSPORT!$C:$C,"FT Procured"))</f>
        <v/>
      </c>
      <c r="V79">
        <f>IF(F79=0,0,COUNTIFS(DATA_TRANSPORT!$A:$A,B79,DATA_TRANSPORT!$E:$E,$B$6,DATA_TRANSPORT!$AB:$AB,$B$7,DATA_TRANSPORT!$U:$U,"Breakdown"))</f>
        <v/>
      </c>
      <c r="W79">
        <f>IF(M79=0,0,N79/M79)</f>
        <v/>
      </c>
      <c r="X79">
        <f>IF(F79&gt;0,1,0)</f>
        <v/>
      </c>
      <c r="Y79">
        <f>IF(AND(A79&gt;=1,A79&lt;=$B$11),X79,0)</f>
        <v/>
      </c>
      <c r="Z79">
        <f>IF(AND(C79=$B$12,E79=$B$14),X79,0)</f>
        <v/>
      </c>
      <c r="AA79">
        <f>IF(AND(D79=$B$13,E79=$B$14),X79,0)</f>
        <v/>
      </c>
      <c r="AB79">
        <f>IF(E79=$B$14,X79,0)</f>
        <v/>
      </c>
      <c r="AE79">
        <f>IFERROR(INDEX(MASTER_AREAS!$B:$B,78)&amp;"","")</f>
        <v/>
      </c>
      <c r="AF79">
        <f>IF(OR(AE79="",$B$10=0),0,SUMIFS(DATA_TRANSPORT!$Q:$Q,DATA_TRANSPORT!$A:$A,$B$10,DATA_TRANSPORT!$E:$E,AE79))</f>
        <v/>
      </c>
      <c r="AG79">
        <f>IF(OR(AE79="",$B$10=0),0,SUMIFS(DATA_TRANSPORT!$I:$I,DATA_TRANSPORT!$A:$A,$B$10,DATA_TRANSPORT!$E:$E,AE79,DATA_TRANSPORT!$U:$U,"Ran"))</f>
        <v/>
      </c>
      <c r="AH79">
        <f>IF(OR(AE79="",$B$10=0),0,SUMIFS(DATA_TRANSPORT!$L:$L,DATA_TRANSPORT!$A:$A,$B$10,DATA_TRANSPORT!$E:$E,AE79))</f>
        <v/>
      </c>
      <c r="AI79">
        <f>IF(OR(AE79="",$B$10=0),0,SUMIFS(DATA_TRANSPORT!$R:$R,DATA_TRANSPORT!$A:$A,$B$10,DATA_TRANSPORT!$E:$E,AE79))</f>
        <v/>
      </c>
      <c r="AJ79">
        <f>IF(AH79=0,"",AI79/AH79)</f>
        <v/>
      </c>
      <c r="AK79">
        <f>IF(OR(AE79="",$B$10=0),0,SUMIFS(DATA_TRANSPORT!$S:$S,DATA_TRANSPORT!$A:$A,$B$10,DATA_TRANSPORT!$E:$E,AE79))+IF(OR(AE79="",$B$10=0),0,SUMIFS(DATA_TRANSPORT_COSTS!$M:$M,DATA_TRANSPORT_COSTS!$A:$A,$B$10,DATA_TRANSPORT_COSTS!$D:$D,AE79))</f>
        <v/>
      </c>
      <c r="AL79">
        <f>IF(OR(AF79=0,AK79=0),"",AK79/AF79)</f>
        <v/>
      </c>
      <c r="AM79">
        <f>IF(OR(AE79="",$B$10=0),0,SUMIFS(DATA_TRANSPORT!$S:$S,DATA_TRANSPORT!$A:$A,$B$10,DATA_TRANSPORT!$E:$E,AE79,DATA_TRANSPORT!$C:$C,"FT Procured"))</f>
        <v/>
      </c>
      <c r="AN79">
        <f>IF(OR(AE79="",$B$10=0),0,SUMIFS(DATA_TRANSPORT_BUDGET!$G:$G,DATA_TRANSPORT_BUDGET!$A:$A,$B$10,DATA_TRANSPORT_BUDGET!$D:$D,AE79))</f>
        <v/>
      </c>
      <c r="AO79">
        <f>IF(AN79=0,"",AM79-AN79)</f>
        <v/>
      </c>
      <c r="AP79">
        <f>IF(OR(AE79="",$B$10=0),0,COUNTIFS(DATA_TRANSPORT!$A:$A,$B$10,DATA_TRANSPORT!$E:$E,AE79,DATA_TRANSPORT!$C:$C,"FT Procured",DATA_TRANSPORT!$Y:$Y,"Y"))</f>
        <v/>
      </c>
      <c r="AQ79">
        <f>IF(OR(AE79="",$B$10=0),0,SUMIFS(DATA_TRANSPORT_BUDGET!$E:$E,DATA_TRANSPORT_BUDGET!$A:$A,$B$10,DATA_TRANSPORT_BUDGET!$D:$D,AE79))</f>
        <v/>
      </c>
      <c r="AR79">
        <f>IF(OR(AE79="",$B$10=0),0,COUNTIFS(DATA_TRANSPORT!$A:$A,$B$10,DATA_TRANSPORT!$E:$E,AE79,DATA_TRANSPORT!$U:$U,"Breakdown"))</f>
        <v/>
      </c>
      <c r="AS79">
        <f>IF(IF(OR(AE79="",$B$10=0),0,SUMIFS(DATA_TRANSPORT!$L:$L,DATA_TRANSPORT!$A:$A,$B$10-7,DATA_TRANSPORT!$E:$E,AE79))=0,"",IF(OR(AE79="",$B$10=0),0,SUMIFS(DATA_TRANSPORT!$R:$R,DATA_TRANSPORT!$A:$A,$B$10-7,DATA_TRANSPORT!$E:$E,AE79))/IF(OR(AE79="",$B$10=0),0,SUMIFS(DATA_TRANSPORT!$L:$L,DATA_TRANSPORT!$A:$A,$B$10-7,DATA_TRANSPORT!$E:$E,AE79)))</f>
        <v/>
      </c>
      <c r="AT79">
        <f>IF(IF(OR(AE79="",$B$10=0),0,SUMIFS(DATA_TRANSPORT!$L:$L,DATA_TRANSPORT!$A:$A,$B$10-14,DATA_TRANSPORT!$E:$E,AE79))=0,"",IF(OR(AE79="",$B$10=0),0,SUMIFS(DATA_TRANSPORT!$R:$R,DATA_TRANSPORT!$A:$A,$B$10-14,DATA_TRANSPORT!$E:$E,AE79))/IF(OR(AE79="",$B$10=0),0,SUMIFS(DATA_TRANSPORT!$L:$L,DATA_TRANSPORT!$A:$A,$B$10-14,DATA_TRANSPORT!$E:$E,AE79)))</f>
        <v/>
      </c>
      <c r="AU79">
        <f>IF(IF(OR(AE79="",$B$10=0),0,SUMIFS(DATA_TRANSPORT!$L:$L,DATA_TRANSPORT!$A:$A,$B$10-21,DATA_TRANSPORT!$E:$E,AE79))=0,"",IF(OR(AE79="",$B$10=0),0,SUMIFS(DATA_TRANSPORT!$R:$R,DATA_TRANSPORT!$A:$A,$B$10-21,DATA_TRANSPORT!$E:$E,AE79))/IF(OR(AE79="",$B$10=0),0,SUMIFS(DATA_TRANSPORT!$L:$L,DATA_TRANSPORT!$A:$A,$B$10-21,DATA_TRANSPORT!$E:$E,AE79)))</f>
        <v/>
      </c>
      <c r="AV79">
        <f>IF(AND(ISNUMBER(AJ79),AJ79&lt;UtilLow),1,0)+IF(AND(ISNUMBER(AS79),AS79&lt;UtilLow),1,0)+IF(AND(ISNUMBER(AT79),AT79&lt;UtilLow),1,0)+IF(AND(ISNUMBER(AU79),AU79&lt;UtilLow),1,0)</f>
        <v/>
      </c>
      <c r="AW79">
        <f>IF(AV79&gt;=UtilLowWeeks,AE79&amp;": seats only "&amp;TEXT(AJ79,"0%")&amp;" full, under "&amp;TEXT(UtilLow,"0%")&amp;" for "&amp;AV79&amp;" weeks running",IF(AND(ISNUMBER(AJ79),AJ79&gt;UtilHigh),AE79&amp;": demand exceeds seats ("&amp;TEXT(AJ79,"0%")&amp;" full) — consider more buses",IF(AND(ISNUMBER(AO79),AO79&gt;0),AE79&amp;": FT spend ₦"&amp;TEXT(AO79,"#,##0")&amp;" over the weekly budget",IF(AR79&gt;0,AE79&amp;": "&amp;AR79&amp;" coaster breakdown(s) this week",""))))</f>
        <v/>
      </c>
      <c r="AX79">
        <f>IF(ISNUMBER(AJ79),AJ79+ROW()/1000000000,"")</f>
        <v/>
      </c>
      <c r="AY79">
        <f>IF(ISNUMBER(AL79),AL79+ROW()/1000000,"")</f>
        <v/>
      </c>
      <c r="AZ79">
        <f>IF(AND(ISNUMBER(AO79),AO79&gt;0),AO79+ROW()/1000000,"")</f>
        <v/>
      </c>
      <c r="BA79">
        <f>IF(AF79&gt;0,AF79+ROW()/1000000,"")</f>
        <v/>
      </c>
      <c r="BB79">
        <f>IF(AW79="","",ROW())</f>
        <v/>
      </c>
    </row>
    <row r="80">
      <c r="A80" t="n">
        <v>59</v>
      </c>
      <c r="B80" s="170">
        <f>IF($B$10=0,"",$B$10-7*A80)</f>
        <v/>
      </c>
      <c r="C80">
        <f>IF(B80="","",MONTH(B80))</f>
        <v/>
      </c>
      <c r="D80">
        <f>IF(B80="","",ROUNDUP(MONTH(B80)/3,0))</f>
        <v/>
      </c>
      <c r="E80">
        <f>IF(B80="","",YEAR(B80))</f>
        <v/>
      </c>
      <c r="F80">
        <f>IF(B80="",0,COUNTIFS(DATA_TRANSPORT!$A:$A,B80,DATA_TRANSPORT!$E:$E,$B$6,DATA_TRANSPORT!$AB:$AB,$B$7))</f>
        <v/>
      </c>
      <c r="G80">
        <f>IF(F80=0,0,SUMIFS(DATA_TRANSPORT!$Q:$Q,DATA_TRANSPORT!$A:$A,B80,DATA_TRANSPORT!$E:$E,$B$6,DATA_TRANSPORT!$AB:$AB,$B$7))</f>
        <v/>
      </c>
      <c r="H80">
        <f>IF(F80=0,0,SUMIFS(DATA_TRANSPORT!$M:$M,DATA_TRANSPORT!$A:$A,B80,DATA_TRANSPORT!$E:$E,$B$6,DATA_TRANSPORT!$AB:$AB,$B$7))</f>
        <v/>
      </c>
      <c r="I80">
        <f>IF(F80=0,0,SUMIFS(DATA_TRANSPORT!$N:$N,DATA_TRANSPORT!$A:$A,B80,DATA_TRANSPORT!$E:$E,$B$6,DATA_TRANSPORT!$AB:$AB,$B$7))</f>
        <v/>
      </c>
      <c r="J80">
        <f>IF(F80=0,0,SUMIFS(DATA_TRANSPORT!$P:$P,DATA_TRANSPORT!$A:$A,B80,DATA_TRANSPORT!$E:$E,$B$6,DATA_TRANSPORT!$AB:$AB,$B$7))</f>
        <v/>
      </c>
      <c r="K80">
        <f>IF(F80=0,0,SUMIFS(DATA_TRANSPORT!$I:$I,DATA_TRANSPORT!$A:$A,B80,DATA_TRANSPORT!$E:$E,$B$6,DATA_TRANSPORT!$AB:$AB,$B$7))</f>
        <v/>
      </c>
      <c r="L80">
        <f>IF(F80=0,0,SUMIFS(DATA_TRANSPORT!$I:$I,DATA_TRANSPORT!$A:$A,B80,DATA_TRANSPORT!$E:$E,$B$6,DATA_TRANSPORT!$AB:$AB,$B$7,DATA_TRANSPORT!$U:$U,"Ran"))</f>
        <v/>
      </c>
      <c r="M80">
        <f>IF(F80=0,0,SUMIFS(DATA_TRANSPORT!$L:$L,DATA_TRANSPORT!$A:$A,B80,DATA_TRANSPORT!$E:$E,$B$6,DATA_TRANSPORT!$AB:$AB,$B$7))</f>
        <v/>
      </c>
      <c r="N80">
        <f>IF(F80=0,0,SUMIFS(DATA_TRANSPORT!$R:$R,DATA_TRANSPORT!$A:$A,B80,DATA_TRANSPORT!$E:$E,$B$6,DATA_TRANSPORT!$AB:$AB,$B$7))</f>
        <v/>
      </c>
      <c r="O80">
        <f>IF(F80=0,0,SUMIFS(DATA_TRANSPORT!$S:$S,DATA_TRANSPORT!$A:$A,B80,DATA_TRANSPORT!$E:$E,$B$6,DATA_TRANSPORT!$AB:$AB,$B$7))</f>
        <v/>
      </c>
      <c r="P80">
        <f>IF(OR(B80="",$B$17),0,SUMIFS(DATA_TRANSPORT_COSTS!$M:$M,DATA_TRANSPORT_COSTS!$A:$A,B80,DATA_TRANSPORT_COSTS!$D:$D,$B$6))</f>
        <v/>
      </c>
      <c r="Q80">
        <f>O80+P80</f>
        <v/>
      </c>
      <c r="R80">
        <f>P80+IF(F80=0,0,SUMIFS(DATA_TRANSPORT!$S:$S,DATA_TRANSPORT!$A:$A,B80,DATA_TRANSPORT!$E:$E,$B$6,DATA_TRANSPORT!$AB:$AB,$B$7,DATA_TRANSPORT!$T:$T,"Central"))</f>
        <v/>
      </c>
      <c r="S80">
        <f>IF(F80=0,0,SUMIFS(DATA_TRANSPORT!$S:$S,DATA_TRANSPORT!$A:$A,B80,DATA_TRANSPORT!$E:$E,$B$6,DATA_TRANSPORT!$AB:$AB,$B$7,DATA_TRANSPORT!$T:$T,"Members"))</f>
        <v/>
      </c>
      <c r="T80">
        <f>IF(OR(B80="",$B$17),0,SUMIFS(DATA_TRANSPORT_BUDGET!$G:$G,DATA_TRANSPORT_BUDGET!$A:$A,B80,DATA_TRANSPORT_BUDGET!$D:$D,$B$6))</f>
        <v/>
      </c>
      <c r="U80">
        <f>IF(F80=0,0,SUMIFS(DATA_TRANSPORT!$S:$S,DATA_TRANSPORT!$A:$A,B80,DATA_TRANSPORT!$E:$E,$B$6,DATA_TRANSPORT!$AB:$AB,$B$7,DATA_TRANSPORT!$C:$C,"FT Procured"))</f>
        <v/>
      </c>
      <c r="V80">
        <f>IF(F80=0,0,COUNTIFS(DATA_TRANSPORT!$A:$A,B80,DATA_TRANSPORT!$E:$E,$B$6,DATA_TRANSPORT!$AB:$AB,$B$7,DATA_TRANSPORT!$U:$U,"Breakdown"))</f>
        <v/>
      </c>
      <c r="W80">
        <f>IF(M80=0,0,N80/M80)</f>
        <v/>
      </c>
      <c r="X80">
        <f>IF(F80&gt;0,1,0)</f>
        <v/>
      </c>
      <c r="Y80">
        <f>IF(AND(A80&gt;=1,A80&lt;=$B$11),X80,0)</f>
        <v/>
      </c>
      <c r="Z80">
        <f>IF(AND(C80=$B$12,E80=$B$14),X80,0)</f>
        <v/>
      </c>
      <c r="AA80">
        <f>IF(AND(D80=$B$13,E80=$B$14),X80,0)</f>
        <v/>
      </c>
      <c r="AB80">
        <f>IF(E80=$B$14,X80,0)</f>
        <v/>
      </c>
      <c r="AE80">
        <f>IFERROR(INDEX(MASTER_AREAS!$B:$B,79)&amp;"","")</f>
        <v/>
      </c>
      <c r="AF80">
        <f>IF(OR(AE80="",$B$10=0),0,SUMIFS(DATA_TRANSPORT!$Q:$Q,DATA_TRANSPORT!$A:$A,$B$10,DATA_TRANSPORT!$E:$E,AE80))</f>
        <v/>
      </c>
      <c r="AG80">
        <f>IF(OR(AE80="",$B$10=0),0,SUMIFS(DATA_TRANSPORT!$I:$I,DATA_TRANSPORT!$A:$A,$B$10,DATA_TRANSPORT!$E:$E,AE80,DATA_TRANSPORT!$U:$U,"Ran"))</f>
        <v/>
      </c>
      <c r="AH80">
        <f>IF(OR(AE80="",$B$10=0),0,SUMIFS(DATA_TRANSPORT!$L:$L,DATA_TRANSPORT!$A:$A,$B$10,DATA_TRANSPORT!$E:$E,AE80))</f>
        <v/>
      </c>
      <c r="AI80">
        <f>IF(OR(AE80="",$B$10=0),0,SUMIFS(DATA_TRANSPORT!$R:$R,DATA_TRANSPORT!$A:$A,$B$10,DATA_TRANSPORT!$E:$E,AE80))</f>
        <v/>
      </c>
      <c r="AJ80">
        <f>IF(AH80=0,"",AI80/AH80)</f>
        <v/>
      </c>
      <c r="AK80">
        <f>IF(OR(AE80="",$B$10=0),0,SUMIFS(DATA_TRANSPORT!$S:$S,DATA_TRANSPORT!$A:$A,$B$10,DATA_TRANSPORT!$E:$E,AE80))+IF(OR(AE80="",$B$10=0),0,SUMIFS(DATA_TRANSPORT_COSTS!$M:$M,DATA_TRANSPORT_COSTS!$A:$A,$B$10,DATA_TRANSPORT_COSTS!$D:$D,AE80))</f>
        <v/>
      </c>
      <c r="AL80">
        <f>IF(OR(AF80=0,AK80=0),"",AK80/AF80)</f>
        <v/>
      </c>
      <c r="AM80">
        <f>IF(OR(AE80="",$B$10=0),0,SUMIFS(DATA_TRANSPORT!$S:$S,DATA_TRANSPORT!$A:$A,$B$10,DATA_TRANSPORT!$E:$E,AE80,DATA_TRANSPORT!$C:$C,"FT Procured"))</f>
        <v/>
      </c>
      <c r="AN80">
        <f>IF(OR(AE80="",$B$10=0),0,SUMIFS(DATA_TRANSPORT_BUDGET!$G:$G,DATA_TRANSPORT_BUDGET!$A:$A,$B$10,DATA_TRANSPORT_BUDGET!$D:$D,AE80))</f>
        <v/>
      </c>
      <c r="AO80">
        <f>IF(AN80=0,"",AM80-AN80)</f>
        <v/>
      </c>
      <c r="AP80">
        <f>IF(OR(AE80="",$B$10=0),0,COUNTIFS(DATA_TRANSPORT!$A:$A,$B$10,DATA_TRANSPORT!$E:$E,AE80,DATA_TRANSPORT!$C:$C,"FT Procured",DATA_TRANSPORT!$Y:$Y,"Y"))</f>
        <v/>
      </c>
      <c r="AQ80">
        <f>IF(OR(AE80="",$B$10=0),0,SUMIFS(DATA_TRANSPORT_BUDGET!$E:$E,DATA_TRANSPORT_BUDGET!$A:$A,$B$10,DATA_TRANSPORT_BUDGET!$D:$D,AE80))</f>
        <v/>
      </c>
      <c r="AR80">
        <f>IF(OR(AE80="",$B$10=0),0,COUNTIFS(DATA_TRANSPORT!$A:$A,$B$10,DATA_TRANSPORT!$E:$E,AE80,DATA_TRANSPORT!$U:$U,"Breakdown"))</f>
        <v/>
      </c>
      <c r="AS80">
        <f>IF(IF(OR(AE80="",$B$10=0),0,SUMIFS(DATA_TRANSPORT!$L:$L,DATA_TRANSPORT!$A:$A,$B$10-7,DATA_TRANSPORT!$E:$E,AE80))=0,"",IF(OR(AE80="",$B$10=0),0,SUMIFS(DATA_TRANSPORT!$R:$R,DATA_TRANSPORT!$A:$A,$B$10-7,DATA_TRANSPORT!$E:$E,AE80))/IF(OR(AE80="",$B$10=0),0,SUMIFS(DATA_TRANSPORT!$L:$L,DATA_TRANSPORT!$A:$A,$B$10-7,DATA_TRANSPORT!$E:$E,AE80)))</f>
        <v/>
      </c>
      <c r="AT80">
        <f>IF(IF(OR(AE80="",$B$10=0),0,SUMIFS(DATA_TRANSPORT!$L:$L,DATA_TRANSPORT!$A:$A,$B$10-14,DATA_TRANSPORT!$E:$E,AE80))=0,"",IF(OR(AE80="",$B$10=0),0,SUMIFS(DATA_TRANSPORT!$R:$R,DATA_TRANSPORT!$A:$A,$B$10-14,DATA_TRANSPORT!$E:$E,AE80))/IF(OR(AE80="",$B$10=0),0,SUMIFS(DATA_TRANSPORT!$L:$L,DATA_TRANSPORT!$A:$A,$B$10-14,DATA_TRANSPORT!$E:$E,AE80)))</f>
        <v/>
      </c>
      <c r="AU80">
        <f>IF(IF(OR(AE80="",$B$10=0),0,SUMIFS(DATA_TRANSPORT!$L:$L,DATA_TRANSPORT!$A:$A,$B$10-21,DATA_TRANSPORT!$E:$E,AE80))=0,"",IF(OR(AE80="",$B$10=0),0,SUMIFS(DATA_TRANSPORT!$R:$R,DATA_TRANSPORT!$A:$A,$B$10-21,DATA_TRANSPORT!$E:$E,AE80))/IF(OR(AE80="",$B$10=0),0,SUMIFS(DATA_TRANSPORT!$L:$L,DATA_TRANSPORT!$A:$A,$B$10-21,DATA_TRANSPORT!$E:$E,AE80)))</f>
        <v/>
      </c>
      <c r="AV80">
        <f>IF(AND(ISNUMBER(AJ80),AJ80&lt;UtilLow),1,0)+IF(AND(ISNUMBER(AS80),AS80&lt;UtilLow),1,0)+IF(AND(ISNUMBER(AT80),AT80&lt;UtilLow),1,0)+IF(AND(ISNUMBER(AU80),AU80&lt;UtilLow),1,0)</f>
        <v/>
      </c>
      <c r="AW80">
        <f>IF(AV80&gt;=UtilLowWeeks,AE80&amp;": seats only "&amp;TEXT(AJ80,"0%")&amp;" full, under "&amp;TEXT(UtilLow,"0%")&amp;" for "&amp;AV80&amp;" weeks running",IF(AND(ISNUMBER(AJ80),AJ80&gt;UtilHigh),AE80&amp;": demand exceeds seats ("&amp;TEXT(AJ80,"0%")&amp;" full) — consider more buses",IF(AND(ISNUMBER(AO80),AO80&gt;0),AE80&amp;": FT spend ₦"&amp;TEXT(AO80,"#,##0")&amp;" over the weekly budget",IF(AR80&gt;0,AE80&amp;": "&amp;AR80&amp;" coaster breakdown(s) this week",""))))</f>
        <v/>
      </c>
      <c r="AX80">
        <f>IF(ISNUMBER(AJ80),AJ80+ROW()/1000000000,"")</f>
        <v/>
      </c>
      <c r="AY80">
        <f>IF(ISNUMBER(AL80),AL80+ROW()/1000000,"")</f>
        <v/>
      </c>
      <c r="AZ80">
        <f>IF(AND(ISNUMBER(AO80),AO80&gt;0),AO80+ROW()/1000000,"")</f>
        <v/>
      </c>
      <c r="BA80">
        <f>IF(AF80&gt;0,AF80+ROW()/1000000,"")</f>
        <v/>
      </c>
      <c r="BB80">
        <f>IF(AW80="","",ROW())</f>
        <v/>
      </c>
    </row>
    <row r="81">
      <c r="AE81">
        <f>IFERROR(INDEX(MASTER_AREAS!$B:$B,80)&amp;"","")</f>
        <v/>
      </c>
      <c r="AF81">
        <f>IF(OR(AE81="",$B$10=0),0,SUMIFS(DATA_TRANSPORT!$Q:$Q,DATA_TRANSPORT!$A:$A,$B$10,DATA_TRANSPORT!$E:$E,AE81))</f>
        <v/>
      </c>
      <c r="AG81">
        <f>IF(OR(AE81="",$B$10=0),0,SUMIFS(DATA_TRANSPORT!$I:$I,DATA_TRANSPORT!$A:$A,$B$10,DATA_TRANSPORT!$E:$E,AE81,DATA_TRANSPORT!$U:$U,"Ran"))</f>
        <v/>
      </c>
      <c r="AH81">
        <f>IF(OR(AE81="",$B$10=0),0,SUMIFS(DATA_TRANSPORT!$L:$L,DATA_TRANSPORT!$A:$A,$B$10,DATA_TRANSPORT!$E:$E,AE81))</f>
        <v/>
      </c>
      <c r="AI81">
        <f>IF(OR(AE81="",$B$10=0),0,SUMIFS(DATA_TRANSPORT!$R:$R,DATA_TRANSPORT!$A:$A,$B$10,DATA_TRANSPORT!$E:$E,AE81))</f>
        <v/>
      </c>
      <c r="AJ81">
        <f>IF(AH81=0,"",AI81/AH81)</f>
        <v/>
      </c>
      <c r="AK81">
        <f>IF(OR(AE81="",$B$10=0),0,SUMIFS(DATA_TRANSPORT!$S:$S,DATA_TRANSPORT!$A:$A,$B$10,DATA_TRANSPORT!$E:$E,AE81))+IF(OR(AE81="",$B$10=0),0,SUMIFS(DATA_TRANSPORT_COSTS!$M:$M,DATA_TRANSPORT_COSTS!$A:$A,$B$10,DATA_TRANSPORT_COSTS!$D:$D,AE81))</f>
        <v/>
      </c>
      <c r="AL81">
        <f>IF(OR(AF81=0,AK81=0),"",AK81/AF81)</f>
        <v/>
      </c>
      <c r="AM81">
        <f>IF(OR(AE81="",$B$10=0),0,SUMIFS(DATA_TRANSPORT!$S:$S,DATA_TRANSPORT!$A:$A,$B$10,DATA_TRANSPORT!$E:$E,AE81,DATA_TRANSPORT!$C:$C,"FT Procured"))</f>
        <v/>
      </c>
      <c r="AN81">
        <f>IF(OR(AE81="",$B$10=0),0,SUMIFS(DATA_TRANSPORT_BUDGET!$G:$G,DATA_TRANSPORT_BUDGET!$A:$A,$B$10,DATA_TRANSPORT_BUDGET!$D:$D,AE81))</f>
        <v/>
      </c>
      <c r="AO81">
        <f>IF(AN81=0,"",AM81-AN81)</f>
        <v/>
      </c>
      <c r="AP81">
        <f>IF(OR(AE81="",$B$10=0),0,COUNTIFS(DATA_TRANSPORT!$A:$A,$B$10,DATA_TRANSPORT!$E:$E,AE81,DATA_TRANSPORT!$C:$C,"FT Procured",DATA_TRANSPORT!$Y:$Y,"Y"))</f>
        <v/>
      </c>
      <c r="AQ81">
        <f>IF(OR(AE81="",$B$10=0),0,SUMIFS(DATA_TRANSPORT_BUDGET!$E:$E,DATA_TRANSPORT_BUDGET!$A:$A,$B$10,DATA_TRANSPORT_BUDGET!$D:$D,AE81))</f>
        <v/>
      </c>
      <c r="AR81">
        <f>IF(OR(AE81="",$B$10=0),0,COUNTIFS(DATA_TRANSPORT!$A:$A,$B$10,DATA_TRANSPORT!$E:$E,AE81,DATA_TRANSPORT!$U:$U,"Breakdown"))</f>
        <v/>
      </c>
      <c r="AS81">
        <f>IF(IF(OR(AE81="",$B$10=0),0,SUMIFS(DATA_TRANSPORT!$L:$L,DATA_TRANSPORT!$A:$A,$B$10-7,DATA_TRANSPORT!$E:$E,AE81))=0,"",IF(OR(AE81="",$B$10=0),0,SUMIFS(DATA_TRANSPORT!$R:$R,DATA_TRANSPORT!$A:$A,$B$10-7,DATA_TRANSPORT!$E:$E,AE81))/IF(OR(AE81="",$B$10=0),0,SUMIFS(DATA_TRANSPORT!$L:$L,DATA_TRANSPORT!$A:$A,$B$10-7,DATA_TRANSPORT!$E:$E,AE81)))</f>
        <v/>
      </c>
      <c r="AT81">
        <f>IF(IF(OR(AE81="",$B$10=0),0,SUMIFS(DATA_TRANSPORT!$L:$L,DATA_TRANSPORT!$A:$A,$B$10-14,DATA_TRANSPORT!$E:$E,AE81))=0,"",IF(OR(AE81="",$B$10=0),0,SUMIFS(DATA_TRANSPORT!$R:$R,DATA_TRANSPORT!$A:$A,$B$10-14,DATA_TRANSPORT!$E:$E,AE81))/IF(OR(AE81="",$B$10=0),0,SUMIFS(DATA_TRANSPORT!$L:$L,DATA_TRANSPORT!$A:$A,$B$10-14,DATA_TRANSPORT!$E:$E,AE81)))</f>
        <v/>
      </c>
      <c r="AU81">
        <f>IF(IF(OR(AE81="",$B$10=0),0,SUMIFS(DATA_TRANSPORT!$L:$L,DATA_TRANSPORT!$A:$A,$B$10-21,DATA_TRANSPORT!$E:$E,AE81))=0,"",IF(OR(AE81="",$B$10=0),0,SUMIFS(DATA_TRANSPORT!$R:$R,DATA_TRANSPORT!$A:$A,$B$10-21,DATA_TRANSPORT!$E:$E,AE81))/IF(OR(AE81="",$B$10=0),0,SUMIFS(DATA_TRANSPORT!$L:$L,DATA_TRANSPORT!$A:$A,$B$10-21,DATA_TRANSPORT!$E:$E,AE81)))</f>
        <v/>
      </c>
      <c r="AV81">
        <f>IF(AND(ISNUMBER(AJ81),AJ81&lt;UtilLow),1,0)+IF(AND(ISNUMBER(AS81),AS81&lt;UtilLow),1,0)+IF(AND(ISNUMBER(AT81),AT81&lt;UtilLow),1,0)+IF(AND(ISNUMBER(AU81),AU81&lt;UtilLow),1,0)</f>
        <v/>
      </c>
      <c r="AW81">
        <f>IF(AV81&gt;=UtilLowWeeks,AE81&amp;": seats only "&amp;TEXT(AJ81,"0%")&amp;" full, under "&amp;TEXT(UtilLow,"0%")&amp;" for "&amp;AV81&amp;" weeks running",IF(AND(ISNUMBER(AJ81),AJ81&gt;UtilHigh),AE81&amp;": demand exceeds seats ("&amp;TEXT(AJ81,"0%")&amp;" full) — consider more buses",IF(AND(ISNUMBER(AO81),AO81&gt;0),AE81&amp;": FT spend ₦"&amp;TEXT(AO81,"#,##0")&amp;" over the weekly budget",IF(AR81&gt;0,AE81&amp;": "&amp;AR81&amp;" coaster breakdown(s) this week",""))))</f>
        <v/>
      </c>
      <c r="AX81">
        <f>IF(ISNUMBER(AJ81),AJ81+ROW()/1000000000,"")</f>
        <v/>
      </c>
      <c r="AY81">
        <f>IF(ISNUMBER(AL81),AL81+ROW()/1000000,"")</f>
        <v/>
      </c>
      <c r="AZ81">
        <f>IF(AND(ISNUMBER(AO81),AO81&gt;0),AO81+ROW()/1000000,"")</f>
        <v/>
      </c>
      <c r="BA81">
        <f>IF(AF81&gt;0,AF81+ROW()/1000000,"")</f>
        <v/>
      </c>
      <c r="BB81">
        <f>IF(AW81="","",ROW())</f>
        <v/>
      </c>
    </row>
    <row r="82">
      <c r="AE82">
        <f>IFERROR(INDEX(MASTER_AREAS!$B:$B,81)&amp;"","")</f>
        <v/>
      </c>
      <c r="AF82">
        <f>IF(OR(AE82="",$B$10=0),0,SUMIFS(DATA_TRANSPORT!$Q:$Q,DATA_TRANSPORT!$A:$A,$B$10,DATA_TRANSPORT!$E:$E,AE82))</f>
        <v/>
      </c>
      <c r="AG82">
        <f>IF(OR(AE82="",$B$10=0),0,SUMIFS(DATA_TRANSPORT!$I:$I,DATA_TRANSPORT!$A:$A,$B$10,DATA_TRANSPORT!$E:$E,AE82,DATA_TRANSPORT!$U:$U,"Ran"))</f>
        <v/>
      </c>
      <c r="AH82">
        <f>IF(OR(AE82="",$B$10=0),0,SUMIFS(DATA_TRANSPORT!$L:$L,DATA_TRANSPORT!$A:$A,$B$10,DATA_TRANSPORT!$E:$E,AE82))</f>
        <v/>
      </c>
      <c r="AI82">
        <f>IF(OR(AE82="",$B$10=0),0,SUMIFS(DATA_TRANSPORT!$R:$R,DATA_TRANSPORT!$A:$A,$B$10,DATA_TRANSPORT!$E:$E,AE82))</f>
        <v/>
      </c>
      <c r="AJ82">
        <f>IF(AH82=0,"",AI82/AH82)</f>
        <v/>
      </c>
      <c r="AK82">
        <f>IF(OR(AE82="",$B$10=0),0,SUMIFS(DATA_TRANSPORT!$S:$S,DATA_TRANSPORT!$A:$A,$B$10,DATA_TRANSPORT!$E:$E,AE82))+IF(OR(AE82="",$B$10=0),0,SUMIFS(DATA_TRANSPORT_COSTS!$M:$M,DATA_TRANSPORT_COSTS!$A:$A,$B$10,DATA_TRANSPORT_COSTS!$D:$D,AE82))</f>
        <v/>
      </c>
      <c r="AL82">
        <f>IF(OR(AF82=0,AK82=0),"",AK82/AF82)</f>
        <v/>
      </c>
      <c r="AM82">
        <f>IF(OR(AE82="",$B$10=0),0,SUMIFS(DATA_TRANSPORT!$S:$S,DATA_TRANSPORT!$A:$A,$B$10,DATA_TRANSPORT!$E:$E,AE82,DATA_TRANSPORT!$C:$C,"FT Procured"))</f>
        <v/>
      </c>
      <c r="AN82">
        <f>IF(OR(AE82="",$B$10=0),0,SUMIFS(DATA_TRANSPORT_BUDGET!$G:$G,DATA_TRANSPORT_BUDGET!$A:$A,$B$10,DATA_TRANSPORT_BUDGET!$D:$D,AE82))</f>
        <v/>
      </c>
      <c r="AO82">
        <f>IF(AN82=0,"",AM82-AN82)</f>
        <v/>
      </c>
      <c r="AP82">
        <f>IF(OR(AE82="",$B$10=0),0,COUNTIFS(DATA_TRANSPORT!$A:$A,$B$10,DATA_TRANSPORT!$E:$E,AE82,DATA_TRANSPORT!$C:$C,"FT Procured",DATA_TRANSPORT!$Y:$Y,"Y"))</f>
        <v/>
      </c>
      <c r="AQ82">
        <f>IF(OR(AE82="",$B$10=0),0,SUMIFS(DATA_TRANSPORT_BUDGET!$E:$E,DATA_TRANSPORT_BUDGET!$A:$A,$B$10,DATA_TRANSPORT_BUDGET!$D:$D,AE82))</f>
        <v/>
      </c>
      <c r="AR82">
        <f>IF(OR(AE82="",$B$10=0),0,COUNTIFS(DATA_TRANSPORT!$A:$A,$B$10,DATA_TRANSPORT!$E:$E,AE82,DATA_TRANSPORT!$U:$U,"Breakdown"))</f>
        <v/>
      </c>
      <c r="AS82">
        <f>IF(IF(OR(AE82="",$B$10=0),0,SUMIFS(DATA_TRANSPORT!$L:$L,DATA_TRANSPORT!$A:$A,$B$10-7,DATA_TRANSPORT!$E:$E,AE82))=0,"",IF(OR(AE82="",$B$10=0),0,SUMIFS(DATA_TRANSPORT!$R:$R,DATA_TRANSPORT!$A:$A,$B$10-7,DATA_TRANSPORT!$E:$E,AE82))/IF(OR(AE82="",$B$10=0),0,SUMIFS(DATA_TRANSPORT!$L:$L,DATA_TRANSPORT!$A:$A,$B$10-7,DATA_TRANSPORT!$E:$E,AE82)))</f>
        <v/>
      </c>
      <c r="AT82">
        <f>IF(IF(OR(AE82="",$B$10=0),0,SUMIFS(DATA_TRANSPORT!$L:$L,DATA_TRANSPORT!$A:$A,$B$10-14,DATA_TRANSPORT!$E:$E,AE82))=0,"",IF(OR(AE82="",$B$10=0),0,SUMIFS(DATA_TRANSPORT!$R:$R,DATA_TRANSPORT!$A:$A,$B$10-14,DATA_TRANSPORT!$E:$E,AE82))/IF(OR(AE82="",$B$10=0),0,SUMIFS(DATA_TRANSPORT!$L:$L,DATA_TRANSPORT!$A:$A,$B$10-14,DATA_TRANSPORT!$E:$E,AE82)))</f>
        <v/>
      </c>
      <c r="AU82">
        <f>IF(IF(OR(AE82="",$B$10=0),0,SUMIFS(DATA_TRANSPORT!$L:$L,DATA_TRANSPORT!$A:$A,$B$10-21,DATA_TRANSPORT!$E:$E,AE82))=0,"",IF(OR(AE82="",$B$10=0),0,SUMIFS(DATA_TRANSPORT!$R:$R,DATA_TRANSPORT!$A:$A,$B$10-21,DATA_TRANSPORT!$E:$E,AE82))/IF(OR(AE82="",$B$10=0),0,SUMIFS(DATA_TRANSPORT!$L:$L,DATA_TRANSPORT!$A:$A,$B$10-21,DATA_TRANSPORT!$E:$E,AE82)))</f>
        <v/>
      </c>
      <c r="AV82">
        <f>IF(AND(ISNUMBER(AJ82),AJ82&lt;UtilLow),1,0)+IF(AND(ISNUMBER(AS82),AS82&lt;UtilLow),1,0)+IF(AND(ISNUMBER(AT82),AT82&lt;UtilLow),1,0)+IF(AND(ISNUMBER(AU82),AU82&lt;UtilLow),1,0)</f>
        <v/>
      </c>
      <c r="AW82">
        <f>IF(AV82&gt;=UtilLowWeeks,AE82&amp;": seats only "&amp;TEXT(AJ82,"0%")&amp;" full, under "&amp;TEXT(UtilLow,"0%")&amp;" for "&amp;AV82&amp;" weeks running",IF(AND(ISNUMBER(AJ82),AJ82&gt;UtilHigh),AE82&amp;": demand exceeds seats ("&amp;TEXT(AJ82,"0%")&amp;" full) — consider more buses",IF(AND(ISNUMBER(AO82),AO82&gt;0),AE82&amp;": FT spend ₦"&amp;TEXT(AO82,"#,##0")&amp;" over the weekly budget",IF(AR82&gt;0,AE82&amp;": "&amp;AR82&amp;" coaster breakdown(s) this week",""))))</f>
        <v/>
      </c>
      <c r="AX82">
        <f>IF(ISNUMBER(AJ82),AJ82+ROW()/1000000000,"")</f>
        <v/>
      </c>
      <c r="AY82">
        <f>IF(ISNUMBER(AL82),AL82+ROW()/1000000,"")</f>
        <v/>
      </c>
      <c r="AZ82">
        <f>IF(AND(ISNUMBER(AO82),AO82&gt;0),AO82+ROW()/1000000,"")</f>
        <v/>
      </c>
      <c r="BA82">
        <f>IF(AF82&gt;0,AF82+ROW()/1000000,"")</f>
        <v/>
      </c>
      <c r="BB82">
        <f>IF(AW82="","",ROW())</f>
        <v/>
      </c>
    </row>
    <row r="83">
      <c r="AE83">
        <f>IFERROR(INDEX(MASTER_AREAS!$B:$B,82)&amp;"","")</f>
        <v/>
      </c>
      <c r="AF83">
        <f>IF(OR(AE83="",$B$10=0),0,SUMIFS(DATA_TRANSPORT!$Q:$Q,DATA_TRANSPORT!$A:$A,$B$10,DATA_TRANSPORT!$E:$E,AE83))</f>
        <v/>
      </c>
      <c r="AG83">
        <f>IF(OR(AE83="",$B$10=0),0,SUMIFS(DATA_TRANSPORT!$I:$I,DATA_TRANSPORT!$A:$A,$B$10,DATA_TRANSPORT!$E:$E,AE83,DATA_TRANSPORT!$U:$U,"Ran"))</f>
        <v/>
      </c>
      <c r="AH83">
        <f>IF(OR(AE83="",$B$10=0),0,SUMIFS(DATA_TRANSPORT!$L:$L,DATA_TRANSPORT!$A:$A,$B$10,DATA_TRANSPORT!$E:$E,AE83))</f>
        <v/>
      </c>
      <c r="AI83">
        <f>IF(OR(AE83="",$B$10=0),0,SUMIFS(DATA_TRANSPORT!$R:$R,DATA_TRANSPORT!$A:$A,$B$10,DATA_TRANSPORT!$E:$E,AE83))</f>
        <v/>
      </c>
      <c r="AJ83">
        <f>IF(AH83=0,"",AI83/AH83)</f>
        <v/>
      </c>
      <c r="AK83">
        <f>IF(OR(AE83="",$B$10=0),0,SUMIFS(DATA_TRANSPORT!$S:$S,DATA_TRANSPORT!$A:$A,$B$10,DATA_TRANSPORT!$E:$E,AE83))+IF(OR(AE83="",$B$10=0),0,SUMIFS(DATA_TRANSPORT_COSTS!$M:$M,DATA_TRANSPORT_COSTS!$A:$A,$B$10,DATA_TRANSPORT_COSTS!$D:$D,AE83))</f>
        <v/>
      </c>
      <c r="AL83">
        <f>IF(OR(AF83=0,AK83=0),"",AK83/AF83)</f>
        <v/>
      </c>
      <c r="AM83">
        <f>IF(OR(AE83="",$B$10=0),0,SUMIFS(DATA_TRANSPORT!$S:$S,DATA_TRANSPORT!$A:$A,$B$10,DATA_TRANSPORT!$E:$E,AE83,DATA_TRANSPORT!$C:$C,"FT Procured"))</f>
        <v/>
      </c>
      <c r="AN83">
        <f>IF(OR(AE83="",$B$10=0),0,SUMIFS(DATA_TRANSPORT_BUDGET!$G:$G,DATA_TRANSPORT_BUDGET!$A:$A,$B$10,DATA_TRANSPORT_BUDGET!$D:$D,AE83))</f>
        <v/>
      </c>
      <c r="AO83">
        <f>IF(AN83=0,"",AM83-AN83)</f>
        <v/>
      </c>
      <c r="AP83">
        <f>IF(OR(AE83="",$B$10=0),0,COUNTIFS(DATA_TRANSPORT!$A:$A,$B$10,DATA_TRANSPORT!$E:$E,AE83,DATA_TRANSPORT!$C:$C,"FT Procured",DATA_TRANSPORT!$Y:$Y,"Y"))</f>
        <v/>
      </c>
      <c r="AQ83">
        <f>IF(OR(AE83="",$B$10=0),0,SUMIFS(DATA_TRANSPORT_BUDGET!$E:$E,DATA_TRANSPORT_BUDGET!$A:$A,$B$10,DATA_TRANSPORT_BUDGET!$D:$D,AE83))</f>
        <v/>
      </c>
      <c r="AR83">
        <f>IF(OR(AE83="",$B$10=0),0,COUNTIFS(DATA_TRANSPORT!$A:$A,$B$10,DATA_TRANSPORT!$E:$E,AE83,DATA_TRANSPORT!$U:$U,"Breakdown"))</f>
        <v/>
      </c>
      <c r="AS83">
        <f>IF(IF(OR(AE83="",$B$10=0),0,SUMIFS(DATA_TRANSPORT!$L:$L,DATA_TRANSPORT!$A:$A,$B$10-7,DATA_TRANSPORT!$E:$E,AE83))=0,"",IF(OR(AE83="",$B$10=0),0,SUMIFS(DATA_TRANSPORT!$R:$R,DATA_TRANSPORT!$A:$A,$B$10-7,DATA_TRANSPORT!$E:$E,AE83))/IF(OR(AE83="",$B$10=0),0,SUMIFS(DATA_TRANSPORT!$L:$L,DATA_TRANSPORT!$A:$A,$B$10-7,DATA_TRANSPORT!$E:$E,AE83)))</f>
        <v/>
      </c>
      <c r="AT83">
        <f>IF(IF(OR(AE83="",$B$10=0),0,SUMIFS(DATA_TRANSPORT!$L:$L,DATA_TRANSPORT!$A:$A,$B$10-14,DATA_TRANSPORT!$E:$E,AE83))=0,"",IF(OR(AE83="",$B$10=0),0,SUMIFS(DATA_TRANSPORT!$R:$R,DATA_TRANSPORT!$A:$A,$B$10-14,DATA_TRANSPORT!$E:$E,AE83))/IF(OR(AE83="",$B$10=0),0,SUMIFS(DATA_TRANSPORT!$L:$L,DATA_TRANSPORT!$A:$A,$B$10-14,DATA_TRANSPORT!$E:$E,AE83)))</f>
        <v/>
      </c>
      <c r="AU83">
        <f>IF(IF(OR(AE83="",$B$10=0),0,SUMIFS(DATA_TRANSPORT!$L:$L,DATA_TRANSPORT!$A:$A,$B$10-21,DATA_TRANSPORT!$E:$E,AE83))=0,"",IF(OR(AE83="",$B$10=0),0,SUMIFS(DATA_TRANSPORT!$R:$R,DATA_TRANSPORT!$A:$A,$B$10-21,DATA_TRANSPORT!$E:$E,AE83))/IF(OR(AE83="",$B$10=0),0,SUMIFS(DATA_TRANSPORT!$L:$L,DATA_TRANSPORT!$A:$A,$B$10-21,DATA_TRANSPORT!$E:$E,AE83)))</f>
        <v/>
      </c>
      <c r="AV83">
        <f>IF(AND(ISNUMBER(AJ83),AJ83&lt;UtilLow),1,0)+IF(AND(ISNUMBER(AS83),AS83&lt;UtilLow),1,0)+IF(AND(ISNUMBER(AT83),AT83&lt;UtilLow),1,0)+IF(AND(ISNUMBER(AU83),AU83&lt;UtilLow),1,0)</f>
        <v/>
      </c>
      <c r="AW83">
        <f>IF(AV83&gt;=UtilLowWeeks,AE83&amp;": seats only "&amp;TEXT(AJ83,"0%")&amp;" full, under "&amp;TEXT(UtilLow,"0%")&amp;" for "&amp;AV83&amp;" weeks running",IF(AND(ISNUMBER(AJ83),AJ83&gt;UtilHigh),AE83&amp;": demand exceeds seats ("&amp;TEXT(AJ83,"0%")&amp;" full) — consider more buses",IF(AND(ISNUMBER(AO83),AO83&gt;0),AE83&amp;": FT spend ₦"&amp;TEXT(AO83,"#,##0")&amp;" over the weekly budget",IF(AR83&gt;0,AE83&amp;": "&amp;AR83&amp;" coaster breakdown(s) this week",""))))</f>
        <v/>
      </c>
      <c r="AX83">
        <f>IF(ISNUMBER(AJ83),AJ83+ROW()/1000000000,"")</f>
        <v/>
      </c>
      <c r="AY83">
        <f>IF(ISNUMBER(AL83),AL83+ROW()/1000000,"")</f>
        <v/>
      </c>
      <c r="AZ83">
        <f>IF(AND(ISNUMBER(AO83),AO83&gt;0),AO83+ROW()/1000000,"")</f>
        <v/>
      </c>
      <c r="BA83">
        <f>IF(AF83&gt;0,AF83+ROW()/1000000,"")</f>
        <v/>
      </c>
      <c r="BB83">
        <f>IF(AW83="","",ROW())</f>
        <v/>
      </c>
    </row>
    <row r="84">
      <c r="AE84">
        <f>IFERROR(INDEX(MASTER_AREAS!$B:$B,83)&amp;"","")</f>
        <v/>
      </c>
      <c r="AF84">
        <f>IF(OR(AE84="",$B$10=0),0,SUMIFS(DATA_TRANSPORT!$Q:$Q,DATA_TRANSPORT!$A:$A,$B$10,DATA_TRANSPORT!$E:$E,AE84))</f>
        <v/>
      </c>
      <c r="AG84">
        <f>IF(OR(AE84="",$B$10=0),0,SUMIFS(DATA_TRANSPORT!$I:$I,DATA_TRANSPORT!$A:$A,$B$10,DATA_TRANSPORT!$E:$E,AE84,DATA_TRANSPORT!$U:$U,"Ran"))</f>
        <v/>
      </c>
      <c r="AH84">
        <f>IF(OR(AE84="",$B$10=0),0,SUMIFS(DATA_TRANSPORT!$L:$L,DATA_TRANSPORT!$A:$A,$B$10,DATA_TRANSPORT!$E:$E,AE84))</f>
        <v/>
      </c>
      <c r="AI84">
        <f>IF(OR(AE84="",$B$10=0),0,SUMIFS(DATA_TRANSPORT!$R:$R,DATA_TRANSPORT!$A:$A,$B$10,DATA_TRANSPORT!$E:$E,AE84))</f>
        <v/>
      </c>
      <c r="AJ84">
        <f>IF(AH84=0,"",AI84/AH84)</f>
        <v/>
      </c>
      <c r="AK84">
        <f>IF(OR(AE84="",$B$10=0),0,SUMIFS(DATA_TRANSPORT!$S:$S,DATA_TRANSPORT!$A:$A,$B$10,DATA_TRANSPORT!$E:$E,AE84))+IF(OR(AE84="",$B$10=0),0,SUMIFS(DATA_TRANSPORT_COSTS!$M:$M,DATA_TRANSPORT_COSTS!$A:$A,$B$10,DATA_TRANSPORT_COSTS!$D:$D,AE84))</f>
        <v/>
      </c>
      <c r="AL84">
        <f>IF(OR(AF84=0,AK84=0),"",AK84/AF84)</f>
        <v/>
      </c>
      <c r="AM84">
        <f>IF(OR(AE84="",$B$10=0),0,SUMIFS(DATA_TRANSPORT!$S:$S,DATA_TRANSPORT!$A:$A,$B$10,DATA_TRANSPORT!$E:$E,AE84,DATA_TRANSPORT!$C:$C,"FT Procured"))</f>
        <v/>
      </c>
      <c r="AN84">
        <f>IF(OR(AE84="",$B$10=0),0,SUMIFS(DATA_TRANSPORT_BUDGET!$G:$G,DATA_TRANSPORT_BUDGET!$A:$A,$B$10,DATA_TRANSPORT_BUDGET!$D:$D,AE84))</f>
        <v/>
      </c>
      <c r="AO84">
        <f>IF(AN84=0,"",AM84-AN84)</f>
        <v/>
      </c>
      <c r="AP84">
        <f>IF(OR(AE84="",$B$10=0),0,COUNTIFS(DATA_TRANSPORT!$A:$A,$B$10,DATA_TRANSPORT!$E:$E,AE84,DATA_TRANSPORT!$C:$C,"FT Procured",DATA_TRANSPORT!$Y:$Y,"Y"))</f>
        <v/>
      </c>
      <c r="AQ84">
        <f>IF(OR(AE84="",$B$10=0),0,SUMIFS(DATA_TRANSPORT_BUDGET!$E:$E,DATA_TRANSPORT_BUDGET!$A:$A,$B$10,DATA_TRANSPORT_BUDGET!$D:$D,AE84))</f>
        <v/>
      </c>
      <c r="AR84">
        <f>IF(OR(AE84="",$B$10=0),0,COUNTIFS(DATA_TRANSPORT!$A:$A,$B$10,DATA_TRANSPORT!$E:$E,AE84,DATA_TRANSPORT!$U:$U,"Breakdown"))</f>
        <v/>
      </c>
      <c r="AS84">
        <f>IF(IF(OR(AE84="",$B$10=0),0,SUMIFS(DATA_TRANSPORT!$L:$L,DATA_TRANSPORT!$A:$A,$B$10-7,DATA_TRANSPORT!$E:$E,AE84))=0,"",IF(OR(AE84="",$B$10=0),0,SUMIFS(DATA_TRANSPORT!$R:$R,DATA_TRANSPORT!$A:$A,$B$10-7,DATA_TRANSPORT!$E:$E,AE84))/IF(OR(AE84="",$B$10=0),0,SUMIFS(DATA_TRANSPORT!$L:$L,DATA_TRANSPORT!$A:$A,$B$10-7,DATA_TRANSPORT!$E:$E,AE84)))</f>
        <v/>
      </c>
      <c r="AT84">
        <f>IF(IF(OR(AE84="",$B$10=0),0,SUMIFS(DATA_TRANSPORT!$L:$L,DATA_TRANSPORT!$A:$A,$B$10-14,DATA_TRANSPORT!$E:$E,AE84))=0,"",IF(OR(AE84="",$B$10=0),0,SUMIFS(DATA_TRANSPORT!$R:$R,DATA_TRANSPORT!$A:$A,$B$10-14,DATA_TRANSPORT!$E:$E,AE84))/IF(OR(AE84="",$B$10=0),0,SUMIFS(DATA_TRANSPORT!$L:$L,DATA_TRANSPORT!$A:$A,$B$10-14,DATA_TRANSPORT!$E:$E,AE84)))</f>
        <v/>
      </c>
      <c r="AU84">
        <f>IF(IF(OR(AE84="",$B$10=0),0,SUMIFS(DATA_TRANSPORT!$L:$L,DATA_TRANSPORT!$A:$A,$B$10-21,DATA_TRANSPORT!$E:$E,AE84))=0,"",IF(OR(AE84="",$B$10=0),0,SUMIFS(DATA_TRANSPORT!$R:$R,DATA_TRANSPORT!$A:$A,$B$10-21,DATA_TRANSPORT!$E:$E,AE84))/IF(OR(AE84="",$B$10=0),0,SUMIFS(DATA_TRANSPORT!$L:$L,DATA_TRANSPORT!$A:$A,$B$10-21,DATA_TRANSPORT!$E:$E,AE84)))</f>
        <v/>
      </c>
      <c r="AV84">
        <f>IF(AND(ISNUMBER(AJ84),AJ84&lt;UtilLow),1,0)+IF(AND(ISNUMBER(AS84),AS84&lt;UtilLow),1,0)+IF(AND(ISNUMBER(AT84),AT84&lt;UtilLow),1,0)+IF(AND(ISNUMBER(AU84),AU84&lt;UtilLow),1,0)</f>
        <v/>
      </c>
      <c r="AW84">
        <f>IF(AV84&gt;=UtilLowWeeks,AE84&amp;": seats only "&amp;TEXT(AJ84,"0%")&amp;" full, under "&amp;TEXT(UtilLow,"0%")&amp;" for "&amp;AV84&amp;" weeks running",IF(AND(ISNUMBER(AJ84),AJ84&gt;UtilHigh),AE84&amp;": demand exceeds seats ("&amp;TEXT(AJ84,"0%")&amp;" full) — consider more buses",IF(AND(ISNUMBER(AO84),AO84&gt;0),AE84&amp;": FT spend ₦"&amp;TEXT(AO84,"#,##0")&amp;" over the weekly budget",IF(AR84&gt;0,AE84&amp;": "&amp;AR84&amp;" coaster breakdown(s) this week",""))))</f>
        <v/>
      </c>
      <c r="AX84">
        <f>IF(ISNUMBER(AJ84),AJ84+ROW()/1000000000,"")</f>
        <v/>
      </c>
      <c r="AY84">
        <f>IF(ISNUMBER(AL84),AL84+ROW()/1000000,"")</f>
        <v/>
      </c>
      <c r="AZ84">
        <f>IF(AND(ISNUMBER(AO84),AO84&gt;0),AO84+ROW()/1000000,"")</f>
        <v/>
      </c>
      <c r="BA84">
        <f>IF(AF84&gt;0,AF84+ROW()/1000000,"")</f>
        <v/>
      </c>
      <c r="BB84">
        <f>IF(AW84="","",ROW())</f>
        <v/>
      </c>
    </row>
    <row r="85">
      <c r="AE85">
        <f>IFERROR(INDEX(MASTER_AREAS!$B:$B,84)&amp;"","")</f>
        <v/>
      </c>
      <c r="AF85">
        <f>IF(OR(AE85="",$B$10=0),0,SUMIFS(DATA_TRANSPORT!$Q:$Q,DATA_TRANSPORT!$A:$A,$B$10,DATA_TRANSPORT!$E:$E,AE85))</f>
        <v/>
      </c>
      <c r="AG85">
        <f>IF(OR(AE85="",$B$10=0),0,SUMIFS(DATA_TRANSPORT!$I:$I,DATA_TRANSPORT!$A:$A,$B$10,DATA_TRANSPORT!$E:$E,AE85,DATA_TRANSPORT!$U:$U,"Ran"))</f>
        <v/>
      </c>
      <c r="AH85">
        <f>IF(OR(AE85="",$B$10=0),0,SUMIFS(DATA_TRANSPORT!$L:$L,DATA_TRANSPORT!$A:$A,$B$10,DATA_TRANSPORT!$E:$E,AE85))</f>
        <v/>
      </c>
      <c r="AI85">
        <f>IF(OR(AE85="",$B$10=0),0,SUMIFS(DATA_TRANSPORT!$R:$R,DATA_TRANSPORT!$A:$A,$B$10,DATA_TRANSPORT!$E:$E,AE85))</f>
        <v/>
      </c>
      <c r="AJ85">
        <f>IF(AH85=0,"",AI85/AH85)</f>
        <v/>
      </c>
      <c r="AK85">
        <f>IF(OR(AE85="",$B$10=0),0,SUMIFS(DATA_TRANSPORT!$S:$S,DATA_TRANSPORT!$A:$A,$B$10,DATA_TRANSPORT!$E:$E,AE85))+IF(OR(AE85="",$B$10=0),0,SUMIFS(DATA_TRANSPORT_COSTS!$M:$M,DATA_TRANSPORT_COSTS!$A:$A,$B$10,DATA_TRANSPORT_COSTS!$D:$D,AE85))</f>
        <v/>
      </c>
      <c r="AL85">
        <f>IF(OR(AF85=0,AK85=0),"",AK85/AF85)</f>
        <v/>
      </c>
      <c r="AM85">
        <f>IF(OR(AE85="",$B$10=0),0,SUMIFS(DATA_TRANSPORT!$S:$S,DATA_TRANSPORT!$A:$A,$B$10,DATA_TRANSPORT!$E:$E,AE85,DATA_TRANSPORT!$C:$C,"FT Procured"))</f>
        <v/>
      </c>
      <c r="AN85">
        <f>IF(OR(AE85="",$B$10=0),0,SUMIFS(DATA_TRANSPORT_BUDGET!$G:$G,DATA_TRANSPORT_BUDGET!$A:$A,$B$10,DATA_TRANSPORT_BUDGET!$D:$D,AE85))</f>
        <v/>
      </c>
      <c r="AO85">
        <f>IF(AN85=0,"",AM85-AN85)</f>
        <v/>
      </c>
      <c r="AP85">
        <f>IF(OR(AE85="",$B$10=0),0,COUNTIFS(DATA_TRANSPORT!$A:$A,$B$10,DATA_TRANSPORT!$E:$E,AE85,DATA_TRANSPORT!$C:$C,"FT Procured",DATA_TRANSPORT!$Y:$Y,"Y"))</f>
        <v/>
      </c>
      <c r="AQ85">
        <f>IF(OR(AE85="",$B$10=0),0,SUMIFS(DATA_TRANSPORT_BUDGET!$E:$E,DATA_TRANSPORT_BUDGET!$A:$A,$B$10,DATA_TRANSPORT_BUDGET!$D:$D,AE85))</f>
        <v/>
      </c>
      <c r="AR85">
        <f>IF(OR(AE85="",$B$10=0),0,COUNTIFS(DATA_TRANSPORT!$A:$A,$B$10,DATA_TRANSPORT!$E:$E,AE85,DATA_TRANSPORT!$U:$U,"Breakdown"))</f>
        <v/>
      </c>
      <c r="AS85">
        <f>IF(IF(OR(AE85="",$B$10=0),0,SUMIFS(DATA_TRANSPORT!$L:$L,DATA_TRANSPORT!$A:$A,$B$10-7,DATA_TRANSPORT!$E:$E,AE85))=0,"",IF(OR(AE85="",$B$10=0),0,SUMIFS(DATA_TRANSPORT!$R:$R,DATA_TRANSPORT!$A:$A,$B$10-7,DATA_TRANSPORT!$E:$E,AE85))/IF(OR(AE85="",$B$10=0),0,SUMIFS(DATA_TRANSPORT!$L:$L,DATA_TRANSPORT!$A:$A,$B$10-7,DATA_TRANSPORT!$E:$E,AE85)))</f>
        <v/>
      </c>
      <c r="AT85">
        <f>IF(IF(OR(AE85="",$B$10=0),0,SUMIFS(DATA_TRANSPORT!$L:$L,DATA_TRANSPORT!$A:$A,$B$10-14,DATA_TRANSPORT!$E:$E,AE85))=0,"",IF(OR(AE85="",$B$10=0),0,SUMIFS(DATA_TRANSPORT!$R:$R,DATA_TRANSPORT!$A:$A,$B$10-14,DATA_TRANSPORT!$E:$E,AE85))/IF(OR(AE85="",$B$10=0),0,SUMIFS(DATA_TRANSPORT!$L:$L,DATA_TRANSPORT!$A:$A,$B$10-14,DATA_TRANSPORT!$E:$E,AE85)))</f>
        <v/>
      </c>
      <c r="AU85">
        <f>IF(IF(OR(AE85="",$B$10=0),0,SUMIFS(DATA_TRANSPORT!$L:$L,DATA_TRANSPORT!$A:$A,$B$10-21,DATA_TRANSPORT!$E:$E,AE85))=0,"",IF(OR(AE85="",$B$10=0),0,SUMIFS(DATA_TRANSPORT!$R:$R,DATA_TRANSPORT!$A:$A,$B$10-21,DATA_TRANSPORT!$E:$E,AE85))/IF(OR(AE85="",$B$10=0),0,SUMIFS(DATA_TRANSPORT!$L:$L,DATA_TRANSPORT!$A:$A,$B$10-21,DATA_TRANSPORT!$E:$E,AE85)))</f>
        <v/>
      </c>
      <c r="AV85">
        <f>IF(AND(ISNUMBER(AJ85),AJ85&lt;UtilLow),1,0)+IF(AND(ISNUMBER(AS85),AS85&lt;UtilLow),1,0)+IF(AND(ISNUMBER(AT85),AT85&lt;UtilLow),1,0)+IF(AND(ISNUMBER(AU85),AU85&lt;UtilLow),1,0)</f>
        <v/>
      </c>
      <c r="AW85">
        <f>IF(AV85&gt;=UtilLowWeeks,AE85&amp;": seats only "&amp;TEXT(AJ85,"0%")&amp;" full, under "&amp;TEXT(UtilLow,"0%")&amp;" for "&amp;AV85&amp;" weeks running",IF(AND(ISNUMBER(AJ85),AJ85&gt;UtilHigh),AE85&amp;": demand exceeds seats ("&amp;TEXT(AJ85,"0%")&amp;" full) — consider more buses",IF(AND(ISNUMBER(AO85),AO85&gt;0),AE85&amp;": FT spend ₦"&amp;TEXT(AO85,"#,##0")&amp;" over the weekly budget",IF(AR85&gt;0,AE85&amp;": "&amp;AR85&amp;" coaster breakdown(s) this week",""))))</f>
        <v/>
      </c>
      <c r="AX85">
        <f>IF(ISNUMBER(AJ85),AJ85+ROW()/1000000000,"")</f>
        <v/>
      </c>
      <c r="AY85">
        <f>IF(ISNUMBER(AL85),AL85+ROW()/1000000,"")</f>
        <v/>
      </c>
      <c r="AZ85">
        <f>IF(AND(ISNUMBER(AO85),AO85&gt;0),AO85+ROW()/1000000,"")</f>
        <v/>
      </c>
      <c r="BA85">
        <f>IF(AF85&gt;0,AF85+ROW()/1000000,"")</f>
        <v/>
      </c>
      <c r="BB85">
        <f>IF(AW85="","",ROW())</f>
        <v/>
      </c>
    </row>
    <row r="86">
      <c r="AE86">
        <f>IFERROR(INDEX(MASTER_AREAS!$B:$B,85)&amp;"","")</f>
        <v/>
      </c>
      <c r="AF86">
        <f>IF(OR(AE86="",$B$10=0),0,SUMIFS(DATA_TRANSPORT!$Q:$Q,DATA_TRANSPORT!$A:$A,$B$10,DATA_TRANSPORT!$E:$E,AE86))</f>
        <v/>
      </c>
      <c r="AG86">
        <f>IF(OR(AE86="",$B$10=0),0,SUMIFS(DATA_TRANSPORT!$I:$I,DATA_TRANSPORT!$A:$A,$B$10,DATA_TRANSPORT!$E:$E,AE86,DATA_TRANSPORT!$U:$U,"Ran"))</f>
        <v/>
      </c>
      <c r="AH86">
        <f>IF(OR(AE86="",$B$10=0),0,SUMIFS(DATA_TRANSPORT!$L:$L,DATA_TRANSPORT!$A:$A,$B$10,DATA_TRANSPORT!$E:$E,AE86))</f>
        <v/>
      </c>
      <c r="AI86">
        <f>IF(OR(AE86="",$B$10=0),0,SUMIFS(DATA_TRANSPORT!$R:$R,DATA_TRANSPORT!$A:$A,$B$10,DATA_TRANSPORT!$E:$E,AE86))</f>
        <v/>
      </c>
      <c r="AJ86">
        <f>IF(AH86=0,"",AI86/AH86)</f>
        <v/>
      </c>
      <c r="AK86">
        <f>IF(OR(AE86="",$B$10=0),0,SUMIFS(DATA_TRANSPORT!$S:$S,DATA_TRANSPORT!$A:$A,$B$10,DATA_TRANSPORT!$E:$E,AE86))+IF(OR(AE86="",$B$10=0),0,SUMIFS(DATA_TRANSPORT_COSTS!$M:$M,DATA_TRANSPORT_COSTS!$A:$A,$B$10,DATA_TRANSPORT_COSTS!$D:$D,AE86))</f>
        <v/>
      </c>
      <c r="AL86">
        <f>IF(OR(AF86=0,AK86=0),"",AK86/AF86)</f>
        <v/>
      </c>
      <c r="AM86">
        <f>IF(OR(AE86="",$B$10=0),0,SUMIFS(DATA_TRANSPORT!$S:$S,DATA_TRANSPORT!$A:$A,$B$10,DATA_TRANSPORT!$E:$E,AE86,DATA_TRANSPORT!$C:$C,"FT Procured"))</f>
        <v/>
      </c>
      <c r="AN86">
        <f>IF(OR(AE86="",$B$10=0),0,SUMIFS(DATA_TRANSPORT_BUDGET!$G:$G,DATA_TRANSPORT_BUDGET!$A:$A,$B$10,DATA_TRANSPORT_BUDGET!$D:$D,AE86))</f>
        <v/>
      </c>
      <c r="AO86">
        <f>IF(AN86=0,"",AM86-AN86)</f>
        <v/>
      </c>
      <c r="AP86">
        <f>IF(OR(AE86="",$B$10=0),0,COUNTIFS(DATA_TRANSPORT!$A:$A,$B$10,DATA_TRANSPORT!$E:$E,AE86,DATA_TRANSPORT!$C:$C,"FT Procured",DATA_TRANSPORT!$Y:$Y,"Y"))</f>
        <v/>
      </c>
      <c r="AQ86">
        <f>IF(OR(AE86="",$B$10=0),0,SUMIFS(DATA_TRANSPORT_BUDGET!$E:$E,DATA_TRANSPORT_BUDGET!$A:$A,$B$10,DATA_TRANSPORT_BUDGET!$D:$D,AE86))</f>
        <v/>
      </c>
      <c r="AR86">
        <f>IF(OR(AE86="",$B$10=0),0,COUNTIFS(DATA_TRANSPORT!$A:$A,$B$10,DATA_TRANSPORT!$E:$E,AE86,DATA_TRANSPORT!$U:$U,"Breakdown"))</f>
        <v/>
      </c>
      <c r="AS86">
        <f>IF(IF(OR(AE86="",$B$10=0),0,SUMIFS(DATA_TRANSPORT!$L:$L,DATA_TRANSPORT!$A:$A,$B$10-7,DATA_TRANSPORT!$E:$E,AE86))=0,"",IF(OR(AE86="",$B$10=0),0,SUMIFS(DATA_TRANSPORT!$R:$R,DATA_TRANSPORT!$A:$A,$B$10-7,DATA_TRANSPORT!$E:$E,AE86))/IF(OR(AE86="",$B$10=0),0,SUMIFS(DATA_TRANSPORT!$L:$L,DATA_TRANSPORT!$A:$A,$B$10-7,DATA_TRANSPORT!$E:$E,AE86)))</f>
        <v/>
      </c>
      <c r="AT86">
        <f>IF(IF(OR(AE86="",$B$10=0),0,SUMIFS(DATA_TRANSPORT!$L:$L,DATA_TRANSPORT!$A:$A,$B$10-14,DATA_TRANSPORT!$E:$E,AE86))=0,"",IF(OR(AE86="",$B$10=0),0,SUMIFS(DATA_TRANSPORT!$R:$R,DATA_TRANSPORT!$A:$A,$B$10-14,DATA_TRANSPORT!$E:$E,AE86))/IF(OR(AE86="",$B$10=0),0,SUMIFS(DATA_TRANSPORT!$L:$L,DATA_TRANSPORT!$A:$A,$B$10-14,DATA_TRANSPORT!$E:$E,AE86)))</f>
        <v/>
      </c>
      <c r="AU86">
        <f>IF(IF(OR(AE86="",$B$10=0),0,SUMIFS(DATA_TRANSPORT!$L:$L,DATA_TRANSPORT!$A:$A,$B$10-21,DATA_TRANSPORT!$E:$E,AE86))=0,"",IF(OR(AE86="",$B$10=0),0,SUMIFS(DATA_TRANSPORT!$R:$R,DATA_TRANSPORT!$A:$A,$B$10-21,DATA_TRANSPORT!$E:$E,AE86))/IF(OR(AE86="",$B$10=0),0,SUMIFS(DATA_TRANSPORT!$L:$L,DATA_TRANSPORT!$A:$A,$B$10-21,DATA_TRANSPORT!$E:$E,AE86)))</f>
        <v/>
      </c>
      <c r="AV86">
        <f>IF(AND(ISNUMBER(AJ86),AJ86&lt;UtilLow),1,0)+IF(AND(ISNUMBER(AS86),AS86&lt;UtilLow),1,0)+IF(AND(ISNUMBER(AT86),AT86&lt;UtilLow),1,0)+IF(AND(ISNUMBER(AU86),AU86&lt;UtilLow),1,0)</f>
        <v/>
      </c>
      <c r="AW86">
        <f>IF(AV86&gt;=UtilLowWeeks,AE86&amp;": seats only "&amp;TEXT(AJ86,"0%")&amp;" full, under "&amp;TEXT(UtilLow,"0%")&amp;" for "&amp;AV86&amp;" weeks running",IF(AND(ISNUMBER(AJ86),AJ86&gt;UtilHigh),AE86&amp;": demand exceeds seats ("&amp;TEXT(AJ86,"0%")&amp;" full) — consider more buses",IF(AND(ISNUMBER(AO86),AO86&gt;0),AE86&amp;": FT spend ₦"&amp;TEXT(AO86,"#,##0")&amp;" over the weekly budget",IF(AR86&gt;0,AE86&amp;": "&amp;AR86&amp;" coaster breakdown(s) this week",""))))</f>
        <v/>
      </c>
      <c r="AX86">
        <f>IF(ISNUMBER(AJ86),AJ86+ROW()/1000000000,"")</f>
        <v/>
      </c>
      <c r="AY86">
        <f>IF(ISNUMBER(AL86),AL86+ROW()/1000000,"")</f>
        <v/>
      </c>
      <c r="AZ86">
        <f>IF(AND(ISNUMBER(AO86),AO86&gt;0),AO86+ROW()/1000000,"")</f>
        <v/>
      </c>
      <c r="BA86">
        <f>IF(AF86&gt;0,AF86+ROW()/1000000,"")</f>
        <v/>
      </c>
      <c r="BB86">
        <f>IF(AW86="","",ROW())</f>
        <v/>
      </c>
    </row>
    <row r="87">
      <c r="AE87">
        <f>IFERROR(INDEX(MASTER_AREAS!$B:$B,86)&amp;"","")</f>
        <v/>
      </c>
      <c r="AF87">
        <f>IF(OR(AE87="",$B$10=0),0,SUMIFS(DATA_TRANSPORT!$Q:$Q,DATA_TRANSPORT!$A:$A,$B$10,DATA_TRANSPORT!$E:$E,AE87))</f>
        <v/>
      </c>
      <c r="AG87">
        <f>IF(OR(AE87="",$B$10=0),0,SUMIFS(DATA_TRANSPORT!$I:$I,DATA_TRANSPORT!$A:$A,$B$10,DATA_TRANSPORT!$E:$E,AE87,DATA_TRANSPORT!$U:$U,"Ran"))</f>
        <v/>
      </c>
      <c r="AH87">
        <f>IF(OR(AE87="",$B$10=0),0,SUMIFS(DATA_TRANSPORT!$L:$L,DATA_TRANSPORT!$A:$A,$B$10,DATA_TRANSPORT!$E:$E,AE87))</f>
        <v/>
      </c>
      <c r="AI87">
        <f>IF(OR(AE87="",$B$10=0),0,SUMIFS(DATA_TRANSPORT!$R:$R,DATA_TRANSPORT!$A:$A,$B$10,DATA_TRANSPORT!$E:$E,AE87))</f>
        <v/>
      </c>
      <c r="AJ87">
        <f>IF(AH87=0,"",AI87/AH87)</f>
        <v/>
      </c>
      <c r="AK87">
        <f>IF(OR(AE87="",$B$10=0),0,SUMIFS(DATA_TRANSPORT!$S:$S,DATA_TRANSPORT!$A:$A,$B$10,DATA_TRANSPORT!$E:$E,AE87))+IF(OR(AE87="",$B$10=0),0,SUMIFS(DATA_TRANSPORT_COSTS!$M:$M,DATA_TRANSPORT_COSTS!$A:$A,$B$10,DATA_TRANSPORT_COSTS!$D:$D,AE87))</f>
        <v/>
      </c>
      <c r="AL87">
        <f>IF(OR(AF87=0,AK87=0),"",AK87/AF87)</f>
        <v/>
      </c>
      <c r="AM87">
        <f>IF(OR(AE87="",$B$10=0),0,SUMIFS(DATA_TRANSPORT!$S:$S,DATA_TRANSPORT!$A:$A,$B$10,DATA_TRANSPORT!$E:$E,AE87,DATA_TRANSPORT!$C:$C,"FT Procured"))</f>
        <v/>
      </c>
      <c r="AN87">
        <f>IF(OR(AE87="",$B$10=0),0,SUMIFS(DATA_TRANSPORT_BUDGET!$G:$G,DATA_TRANSPORT_BUDGET!$A:$A,$B$10,DATA_TRANSPORT_BUDGET!$D:$D,AE87))</f>
        <v/>
      </c>
      <c r="AO87">
        <f>IF(AN87=0,"",AM87-AN87)</f>
        <v/>
      </c>
      <c r="AP87">
        <f>IF(OR(AE87="",$B$10=0),0,COUNTIFS(DATA_TRANSPORT!$A:$A,$B$10,DATA_TRANSPORT!$E:$E,AE87,DATA_TRANSPORT!$C:$C,"FT Procured",DATA_TRANSPORT!$Y:$Y,"Y"))</f>
        <v/>
      </c>
      <c r="AQ87">
        <f>IF(OR(AE87="",$B$10=0),0,SUMIFS(DATA_TRANSPORT_BUDGET!$E:$E,DATA_TRANSPORT_BUDGET!$A:$A,$B$10,DATA_TRANSPORT_BUDGET!$D:$D,AE87))</f>
        <v/>
      </c>
      <c r="AR87">
        <f>IF(OR(AE87="",$B$10=0),0,COUNTIFS(DATA_TRANSPORT!$A:$A,$B$10,DATA_TRANSPORT!$E:$E,AE87,DATA_TRANSPORT!$U:$U,"Breakdown"))</f>
        <v/>
      </c>
      <c r="AS87">
        <f>IF(IF(OR(AE87="",$B$10=0),0,SUMIFS(DATA_TRANSPORT!$L:$L,DATA_TRANSPORT!$A:$A,$B$10-7,DATA_TRANSPORT!$E:$E,AE87))=0,"",IF(OR(AE87="",$B$10=0),0,SUMIFS(DATA_TRANSPORT!$R:$R,DATA_TRANSPORT!$A:$A,$B$10-7,DATA_TRANSPORT!$E:$E,AE87))/IF(OR(AE87="",$B$10=0),0,SUMIFS(DATA_TRANSPORT!$L:$L,DATA_TRANSPORT!$A:$A,$B$10-7,DATA_TRANSPORT!$E:$E,AE87)))</f>
        <v/>
      </c>
      <c r="AT87">
        <f>IF(IF(OR(AE87="",$B$10=0),0,SUMIFS(DATA_TRANSPORT!$L:$L,DATA_TRANSPORT!$A:$A,$B$10-14,DATA_TRANSPORT!$E:$E,AE87))=0,"",IF(OR(AE87="",$B$10=0),0,SUMIFS(DATA_TRANSPORT!$R:$R,DATA_TRANSPORT!$A:$A,$B$10-14,DATA_TRANSPORT!$E:$E,AE87))/IF(OR(AE87="",$B$10=0),0,SUMIFS(DATA_TRANSPORT!$L:$L,DATA_TRANSPORT!$A:$A,$B$10-14,DATA_TRANSPORT!$E:$E,AE87)))</f>
        <v/>
      </c>
      <c r="AU87">
        <f>IF(IF(OR(AE87="",$B$10=0),0,SUMIFS(DATA_TRANSPORT!$L:$L,DATA_TRANSPORT!$A:$A,$B$10-21,DATA_TRANSPORT!$E:$E,AE87))=0,"",IF(OR(AE87="",$B$10=0),0,SUMIFS(DATA_TRANSPORT!$R:$R,DATA_TRANSPORT!$A:$A,$B$10-21,DATA_TRANSPORT!$E:$E,AE87))/IF(OR(AE87="",$B$10=0),0,SUMIFS(DATA_TRANSPORT!$L:$L,DATA_TRANSPORT!$A:$A,$B$10-21,DATA_TRANSPORT!$E:$E,AE87)))</f>
        <v/>
      </c>
      <c r="AV87">
        <f>IF(AND(ISNUMBER(AJ87),AJ87&lt;UtilLow),1,0)+IF(AND(ISNUMBER(AS87),AS87&lt;UtilLow),1,0)+IF(AND(ISNUMBER(AT87),AT87&lt;UtilLow),1,0)+IF(AND(ISNUMBER(AU87),AU87&lt;UtilLow),1,0)</f>
        <v/>
      </c>
      <c r="AW87">
        <f>IF(AV87&gt;=UtilLowWeeks,AE87&amp;": seats only "&amp;TEXT(AJ87,"0%")&amp;" full, under "&amp;TEXT(UtilLow,"0%")&amp;" for "&amp;AV87&amp;" weeks running",IF(AND(ISNUMBER(AJ87),AJ87&gt;UtilHigh),AE87&amp;": demand exceeds seats ("&amp;TEXT(AJ87,"0%")&amp;" full) — consider more buses",IF(AND(ISNUMBER(AO87),AO87&gt;0),AE87&amp;": FT spend ₦"&amp;TEXT(AO87,"#,##0")&amp;" over the weekly budget",IF(AR87&gt;0,AE87&amp;": "&amp;AR87&amp;" coaster breakdown(s) this week",""))))</f>
        <v/>
      </c>
      <c r="AX87">
        <f>IF(ISNUMBER(AJ87),AJ87+ROW()/1000000000,"")</f>
        <v/>
      </c>
      <c r="AY87">
        <f>IF(ISNUMBER(AL87),AL87+ROW()/1000000,"")</f>
        <v/>
      </c>
      <c r="AZ87">
        <f>IF(AND(ISNUMBER(AO87),AO87&gt;0),AO87+ROW()/1000000,"")</f>
        <v/>
      </c>
      <c r="BA87">
        <f>IF(AF87&gt;0,AF87+ROW()/1000000,"")</f>
        <v/>
      </c>
      <c r="BB87">
        <f>IF(AW87="","",ROW())</f>
        <v/>
      </c>
    </row>
    <row r="88">
      <c r="AE88">
        <f>IFERROR(INDEX(MASTER_AREAS!$B:$B,87)&amp;"","")</f>
        <v/>
      </c>
      <c r="AF88">
        <f>IF(OR(AE88="",$B$10=0),0,SUMIFS(DATA_TRANSPORT!$Q:$Q,DATA_TRANSPORT!$A:$A,$B$10,DATA_TRANSPORT!$E:$E,AE88))</f>
        <v/>
      </c>
      <c r="AG88">
        <f>IF(OR(AE88="",$B$10=0),0,SUMIFS(DATA_TRANSPORT!$I:$I,DATA_TRANSPORT!$A:$A,$B$10,DATA_TRANSPORT!$E:$E,AE88,DATA_TRANSPORT!$U:$U,"Ran"))</f>
        <v/>
      </c>
      <c r="AH88">
        <f>IF(OR(AE88="",$B$10=0),0,SUMIFS(DATA_TRANSPORT!$L:$L,DATA_TRANSPORT!$A:$A,$B$10,DATA_TRANSPORT!$E:$E,AE88))</f>
        <v/>
      </c>
      <c r="AI88">
        <f>IF(OR(AE88="",$B$10=0),0,SUMIFS(DATA_TRANSPORT!$R:$R,DATA_TRANSPORT!$A:$A,$B$10,DATA_TRANSPORT!$E:$E,AE88))</f>
        <v/>
      </c>
      <c r="AJ88">
        <f>IF(AH88=0,"",AI88/AH88)</f>
        <v/>
      </c>
      <c r="AK88">
        <f>IF(OR(AE88="",$B$10=0),0,SUMIFS(DATA_TRANSPORT!$S:$S,DATA_TRANSPORT!$A:$A,$B$10,DATA_TRANSPORT!$E:$E,AE88))+IF(OR(AE88="",$B$10=0),0,SUMIFS(DATA_TRANSPORT_COSTS!$M:$M,DATA_TRANSPORT_COSTS!$A:$A,$B$10,DATA_TRANSPORT_COSTS!$D:$D,AE88))</f>
        <v/>
      </c>
      <c r="AL88">
        <f>IF(OR(AF88=0,AK88=0),"",AK88/AF88)</f>
        <v/>
      </c>
      <c r="AM88">
        <f>IF(OR(AE88="",$B$10=0),0,SUMIFS(DATA_TRANSPORT!$S:$S,DATA_TRANSPORT!$A:$A,$B$10,DATA_TRANSPORT!$E:$E,AE88,DATA_TRANSPORT!$C:$C,"FT Procured"))</f>
        <v/>
      </c>
      <c r="AN88">
        <f>IF(OR(AE88="",$B$10=0),0,SUMIFS(DATA_TRANSPORT_BUDGET!$G:$G,DATA_TRANSPORT_BUDGET!$A:$A,$B$10,DATA_TRANSPORT_BUDGET!$D:$D,AE88))</f>
        <v/>
      </c>
      <c r="AO88">
        <f>IF(AN88=0,"",AM88-AN88)</f>
        <v/>
      </c>
      <c r="AP88">
        <f>IF(OR(AE88="",$B$10=0),0,COUNTIFS(DATA_TRANSPORT!$A:$A,$B$10,DATA_TRANSPORT!$E:$E,AE88,DATA_TRANSPORT!$C:$C,"FT Procured",DATA_TRANSPORT!$Y:$Y,"Y"))</f>
        <v/>
      </c>
      <c r="AQ88">
        <f>IF(OR(AE88="",$B$10=0),0,SUMIFS(DATA_TRANSPORT_BUDGET!$E:$E,DATA_TRANSPORT_BUDGET!$A:$A,$B$10,DATA_TRANSPORT_BUDGET!$D:$D,AE88))</f>
        <v/>
      </c>
      <c r="AR88">
        <f>IF(OR(AE88="",$B$10=0),0,COUNTIFS(DATA_TRANSPORT!$A:$A,$B$10,DATA_TRANSPORT!$E:$E,AE88,DATA_TRANSPORT!$U:$U,"Breakdown"))</f>
        <v/>
      </c>
      <c r="AS88">
        <f>IF(IF(OR(AE88="",$B$10=0),0,SUMIFS(DATA_TRANSPORT!$L:$L,DATA_TRANSPORT!$A:$A,$B$10-7,DATA_TRANSPORT!$E:$E,AE88))=0,"",IF(OR(AE88="",$B$10=0),0,SUMIFS(DATA_TRANSPORT!$R:$R,DATA_TRANSPORT!$A:$A,$B$10-7,DATA_TRANSPORT!$E:$E,AE88))/IF(OR(AE88="",$B$10=0),0,SUMIFS(DATA_TRANSPORT!$L:$L,DATA_TRANSPORT!$A:$A,$B$10-7,DATA_TRANSPORT!$E:$E,AE88)))</f>
        <v/>
      </c>
      <c r="AT88">
        <f>IF(IF(OR(AE88="",$B$10=0),0,SUMIFS(DATA_TRANSPORT!$L:$L,DATA_TRANSPORT!$A:$A,$B$10-14,DATA_TRANSPORT!$E:$E,AE88))=0,"",IF(OR(AE88="",$B$10=0),0,SUMIFS(DATA_TRANSPORT!$R:$R,DATA_TRANSPORT!$A:$A,$B$10-14,DATA_TRANSPORT!$E:$E,AE88))/IF(OR(AE88="",$B$10=0),0,SUMIFS(DATA_TRANSPORT!$L:$L,DATA_TRANSPORT!$A:$A,$B$10-14,DATA_TRANSPORT!$E:$E,AE88)))</f>
        <v/>
      </c>
      <c r="AU88">
        <f>IF(IF(OR(AE88="",$B$10=0),0,SUMIFS(DATA_TRANSPORT!$L:$L,DATA_TRANSPORT!$A:$A,$B$10-21,DATA_TRANSPORT!$E:$E,AE88))=0,"",IF(OR(AE88="",$B$10=0),0,SUMIFS(DATA_TRANSPORT!$R:$R,DATA_TRANSPORT!$A:$A,$B$10-21,DATA_TRANSPORT!$E:$E,AE88))/IF(OR(AE88="",$B$10=0),0,SUMIFS(DATA_TRANSPORT!$L:$L,DATA_TRANSPORT!$A:$A,$B$10-21,DATA_TRANSPORT!$E:$E,AE88)))</f>
        <v/>
      </c>
      <c r="AV88">
        <f>IF(AND(ISNUMBER(AJ88),AJ88&lt;UtilLow),1,0)+IF(AND(ISNUMBER(AS88),AS88&lt;UtilLow),1,0)+IF(AND(ISNUMBER(AT88),AT88&lt;UtilLow),1,0)+IF(AND(ISNUMBER(AU88),AU88&lt;UtilLow),1,0)</f>
        <v/>
      </c>
      <c r="AW88">
        <f>IF(AV88&gt;=UtilLowWeeks,AE88&amp;": seats only "&amp;TEXT(AJ88,"0%")&amp;" full, under "&amp;TEXT(UtilLow,"0%")&amp;" for "&amp;AV88&amp;" weeks running",IF(AND(ISNUMBER(AJ88),AJ88&gt;UtilHigh),AE88&amp;": demand exceeds seats ("&amp;TEXT(AJ88,"0%")&amp;" full) — consider more buses",IF(AND(ISNUMBER(AO88),AO88&gt;0),AE88&amp;": FT spend ₦"&amp;TEXT(AO88,"#,##0")&amp;" over the weekly budget",IF(AR88&gt;0,AE88&amp;": "&amp;AR88&amp;" coaster breakdown(s) this week",""))))</f>
        <v/>
      </c>
      <c r="AX88">
        <f>IF(ISNUMBER(AJ88),AJ88+ROW()/1000000000,"")</f>
        <v/>
      </c>
      <c r="AY88">
        <f>IF(ISNUMBER(AL88),AL88+ROW()/1000000,"")</f>
        <v/>
      </c>
      <c r="AZ88">
        <f>IF(AND(ISNUMBER(AO88),AO88&gt;0),AO88+ROW()/1000000,"")</f>
        <v/>
      </c>
      <c r="BA88">
        <f>IF(AF88&gt;0,AF88+ROW()/1000000,"")</f>
        <v/>
      </c>
      <c r="BB88">
        <f>IF(AW88="","",ROW())</f>
        <v/>
      </c>
    </row>
    <row r="89">
      <c r="A89" t="inlineStr">
        <is>
          <t>KPI</t>
        </is>
      </c>
      <c r="B89" t="inlineStr">
        <is>
          <t>Selected week</t>
        </is>
      </c>
      <c r="C89" t="inlineStr">
        <is>
          <t>Previous week</t>
        </is>
      </c>
      <c r="D89" t="inlineStr">
        <is>
          <t>Change</t>
        </is>
      </c>
      <c r="E89" t="inlineStr">
        <is>
          <t>% change</t>
        </is>
      </c>
      <c r="F89" t="inlineStr">
        <is>
          <t>Avg last N wks</t>
        </is>
      </c>
      <c r="G89" t="inlineStr">
        <is>
          <t>vs N-wk avg</t>
        </is>
      </c>
      <c r="H89" t="inlineStr">
        <is>
          <t>MTD total</t>
        </is>
      </c>
      <c r="I89" t="inlineStr">
        <is>
          <t>QTD total</t>
        </is>
      </c>
      <c r="J89" t="inlineStr">
        <is>
          <t>YTD total</t>
        </is>
      </c>
      <c r="K89" t="inlineStr">
        <is>
          <t>Wkly avg (month)</t>
        </is>
      </c>
      <c r="L89" t="inlineStr">
        <is>
          <t>Wkly avg (qtr)</t>
        </is>
      </c>
      <c r="M89" t="inlineStr">
        <is>
          <t>Wkly avg (year)</t>
        </is>
      </c>
      <c r="AE89">
        <f>IFERROR(INDEX(MASTER_AREAS!$B:$B,88)&amp;"","")</f>
        <v/>
      </c>
      <c r="AF89">
        <f>IF(OR(AE89="",$B$10=0),0,SUMIFS(DATA_TRANSPORT!$Q:$Q,DATA_TRANSPORT!$A:$A,$B$10,DATA_TRANSPORT!$E:$E,AE89))</f>
        <v/>
      </c>
      <c r="AG89">
        <f>IF(OR(AE89="",$B$10=0),0,SUMIFS(DATA_TRANSPORT!$I:$I,DATA_TRANSPORT!$A:$A,$B$10,DATA_TRANSPORT!$E:$E,AE89,DATA_TRANSPORT!$U:$U,"Ran"))</f>
        <v/>
      </c>
      <c r="AH89">
        <f>IF(OR(AE89="",$B$10=0),0,SUMIFS(DATA_TRANSPORT!$L:$L,DATA_TRANSPORT!$A:$A,$B$10,DATA_TRANSPORT!$E:$E,AE89))</f>
        <v/>
      </c>
      <c r="AI89">
        <f>IF(OR(AE89="",$B$10=0),0,SUMIFS(DATA_TRANSPORT!$R:$R,DATA_TRANSPORT!$A:$A,$B$10,DATA_TRANSPORT!$E:$E,AE89))</f>
        <v/>
      </c>
      <c r="AJ89">
        <f>IF(AH89=0,"",AI89/AH89)</f>
        <v/>
      </c>
      <c r="AK89">
        <f>IF(OR(AE89="",$B$10=0),0,SUMIFS(DATA_TRANSPORT!$S:$S,DATA_TRANSPORT!$A:$A,$B$10,DATA_TRANSPORT!$E:$E,AE89))+IF(OR(AE89="",$B$10=0),0,SUMIFS(DATA_TRANSPORT_COSTS!$M:$M,DATA_TRANSPORT_COSTS!$A:$A,$B$10,DATA_TRANSPORT_COSTS!$D:$D,AE89))</f>
        <v/>
      </c>
      <c r="AL89">
        <f>IF(OR(AF89=0,AK89=0),"",AK89/AF89)</f>
        <v/>
      </c>
      <c r="AM89">
        <f>IF(OR(AE89="",$B$10=0),0,SUMIFS(DATA_TRANSPORT!$S:$S,DATA_TRANSPORT!$A:$A,$B$10,DATA_TRANSPORT!$E:$E,AE89,DATA_TRANSPORT!$C:$C,"FT Procured"))</f>
        <v/>
      </c>
      <c r="AN89">
        <f>IF(OR(AE89="",$B$10=0),0,SUMIFS(DATA_TRANSPORT_BUDGET!$G:$G,DATA_TRANSPORT_BUDGET!$A:$A,$B$10,DATA_TRANSPORT_BUDGET!$D:$D,AE89))</f>
        <v/>
      </c>
      <c r="AO89">
        <f>IF(AN89=0,"",AM89-AN89)</f>
        <v/>
      </c>
      <c r="AP89">
        <f>IF(OR(AE89="",$B$10=0),0,COUNTIFS(DATA_TRANSPORT!$A:$A,$B$10,DATA_TRANSPORT!$E:$E,AE89,DATA_TRANSPORT!$C:$C,"FT Procured",DATA_TRANSPORT!$Y:$Y,"Y"))</f>
        <v/>
      </c>
      <c r="AQ89">
        <f>IF(OR(AE89="",$B$10=0),0,SUMIFS(DATA_TRANSPORT_BUDGET!$E:$E,DATA_TRANSPORT_BUDGET!$A:$A,$B$10,DATA_TRANSPORT_BUDGET!$D:$D,AE89))</f>
        <v/>
      </c>
      <c r="AR89">
        <f>IF(OR(AE89="",$B$10=0),0,COUNTIFS(DATA_TRANSPORT!$A:$A,$B$10,DATA_TRANSPORT!$E:$E,AE89,DATA_TRANSPORT!$U:$U,"Breakdown"))</f>
        <v/>
      </c>
      <c r="AS89">
        <f>IF(IF(OR(AE89="",$B$10=0),0,SUMIFS(DATA_TRANSPORT!$L:$L,DATA_TRANSPORT!$A:$A,$B$10-7,DATA_TRANSPORT!$E:$E,AE89))=0,"",IF(OR(AE89="",$B$10=0),0,SUMIFS(DATA_TRANSPORT!$R:$R,DATA_TRANSPORT!$A:$A,$B$10-7,DATA_TRANSPORT!$E:$E,AE89))/IF(OR(AE89="",$B$10=0),0,SUMIFS(DATA_TRANSPORT!$L:$L,DATA_TRANSPORT!$A:$A,$B$10-7,DATA_TRANSPORT!$E:$E,AE89)))</f>
        <v/>
      </c>
      <c r="AT89">
        <f>IF(IF(OR(AE89="",$B$10=0),0,SUMIFS(DATA_TRANSPORT!$L:$L,DATA_TRANSPORT!$A:$A,$B$10-14,DATA_TRANSPORT!$E:$E,AE89))=0,"",IF(OR(AE89="",$B$10=0),0,SUMIFS(DATA_TRANSPORT!$R:$R,DATA_TRANSPORT!$A:$A,$B$10-14,DATA_TRANSPORT!$E:$E,AE89))/IF(OR(AE89="",$B$10=0),0,SUMIFS(DATA_TRANSPORT!$L:$L,DATA_TRANSPORT!$A:$A,$B$10-14,DATA_TRANSPORT!$E:$E,AE89)))</f>
        <v/>
      </c>
      <c r="AU89">
        <f>IF(IF(OR(AE89="",$B$10=0),0,SUMIFS(DATA_TRANSPORT!$L:$L,DATA_TRANSPORT!$A:$A,$B$10-21,DATA_TRANSPORT!$E:$E,AE89))=0,"",IF(OR(AE89="",$B$10=0),0,SUMIFS(DATA_TRANSPORT!$R:$R,DATA_TRANSPORT!$A:$A,$B$10-21,DATA_TRANSPORT!$E:$E,AE89))/IF(OR(AE89="",$B$10=0),0,SUMIFS(DATA_TRANSPORT!$L:$L,DATA_TRANSPORT!$A:$A,$B$10-21,DATA_TRANSPORT!$E:$E,AE89)))</f>
        <v/>
      </c>
      <c r="AV89">
        <f>IF(AND(ISNUMBER(AJ89),AJ89&lt;UtilLow),1,0)+IF(AND(ISNUMBER(AS89),AS89&lt;UtilLow),1,0)+IF(AND(ISNUMBER(AT89),AT89&lt;UtilLow),1,0)+IF(AND(ISNUMBER(AU89),AU89&lt;UtilLow),1,0)</f>
        <v/>
      </c>
      <c r="AW89">
        <f>IF(AV89&gt;=UtilLowWeeks,AE89&amp;": seats only "&amp;TEXT(AJ89,"0%")&amp;" full, under "&amp;TEXT(UtilLow,"0%")&amp;" for "&amp;AV89&amp;" weeks running",IF(AND(ISNUMBER(AJ89),AJ89&gt;UtilHigh),AE89&amp;": demand exceeds seats ("&amp;TEXT(AJ89,"0%")&amp;" full) — consider more buses",IF(AND(ISNUMBER(AO89),AO89&gt;0),AE89&amp;": FT spend ₦"&amp;TEXT(AO89,"#,##0")&amp;" over the weekly budget",IF(AR89&gt;0,AE89&amp;": "&amp;AR89&amp;" coaster breakdown(s) this week",""))))</f>
        <v/>
      </c>
      <c r="AX89">
        <f>IF(ISNUMBER(AJ89),AJ89+ROW()/1000000000,"")</f>
        <v/>
      </c>
      <c r="AY89">
        <f>IF(ISNUMBER(AL89),AL89+ROW()/1000000,"")</f>
        <v/>
      </c>
      <c r="AZ89">
        <f>IF(AND(ISNUMBER(AO89),AO89&gt;0),AO89+ROW()/1000000,"")</f>
        <v/>
      </c>
      <c r="BA89">
        <f>IF(AF89&gt;0,AF89+ROW()/1000000,"")</f>
        <v/>
      </c>
      <c r="BB89">
        <f>IF(AW89="","",ROW())</f>
        <v/>
      </c>
    </row>
    <row r="90">
      <c r="A90" t="inlineStr">
        <is>
          <t>Riders carried</t>
        </is>
      </c>
      <c r="B90">
        <f>IF($X$21=0,"",G21)</f>
        <v/>
      </c>
      <c r="C90">
        <f>IF($X$22=0,"",G22)</f>
        <v/>
      </c>
      <c r="D90">
        <f>IF(OR(B90="",C90=""),"",B90-C90)</f>
        <v/>
      </c>
      <c r="E90">
        <f>IF(OR(B90="",C90=""),"",IF(C90=0,"",B90/C90-1))</f>
        <v/>
      </c>
      <c r="F90">
        <f>IF(SUM($Y$21:$Y$80)=0,"",SUMPRODUCT($G$21:$G$80,$Y$21:$Y$80)/SUM($Y$21:$Y$80))</f>
        <v/>
      </c>
      <c r="G90">
        <f>IF(OR(B90="",F90=""),"",IF(F90=0,"",B90/F90-1))</f>
        <v/>
      </c>
      <c r="H90">
        <f>IF(SUM($Z$21:$Z$80)=0,"",SUMPRODUCT($G$21:$G$80,$Z$21:$Z$80))</f>
        <v/>
      </c>
      <c r="I90">
        <f>IF(SUM($AA$21:$AA$80)=0,"",SUMPRODUCT($G$21:$G$80,$AA$21:$AA$80))</f>
        <v/>
      </c>
      <c r="J90">
        <f>IF(SUM($AB$21:$AB$80)=0,"",SUMPRODUCT($G$21:$G$80,$AB$21:$AB$80))</f>
        <v/>
      </c>
      <c r="K90">
        <f>IF(H90="","",H90/SUM($Z$21:$Z$80))</f>
        <v/>
      </c>
      <c r="L90">
        <f>IF(I90="","",I90/SUM($AA$21:$AA$80))</f>
        <v/>
      </c>
      <c r="M90">
        <f>IF(J90="","",J90/SUM($AB$21:$AB$80))</f>
        <v/>
      </c>
      <c r="AE90">
        <f>IFERROR(INDEX(MASTER_AREAS!$B:$B,89)&amp;"","")</f>
        <v/>
      </c>
      <c r="AF90">
        <f>IF(OR(AE90="",$B$10=0),0,SUMIFS(DATA_TRANSPORT!$Q:$Q,DATA_TRANSPORT!$A:$A,$B$10,DATA_TRANSPORT!$E:$E,AE90))</f>
        <v/>
      </c>
      <c r="AG90">
        <f>IF(OR(AE90="",$B$10=0),0,SUMIFS(DATA_TRANSPORT!$I:$I,DATA_TRANSPORT!$A:$A,$B$10,DATA_TRANSPORT!$E:$E,AE90,DATA_TRANSPORT!$U:$U,"Ran"))</f>
        <v/>
      </c>
      <c r="AH90">
        <f>IF(OR(AE90="",$B$10=0),0,SUMIFS(DATA_TRANSPORT!$L:$L,DATA_TRANSPORT!$A:$A,$B$10,DATA_TRANSPORT!$E:$E,AE90))</f>
        <v/>
      </c>
      <c r="AI90">
        <f>IF(OR(AE90="",$B$10=0),0,SUMIFS(DATA_TRANSPORT!$R:$R,DATA_TRANSPORT!$A:$A,$B$10,DATA_TRANSPORT!$E:$E,AE90))</f>
        <v/>
      </c>
      <c r="AJ90">
        <f>IF(AH90=0,"",AI90/AH90)</f>
        <v/>
      </c>
      <c r="AK90">
        <f>IF(OR(AE90="",$B$10=0),0,SUMIFS(DATA_TRANSPORT!$S:$S,DATA_TRANSPORT!$A:$A,$B$10,DATA_TRANSPORT!$E:$E,AE90))+IF(OR(AE90="",$B$10=0),0,SUMIFS(DATA_TRANSPORT_COSTS!$M:$M,DATA_TRANSPORT_COSTS!$A:$A,$B$10,DATA_TRANSPORT_COSTS!$D:$D,AE90))</f>
        <v/>
      </c>
      <c r="AL90">
        <f>IF(OR(AF90=0,AK90=0),"",AK90/AF90)</f>
        <v/>
      </c>
      <c r="AM90">
        <f>IF(OR(AE90="",$B$10=0),0,SUMIFS(DATA_TRANSPORT!$S:$S,DATA_TRANSPORT!$A:$A,$B$10,DATA_TRANSPORT!$E:$E,AE90,DATA_TRANSPORT!$C:$C,"FT Procured"))</f>
        <v/>
      </c>
      <c r="AN90">
        <f>IF(OR(AE90="",$B$10=0),0,SUMIFS(DATA_TRANSPORT_BUDGET!$G:$G,DATA_TRANSPORT_BUDGET!$A:$A,$B$10,DATA_TRANSPORT_BUDGET!$D:$D,AE90))</f>
        <v/>
      </c>
      <c r="AO90">
        <f>IF(AN90=0,"",AM90-AN90)</f>
        <v/>
      </c>
      <c r="AP90">
        <f>IF(OR(AE90="",$B$10=0),0,COUNTIFS(DATA_TRANSPORT!$A:$A,$B$10,DATA_TRANSPORT!$E:$E,AE90,DATA_TRANSPORT!$C:$C,"FT Procured",DATA_TRANSPORT!$Y:$Y,"Y"))</f>
        <v/>
      </c>
      <c r="AQ90">
        <f>IF(OR(AE90="",$B$10=0),0,SUMIFS(DATA_TRANSPORT_BUDGET!$E:$E,DATA_TRANSPORT_BUDGET!$A:$A,$B$10,DATA_TRANSPORT_BUDGET!$D:$D,AE90))</f>
        <v/>
      </c>
      <c r="AR90">
        <f>IF(OR(AE90="",$B$10=0),0,COUNTIFS(DATA_TRANSPORT!$A:$A,$B$10,DATA_TRANSPORT!$E:$E,AE90,DATA_TRANSPORT!$U:$U,"Breakdown"))</f>
        <v/>
      </c>
      <c r="AS90">
        <f>IF(IF(OR(AE90="",$B$10=0),0,SUMIFS(DATA_TRANSPORT!$L:$L,DATA_TRANSPORT!$A:$A,$B$10-7,DATA_TRANSPORT!$E:$E,AE90))=0,"",IF(OR(AE90="",$B$10=0),0,SUMIFS(DATA_TRANSPORT!$R:$R,DATA_TRANSPORT!$A:$A,$B$10-7,DATA_TRANSPORT!$E:$E,AE90))/IF(OR(AE90="",$B$10=0),0,SUMIFS(DATA_TRANSPORT!$L:$L,DATA_TRANSPORT!$A:$A,$B$10-7,DATA_TRANSPORT!$E:$E,AE90)))</f>
        <v/>
      </c>
      <c r="AT90">
        <f>IF(IF(OR(AE90="",$B$10=0),0,SUMIFS(DATA_TRANSPORT!$L:$L,DATA_TRANSPORT!$A:$A,$B$10-14,DATA_TRANSPORT!$E:$E,AE90))=0,"",IF(OR(AE90="",$B$10=0),0,SUMIFS(DATA_TRANSPORT!$R:$R,DATA_TRANSPORT!$A:$A,$B$10-14,DATA_TRANSPORT!$E:$E,AE90))/IF(OR(AE90="",$B$10=0),0,SUMIFS(DATA_TRANSPORT!$L:$L,DATA_TRANSPORT!$A:$A,$B$10-14,DATA_TRANSPORT!$E:$E,AE90)))</f>
        <v/>
      </c>
      <c r="AU90">
        <f>IF(IF(OR(AE90="",$B$10=0),0,SUMIFS(DATA_TRANSPORT!$L:$L,DATA_TRANSPORT!$A:$A,$B$10-21,DATA_TRANSPORT!$E:$E,AE90))=0,"",IF(OR(AE90="",$B$10=0),0,SUMIFS(DATA_TRANSPORT!$R:$R,DATA_TRANSPORT!$A:$A,$B$10-21,DATA_TRANSPORT!$E:$E,AE90))/IF(OR(AE90="",$B$10=0),0,SUMIFS(DATA_TRANSPORT!$L:$L,DATA_TRANSPORT!$A:$A,$B$10-21,DATA_TRANSPORT!$E:$E,AE90)))</f>
        <v/>
      </c>
      <c r="AV90">
        <f>IF(AND(ISNUMBER(AJ90),AJ90&lt;UtilLow),1,0)+IF(AND(ISNUMBER(AS90),AS90&lt;UtilLow),1,0)+IF(AND(ISNUMBER(AT90),AT90&lt;UtilLow),1,0)+IF(AND(ISNUMBER(AU90),AU90&lt;UtilLow),1,0)</f>
        <v/>
      </c>
      <c r="AW90">
        <f>IF(AV90&gt;=UtilLowWeeks,AE90&amp;": seats only "&amp;TEXT(AJ90,"0%")&amp;" full, under "&amp;TEXT(UtilLow,"0%")&amp;" for "&amp;AV90&amp;" weeks running",IF(AND(ISNUMBER(AJ90),AJ90&gt;UtilHigh),AE90&amp;": demand exceeds seats ("&amp;TEXT(AJ90,"0%")&amp;" full) — consider more buses",IF(AND(ISNUMBER(AO90),AO90&gt;0),AE90&amp;": FT spend ₦"&amp;TEXT(AO90,"#,##0")&amp;" over the weekly budget",IF(AR90&gt;0,AE90&amp;": "&amp;AR90&amp;" coaster breakdown(s) this week",""))))</f>
        <v/>
      </c>
      <c r="AX90">
        <f>IF(ISNUMBER(AJ90),AJ90+ROW()/1000000000,"")</f>
        <v/>
      </c>
      <c r="AY90">
        <f>IF(ISNUMBER(AL90),AL90+ROW()/1000000,"")</f>
        <v/>
      </c>
      <c r="AZ90">
        <f>IF(AND(ISNUMBER(AO90),AO90&gt;0),AO90+ROW()/1000000,"")</f>
        <v/>
      </c>
      <c r="BA90">
        <f>IF(AF90&gt;0,AF90+ROW()/1000000,"")</f>
        <v/>
      </c>
      <c r="BB90">
        <f>IF(AW90="","",ROW())</f>
        <v/>
      </c>
    </row>
    <row r="91">
      <c r="A91" t="inlineStr">
        <is>
          <t>Buses that ran</t>
        </is>
      </c>
      <c r="B91">
        <f>IF($X$21=0,"",L21)</f>
        <v/>
      </c>
      <c r="C91">
        <f>IF($X$22=0,"",L22)</f>
        <v/>
      </c>
      <c r="D91">
        <f>IF(OR(B91="",C91=""),"",B91-C91)</f>
        <v/>
      </c>
      <c r="E91">
        <f>IF(OR(B91="",C91=""),"",IF(C91=0,"",B91/C91-1))</f>
        <v/>
      </c>
      <c r="F91">
        <f>IF(SUM($Y$21:$Y$80)=0,"",SUMPRODUCT($L$21:$L$80,$Y$21:$Y$80)/SUM($Y$21:$Y$80))</f>
        <v/>
      </c>
      <c r="G91">
        <f>IF(OR(B91="",F91=""),"",IF(F91=0,"",B91/F91-1))</f>
        <v/>
      </c>
      <c r="H91">
        <f>IF(SUM($Z$21:$Z$80)=0,"",SUMPRODUCT($L$21:$L$80,$Z$21:$Z$80))</f>
        <v/>
      </c>
      <c r="I91">
        <f>IF(SUM($AA$21:$AA$80)=0,"",SUMPRODUCT($L$21:$L$80,$AA$21:$AA$80))</f>
        <v/>
      </c>
      <c r="J91">
        <f>IF(SUM($AB$21:$AB$80)=0,"",SUMPRODUCT($L$21:$L$80,$AB$21:$AB$80))</f>
        <v/>
      </c>
      <c r="K91">
        <f>IF(H91="","",H91/SUM($Z$21:$Z$80))</f>
        <v/>
      </c>
      <c r="L91">
        <f>IF(I91="","",I91/SUM($AA$21:$AA$80))</f>
        <v/>
      </c>
      <c r="M91">
        <f>IF(J91="","",J91/SUM($AB$21:$AB$80))</f>
        <v/>
      </c>
      <c r="AE91">
        <f>IFERROR(INDEX(MASTER_AREAS!$B:$B,90)&amp;"","")</f>
        <v/>
      </c>
      <c r="AF91">
        <f>IF(OR(AE91="",$B$10=0),0,SUMIFS(DATA_TRANSPORT!$Q:$Q,DATA_TRANSPORT!$A:$A,$B$10,DATA_TRANSPORT!$E:$E,AE91))</f>
        <v/>
      </c>
      <c r="AG91">
        <f>IF(OR(AE91="",$B$10=0),0,SUMIFS(DATA_TRANSPORT!$I:$I,DATA_TRANSPORT!$A:$A,$B$10,DATA_TRANSPORT!$E:$E,AE91,DATA_TRANSPORT!$U:$U,"Ran"))</f>
        <v/>
      </c>
      <c r="AH91">
        <f>IF(OR(AE91="",$B$10=0),0,SUMIFS(DATA_TRANSPORT!$L:$L,DATA_TRANSPORT!$A:$A,$B$10,DATA_TRANSPORT!$E:$E,AE91))</f>
        <v/>
      </c>
      <c r="AI91">
        <f>IF(OR(AE91="",$B$10=0),0,SUMIFS(DATA_TRANSPORT!$R:$R,DATA_TRANSPORT!$A:$A,$B$10,DATA_TRANSPORT!$E:$E,AE91))</f>
        <v/>
      </c>
      <c r="AJ91">
        <f>IF(AH91=0,"",AI91/AH91)</f>
        <v/>
      </c>
      <c r="AK91">
        <f>IF(OR(AE91="",$B$10=0),0,SUMIFS(DATA_TRANSPORT!$S:$S,DATA_TRANSPORT!$A:$A,$B$10,DATA_TRANSPORT!$E:$E,AE91))+IF(OR(AE91="",$B$10=0),0,SUMIFS(DATA_TRANSPORT_COSTS!$M:$M,DATA_TRANSPORT_COSTS!$A:$A,$B$10,DATA_TRANSPORT_COSTS!$D:$D,AE91))</f>
        <v/>
      </c>
      <c r="AL91">
        <f>IF(OR(AF91=0,AK91=0),"",AK91/AF91)</f>
        <v/>
      </c>
      <c r="AM91">
        <f>IF(OR(AE91="",$B$10=0),0,SUMIFS(DATA_TRANSPORT!$S:$S,DATA_TRANSPORT!$A:$A,$B$10,DATA_TRANSPORT!$E:$E,AE91,DATA_TRANSPORT!$C:$C,"FT Procured"))</f>
        <v/>
      </c>
      <c r="AN91">
        <f>IF(OR(AE91="",$B$10=0),0,SUMIFS(DATA_TRANSPORT_BUDGET!$G:$G,DATA_TRANSPORT_BUDGET!$A:$A,$B$10,DATA_TRANSPORT_BUDGET!$D:$D,AE91))</f>
        <v/>
      </c>
      <c r="AO91">
        <f>IF(AN91=0,"",AM91-AN91)</f>
        <v/>
      </c>
      <c r="AP91">
        <f>IF(OR(AE91="",$B$10=0),0,COUNTIFS(DATA_TRANSPORT!$A:$A,$B$10,DATA_TRANSPORT!$E:$E,AE91,DATA_TRANSPORT!$C:$C,"FT Procured",DATA_TRANSPORT!$Y:$Y,"Y"))</f>
        <v/>
      </c>
      <c r="AQ91">
        <f>IF(OR(AE91="",$B$10=0),0,SUMIFS(DATA_TRANSPORT_BUDGET!$E:$E,DATA_TRANSPORT_BUDGET!$A:$A,$B$10,DATA_TRANSPORT_BUDGET!$D:$D,AE91))</f>
        <v/>
      </c>
      <c r="AR91">
        <f>IF(OR(AE91="",$B$10=0),0,COUNTIFS(DATA_TRANSPORT!$A:$A,$B$10,DATA_TRANSPORT!$E:$E,AE91,DATA_TRANSPORT!$U:$U,"Breakdown"))</f>
        <v/>
      </c>
      <c r="AS91">
        <f>IF(IF(OR(AE91="",$B$10=0),0,SUMIFS(DATA_TRANSPORT!$L:$L,DATA_TRANSPORT!$A:$A,$B$10-7,DATA_TRANSPORT!$E:$E,AE91))=0,"",IF(OR(AE91="",$B$10=0),0,SUMIFS(DATA_TRANSPORT!$R:$R,DATA_TRANSPORT!$A:$A,$B$10-7,DATA_TRANSPORT!$E:$E,AE91))/IF(OR(AE91="",$B$10=0),0,SUMIFS(DATA_TRANSPORT!$L:$L,DATA_TRANSPORT!$A:$A,$B$10-7,DATA_TRANSPORT!$E:$E,AE91)))</f>
        <v/>
      </c>
      <c r="AT91">
        <f>IF(IF(OR(AE91="",$B$10=0),0,SUMIFS(DATA_TRANSPORT!$L:$L,DATA_TRANSPORT!$A:$A,$B$10-14,DATA_TRANSPORT!$E:$E,AE91))=0,"",IF(OR(AE91="",$B$10=0),0,SUMIFS(DATA_TRANSPORT!$R:$R,DATA_TRANSPORT!$A:$A,$B$10-14,DATA_TRANSPORT!$E:$E,AE91))/IF(OR(AE91="",$B$10=0),0,SUMIFS(DATA_TRANSPORT!$L:$L,DATA_TRANSPORT!$A:$A,$B$10-14,DATA_TRANSPORT!$E:$E,AE91)))</f>
        <v/>
      </c>
      <c r="AU91">
        <f>IF(IF(OR(AE91="",$B$10=0),0,SUMIFS(DATA_TRANSPORT!$L:$L,DATA_TRANSPORT!$A:$A,$B$10-21,DATA_TRANSPORT!$E:$E,AE91))=0,"",IF(OR(AE91="",$B$10=0),0,SUMIFS(DATA_TRANSPORT!$R:$R,DATA_TRANSPORT!$A:$A,$B$10-21,DATA_TRANSPORT!$E:$E,AE91))/IF(OR(AE91="",$B$10=0),0,SUMIFS(DATA_TRANSPORT!$L:$L,DATA_TRANSPORT!$A:$A,$B$10-21,DATA_TRANSPORT!$E:$E,AE91)))</f>
        <v/>
      </c>
      <c r="AV91">
        <f>IF(AND(ISNUMBER(AJ91),AJ91&lt;UtilLow),1,0)+IF(AND(ISNUMBER(AS91),AS91&lt;UtilLow),1,0)+IF(AND(ISNUMBER(AT91),AT91&lt;UtilLow),1,0)+IF(AND(ISNUMBER(AU91),AU91&lt;UtilLow),1,0)</f>
        <v/>
      </c>
      <c r="AW91">
        <f>IF(AV91&gt;=UtilLowWeeks,AE91&amp;": seats only "&amp;TEXT(AJ91,"0%")&amp;" full, under "&amp;TEXT(UtilLow,"0%")&amp;" for "&amp;AV91&amp;" weeks running",IF(AND(ISNUMBER(AJ91),AJ91&gt;UtilHigh),AE91&amp;": demand exceeds seats ("&amp;TEXT(AJ91,"0%")&amp;" full) — consider more buses",IF(AND(ISNUMBER(AO91),AO91&gt;0),AE91&amp;": FT spend ₦"&amp;TEXT(AO91,"#,##0")&amp;" over the weekly budget",IF(AR91&gt;0,AE91&amp;": "&amp;AR91&amp;" coaster breakdown(s) this week",""))))</f>
        <v/>
      </c>
      <c r="AX91">
        <f>IF(ISNUMBER(AJ91),AJ91+ROW()/1000000000,"")</f>
        <v/>
      </c>
      <c r="AY91">
        <f>IF(ISNUMBER(AL91),AL91+ROW()/1000000,"")</f>
        <v/>
      </c>
      <c r="AZ91">
        <f>IF(AND(ISNUMBER(AO91),AO91&gt;0),AO91+ROW()/1000000,"")</f>
        <v/>
      </c>
      <c r="BA91">
        <f>IF(AF91&gt;0,AF91+ROW()/1000000,"")</f>
        <v/>
      </c>
      <c r="BB91">
        <f>IF(AW91="","",ROW())</f>
        <v/>
      </c>
    </row>
    <row r="92">
      <c r="A92" t="inlineStr">
        <is>
          <t>Buses listed in reports</t>
        </is>
      </c>
      <c r="B92">
        <f>IF($X$21=0,"",K21)</f>
        <v/>
      </c>
      <c r="C92">
        <f>IF($X$22=0,"",K22)</f>
        <v/>
      </c>
      <c r="D92">
        <f>IF(OR(B92="",C92=""),"",B92-C92)</f>
        <v/>
      </c>
      <c r="E92">
        <f>IF(OR(B92="",C92=""),"",IF(C92=0,"",B92/C92-1))</f>
        <v/>
      </c>
      <c r="F92">
        <f>IF(SUM($Y$21:$Y$80)=0,"",SUMPRODUCT($K$21:$K$80,$Y$21:$Y$80)/SUM($Y$21:$Y$80))</f>
        <v/>
      </c>
      <c r="G92">
        <f>IF(OR(B92="",F92=""),"",IF(F92=0,"",B92/F92-1))</f>
        <v/>
      </c>
      <c r="H92">
        <f>IF(SUM($Z$21:$Z$80)=0,"",SUMPRODUCT($K$21:$K$80,$Z$21:$Z$80))</f>
        <v/>
      </c>
      <c r="I92">
        <f>IF(SUM($AA$21:$AA$80)=0,"",SUMPRODUCT($K$21:$K$80,$AA$21:$AA$80))</f>
        <v/>
      </c>
      <c r="J92">
        <f>IF(SUM($AB$21:$AB$80)=0,"",SUMPRODUCT($K$21:$K$80,$AB$21:$AB$80))</f>
        <v/>
      </c>
      <c r="K92">
        <f>IF(H92="","",H92/SUM($Z$21:$Z$80))</f>
        <v/>
      </c>
      <c r="L92">
        <f>IF(I92="","",I92/SUM($AA$21:$AA$80))</f>
        <v/>
      </c>
      <c r="M92">
        <f>IF(J92="","",J92/SUM($AB$21:$AB$80))</f>
        <v/>
      </c>
      <c r="AE92">
        <f>IFERROR(INDEX(MASTER_AREAS!$B:$B,91)&amp;"","")</f>
        <v/>
      </c>
      <c r="AF92">
        <f>IF(OR(AE92="",$B$10=0),0,SUMIFS(DATA_TRANSPORT!$Q:$Q,DATA_TRANSPORT!$A:$A,$B$10,DATA_TRANSPORT!$E:$E,AE92))</f>
        <v/>
      </c>
      <c r="AG92">
        <f>IF(OR(AE92="",$B$10=0),0,SUMIFS(DATA_TRANSPORT!$I:$I,DATA_TRANSPORT!$A:$A,$B$10,DATA_TRANSPORT!$E:$E,AE92,DATA_TRANSPORT!$U:$U,"Ran"))</f>
        <v/>
      </c>
      <c r="AH92">
        <f>IF(OR(AE92="",$B$10=0),0,SUMIFS(DATA_TRANSPORT!$L:$L,DATA_TRANSPORT!$A:$A,$B$10,DATA_TRANSPORT!$E:$E,AE92))</f>
        <v/>
      </c>
      <c r="AI92">
        <f>IF(OR(AE92="",$B$10=0),0,SUMIFS(DATA_TRANSPORT!$R:$R,DATA_TRANSPORT!$A:$A,$B$10,DATA_TRANSPORT!$E:$E,AE92))</f>
        <v/>
      </c>
      <c r="AJ92">
        <f>IF(AH92=0,"",AI92/AH92)</f>
        <v/>
      </c>
      <c r="AK92">
        <f>IF(OR(AE92="",$B$10=0),0,SUMIFS(DATA_TRANSPORT!$S:$S,DATA_TRANSPORT!$A:$A,$B$10,DATA_TRANSPORT!$E:$E,AE92))+IF(OR(AE92="",$B$10=0),0,SUMIFS(DATA_TRANSPORT_COSTS!$M:$M,DATA_TRANSPORT_COSTS!$A:$A,$B$10,DATA_TRANSPORT_COSTS!$D:$D,AE92))</f>
        <v/>
      </c>
      <c r="AL92">
        <f>IF(OR(AF92=0,AK92=0),"",AK92/AF92)</f>
        <v/>
      </c>
      <c r="AM92">
        <f>IF(OR(AE92="",$B$10=0),0,SUMIFS(DATA_TRANSPORT!$S:$S,DATA_TRANSPORT!$A:$A,$B$10,DATA_TRANSPORT!$E:$E,AE92,DATA_TRANSPORT!$C:$C,"FT Procured"))</f>
        <v/>
      </c>
      <c r="AN92">
        <f>IF(OR(AE92="",$B$10=0),0,SUMIFS(DATA_TRANSPORT_BUDGET!$G:$G,DATA_TRANSPORT_BUDGET!$A:$A,$B$10,DATA_TRANSPORT_BUDGET!$D:$D,AE92))</f>
        <v/>
      </c>
      <c r="AO92">
        <f>IF(AN92=0,"",AM92-AN92)</f>
        <v/>
      </c>
      <c r="AP92">
        <f>IF(OR(AE92="",$B$10=0),0,COUNTIFS(DATA_TRANSPORT!$A:$A,$B$10,DATA_TRANSPORT!$E:$E,AE92,DATA_TRANSPORT!$C:$C,"FT Procured",DATA_TRANSPORT!$Y:$Y,"Y"))</f>
        <v/>
      </c>
      <c r="AQ92">
        <f>IF(OR(AE92="",$B$10=0),0,SUMIFS(DATA_TRANSPORT_BUDGET!$E:$E,DATA_TRANSPORT_BUDGET!$A:$A,$B$10,DATA_TRANSPORT_BUDGET!$D:$D,AE92))</f>
        <v/>
      </c>
      <c r="AR92">
        <f>IF(OR(AE92="",$B$10=0),0,COUNTIFS(DATA_TRANSPORT!$A:$A,$B$10,DATA_TRANSPORT!$E:$E,AE92,DATA_TRANSPORT!$U:$U,"Breakdown"))</f>
        <v/>
      </c>
      <c r="AS92">
        <f>IF(IF(OR(AE92="",$B$10=0),0,SUMIFS(DATA_TRANSPORT!$L:$L,DATA_TRANSPORT!$A:$A,$B$10-7,DATA_TRANSPORT!$E:$E,AE92))=0,"",IF(OR(AE92="",$B$10=0),0,SUMIFS(DATA_TRANSPORT!$R:$R,DATA_TRANSPORT!$A:$A,$B$10-7,DATA_TRANSPORT!$E:$E,AE92))/IF(OR(AE92="",$B$10=0),0,SUMIFS(DATA_TRANSPORT!$L:$L,DATA_TRANSPORT!$A:$A,$B$10-7,DATA_TRANSPORT!$E:$E,AE92)))</f>
        <v/>
      </c>
      <c r="AT92">
        <f>IF(IF(OR(AE92="",$B$10=0),0,SUMIFS(DATA_TRANSPORT!$L:$L,DATA_TRANSPORT!$A:$A,$B$10-14,DATA_TRANSPORT!$E:$E,AE92))=0,"",IF(OR(AE92="",$B$10=0),0,SUMIFS(DATA_TRANSPORT!$R:$R,DATA_TRANSPORT!$A:$A,$B$10-14,DATA_TRANSPORT!$E:$E,AE92))/IF(OR(AE92="",$B$10=0),0,SUMIFS(DATA_TRANSPORT!$L:$L,DATA_TRANSPORT!$A:$A,$B$10-14,DATA_TRANSPORT!$E:$E,AE92)))</f>
        <v/>
      </c>
      <c r="AU92">
        <f>IF(IF(OR(AE92="",$B$10=0),0,SUMIFS(DATA_TRANSPORT!$L:$L,DATA_TRANSPORT!$A:$A,$B$10-21,DATA_TRANSPORT!$E:$E,AE92))=0,"",IF(OR(AE92="",$B$10=0),0,SUMIFS(DATA_TRANSPORT!$R:$R,DATA_TRANSPORT!$A:$A,$B$10-21,DATA_TRANSPORT!$E:$E,AE92))/IF(OR(AE92="",$B$10=0),0,SUMIFS(DATA_TRANSPORT!$L:$L,DATA_TRANSPORT!$A:$A,$B$10-21,DATA_TRANSPORT!$E:$E,AE92)))</f>
        <v/>
      </c>
      <c r="AV92">
        <f>IF(AND(ISNUMBER(AJ92),AJ92&lt;UtilLow),1,0)+IF(AND(ISNUMBER(AS92),AS92&lt;UtilLow),1,0)+IF(AND(ISNUMBER(AT92),AT92&lt;UtilLow),1,0)+IF(AND(ISNUMBER(AU92),AU92&lt;UtilLow),1,0)</f>
        <v/>
      </c>
      <c r="AW92">
        <f>IF(AV92&gt;=UtilLowWeeks,AE92&amp;": seats only "&amp;TEXT(AJ92,"0%")&amp;" full, under "&amp;TEXT(UtilLow,"0%")&amp;" for "&amp;AV92&amp;" weeks running",IF(AND(ISNUMBER(AJ92),AJ92&gt;UtilHigh),AE92&amp;": demand exceeds seats ("&amp;TEXT(AJ92,"0%")&amp;" full) — consider more buses",IF(AND(ISNUMBER(AO92),AO92&gt;0),AE92&amp;": FT spend ₦"&amp;TEXT(AO92,"#,##0")&amp;" over the weekly budget",IF(AR92&gt;0,AE92&amp;": "&amp;AR92&amp;" coaster breakdown(s) this week",""))))</f>
        <v/>
      </c>
      <c r="AX92">
        <f>IF(ISNUMBER(AJ92),AJ92+ROW()/1000000000,"")</f>
        <v/>
      </c>
      <c r="AY92">
        <f>IF(ISNUMBER(AL92),AL92+ROW()/1000000,"")</f>
        <v/>
      </c>
      <c r="AZ92">
        <f>IF(AND(ISNUMBER(AO92),AO92&gt;0),AO92+ROW()/1000000,"")</f>
        <v/>
      </c>
      <c r="BA92">
        <f>IF(AF92&gt;0,AF92+ROW()/1000000,"")</f>
        <v/>
      </c>
      <c r="BB92">
        <f>IF(AW92="","",ROW())</f>
        <v/>
      </c>
    </row>
    <row r="93">
      <c r="A93" t="inlineStr">
        <is>
          <t>% buses that ran</t>
        </is>
      </c>
      <c r="B93">
        <f>IF(OR($X$21=0,K21=0),"",L21/K21)</f>
        <v/>
      </c>
      <c r="C93">
        <f>IF(OR($X$22=0,K22=0),"",L22/K22)</f>
        <v/>
      </c>
      <c r="D93">
        <f>IF(OR(B93="",C93=""),"",B93-C93)</f>
        <v/>
      </c>
      <c r="E93">
        <f>IF(OR(B93="",C93=""),"",IF(C93=0,"",B93/C93-1))</f>
        <v/>
      </c>
      <c r="F93">
        <f>IF(SUMPRODUCT($K$21:$K$80,$Y$21:$Y$80)=0,"",SUMPRODUCT($L$21:$L$80,$Y$21:$Y$80)/SUMPRODUCT($K$21:$K$80,$Y$21:$Y$80))</f>
        <v/>
      </c>
      <c r="G93">
        <f>IF(OR(B93="",F93=""),"",IF(F93=0,"",B93/F93-1))</f>
        <v/>
      </c>
      <c r="H93">
        <f>IF(SUMPRODUCT($K$21:$K$80,$Z$21:$Z$80)=0,"",SUMPRODUCT($L$21:$L$80,$Z$21:$Z$80)/SUMPRODUCT($K$21:$K$80,$Z$21:$Z$80))</f>
        <v/>
      </c>
      <c r="I93">
        <f>IF(SUMPRODUCT($K$21:$K$80,$AA$21:$AA$80)=0,"",SUMPRODUCT($L$21:$L$80,$AA$21:$AA$80)/SUMPRODUCT($K$21:$K$80,$AA$21:$AA$80))</f>
        <v/>
      </c>
      <c r="J93">
        <f>IF(SUMPRODUCT($K$21:$K$80,$AB$21:$AB$80)=0,"",SUMPRODUCT($L$21:$L$80,$AB$21:$AB$80)/SUMPRODUCT($K$21:$K$80,$AB$21:$AB$80))</f>
        <v/>
      </c>
      <c r="K93">
        <f>H93</f>
        <v/>
      </c>
      <c r="L93">
        <f>I93</f>
        <v/>
      </c>
      <c r="M93">
        <f>J93</f>
        <v/>
      </c>
      <c r="AE93">
        <f>IFERROR(INDEX(MASTER_AREAS!$B:$B,92)&amp;"","")</f>
        <v/>
      </c>
      <c r="AF93">
        <f>IF(OR(AE93="",$B$10=0),0,SUMIFS(DATA_TRANSPORT!$Q:$Q,DATA_TRANSPORT!$A:$A,$B$10,DATA_TRANSPORT!$E:$E,AE93))</f>
        <v/>
      </c>
      <c r="AG93">
        <f>IF(OR(AE93="",$B$10=0),0,SUMIFS(DATA_TRANSPORT!$I:$I,DATA_TRANSPORT!$A:$A,$B$10,DATA_TRANSPORT!$E:$E,AE93,DATA_TRANSPORT!$U:$U,"Ran"))</f>
        <v/>
      </c>
      <c r="AH93">
        <f>IF(OR(AE93="",$B$10=0),0,SUMIFS(DATA_TRANSPORT!$L:$L,DATA_TRANSPORT!$A:$A,$B$10,DATA_TRANSPORT!$E:$E,AE93))</f>
        <v/>
      </c>
      <c r="AI93">
        <f>IF(OR(AE93="",$B$10=0),0,SUMIFS(DATA_TRANSPORT!$R:$R,DATA_TRANSPORT!$A:$A,$B$10,DATA_TRANSPORT!$E:$E,AE93))</f>
        <v/>
      </c>
      <c r="AJ93">
        <f>IF(AH93=0,"",AI93/AH93)</f>
        <v/>
      </c>
      <c r="AK93">
        <f>IF(OR(AE93="",$B$10=0),0,SUMIFS(DATA_TRANSPORT!$S:$S,DATA_TRANSPORT!$A:$A,$B$10,DATA_TRANSPORT!$E:$E,AE93))+IF(OR(AE93="",$B$10=0),0,SUMIFS(DATA_TRANSPORT_COSTS!$M:$M,DATA_TRANSPORT_COSTS!$A:$A,$B$10,DATA_TRANSPORT_COSTS!$D:$D,AE93))</f>
        <v/>
      </c>
      <c r="AL93">
        <f>IF(OR(AF93=0,AK93=0),"",AK93/AF93)</f>
        <v/>
      </c>
      <c r="AM93">
        <f>IF(OR(AE93="",$B$10=0),0,SUMIFS(DATA_TRANSPORT!$S:$S,DATA_TRANSPORT!$A:$A,$B$10,DATA_TRANSPORT!$E:$E,AE93,DATA_TRANSPORT!$C:$C,"FT Procured"))</f>
        <v/>
      </c>
      <c r="AN93">
        <f>IF(OR(AE93="",$B$10=0),0,SUMIFS(DATA_TRANSPORT_BUDGET!$G:$G,DATA_TRANSPORT_BUDGET!$A:$A,$B$10,DATA_TRANSPORT_BUDGET!$D:$D,AE93))</f>
        <v/>
      </c>
      <c r="AO93">
        <f>IF(AN93=0,"",AM93-AN93)</f>
        <v/>
      </c>
      <c r="AP93">
        <f>IF(OR(AE93="",$B$10=0),0,COUNTIFS(DATA_TRANSPORT!$A:$A,$B$10,DATA_TRANSPORT!$E:$E,AE93,DATA_TRANSPORT!$C:$C,"FT Procured",DATA_TRANSPORT!$Y:$Y,"Y"))</f>
        <v/>
      </c>
      <c r="AQ93">
        <f>IF(OR(AE93="",$B$10=0),0,SUMIFS(DATA_TRANSPORT_BUDGET!$E:$E,DATA_TRANSPORT_BUDGET!$A:$A,$B$10,DATA_TRANSPORT_BUDGET!$D:$D,AE93))</f>
        <v/>
      </c>
      <c r="AR93">
        <f>IF(OR(AE93="",$B$10=0),0,COUNTIFS(DATA_TRANSPORT!$A:$A,$B$10,DATA_TRANSPORT!$E:$E,AE93,DATA_TRANSPORT!$U:$U,"Breakdown"))</f>
        <v/>
      </c>
      <c r="AS93">
        <f>IF(IF(OR(AE93="",$B$10=0),0,SUMIFS(DATA_TRANSPORT!$L:$L,DATA_TRANSPORT!$A:$A,$B$10-7,DATA_TRANSPORT!$E:$E,AE93))=0,"",IF(OR(AE93="",$B$10=0),0,SUMIFS(DATA_TRANSPORT!$R:$R,DATA_TRANSPORT!$A:$A,$B$10-7,DATA_TRANSPORT!$E:$E,AE93))/IF(OR(AE93="",$B$10=0),0,SUMIFS(DATA_TRANSPORT!$L:$L,DATA_TRANSPORT!$A:$A,$B$10-7,DATA_TRANSPORT!$E:$E,AE93)))</f>
        <v/>
      </c>
      <c r="AT93">
        <f>IF(IF(OR(AE93="",$B$10=0),0,SUMIFS(DATA_TRANSPORT!$L:$L,DATA_TRANSPORT!$A:$A,$B$10-14,DATA_TRANSPORT!$E:$E,AE93))=0,"",IF(OR(AE93="",$B$10=0),0,SUMIFS(DATA_TRANSPORT!$R:$R,DATA_TRANSPORT!$A:$A,$B$10-14,DATA_TRANSPORT!$E:$E,AE93))/IF(OR(AE93="",$B$10=0),0,SUMIFS(DATA_TRANSPORT!$L:$L,DATA_TRANSPORT!$A:$A,$B$10-14,DATA_TRANSPORT!$E:$E,AE93)))</f>
        <v/>
      </c>
      <c r="AU93">
        <f>IF(IF(OR(AE93="",$B$10=0),0,SUMIFS(DATA_TRANSPORT!$L:$L,DATA_TRANSPORT!$A:$A,$B$10-21,DATA_TRANSPORT!$E:$E,AE93))=0,"",IF(OR(AE93="",$B$10=0),0,SUMIFS(DATA_TRANSPORT!$R:$R,DATA_TRANSPORT!$A:$A,$B$10-21,DATA_TRANSPORT!$E:$E,AE93))/IF(OR(AE93="",$B$10=0),0,SUMIFS(DATA_TRANSPORT!$L:$L,DATA_TRANSPORT!$A:$A,$B$10-21,DATA_TRANSPORT!$E:$E,AE93)))</f>
        <v/>
      </c>
      <c r="AV93">
        <f>IF(AND(ISNUMBER(AJ93),AJ93&lt;UtilLow),1,0)+IF(AND(ISNUMBER(AS93),AS93&lt;UtilLow),1,0)+IF(AND(ISNUMBER(AT93),AT93&lt;UtilLow),1,0)+IF(AND(ISNUMBER(AU93),AU93&lt;UtilLow),1,0)</f>
        <v/>
      </c>
      <c r="AW93">
        <f>IF(AV93&gt;=UtilLowWeeks,AE93&amp;": seats only "&amp;TEXT(AJ93,"0%")&amp;" full, under "&amp;TEXT(UtilLow,"0%")&amp;" for "&amp;AV93&amp;" weeks running",IF(AND(ISNUMBER(AJ93),AJ93&gt;UtilHigh),AE93&amp;": demand exceeds seats ("&amp;TEXT(AJ93,"0%")&amp;" full) — consider more buses",IF(AND(ISNUMBER(AO93),AO93&gt;0),AE93&amp;": FT spend ₦"&amp;TEXT(AO93,"#,##0")&amp;" over the weekly budget",IF(AR93&gt;0,AE93&amp;": "&amp;AR93&amp;" coaster breakdown(s) this week",""))))</f>
        <v/>
      </c>
      <c r="AX93">
        <f>IF(ISNUMBER(AJ93),AJ93+ROW()/1000000000,"")</f>
        <v/>
      </c>
      <c r="AY93">
        <f>IF(ISNUMBER(AL93),AL93+ROW()/1000000,"")</f>
        <v/>
      </c>
      <c r="AZ93">
        <f>IF(AND(ISNUMBER(AO93),AO93&gt;0),AO93+ROW()/1000000,"")</f>
        <v/>
      </c>
      <c r="BA93">
        <f>IF(AF93&gt;0,AF93+ROW()/1000000,"")</f>
        <v/>
      </c>
      <c r="BB93">
        <f>IF(AW93="","",ROW())</f>
        <v/>
      </c>
    </row>
    <row r="94">
      <c r="A94" t="inlineStr">
        <is>
          <t>Seats offered</t>
        </is>
      </c>
      <c r="B94">
        <f>IF($X$21=0,"",M21)</f>
        <v/>
      </c>
      <c r="C94">
        <f>IF($X$22=0,"",M22)</f>
        <v/>
      </c>
      <c r="D94">
        <f>IF(OR(B94="",C94=""),"",B94-C94)</f>
        <v/>
      </c>
      <c r="E94">
        <f>IF(OR(B94="",C94=""),"",IF(C94=0,"",B94/C94-1))</f>
        <v/>
      </c>
      <c r="F94">
        <f>IF(SUM($Y$21:$Y$80)=0,"",SUMPRODUCT($M$21:$M$80,$Y$21:$Y$80)/SUM($Y$21:$Y$80))</f>
        <v/>
      </c>
      <c r="G94">
        <f>IF(OR(B94="",F94=""),"",IF(F94=0,"",B94/F94-1))</f>
        <v/>
      </c>
      <c r="H94">
        <f>IF(SUM($Z$21:$Z$80)=0,"",SUMPRODUCT($M$21:$M$80,$Z$21:$Z$80))</f>
        <v/>
      </c>
      <c r="I94">
        <f>IF(SUM($AA$21:$AA$80)=0,"",SUMPRODUCT($M$21:$M$80,$AA$21:$AA$80))</f>
        <v/>
      </c>
      <c r="J94">
        <f>IF(SUM($AB$21:$AB$80)=0,"",SUMPRODUCT($M$21:$M$80,$AB$21:$AB$80))</f>
        <v/>
      </c>
      <c r="K94">
        <f>IF(H94="","",H94/SUM($Z$21:$Z$80))</f>
        <v/>
      </c>
      <c r="L94">
        <f>IF(I94="","",I94/SUM($AA$21:$AA$80))</f>
        <v/>
      </c>
      <c r="M94">
        <f>IF(J94="","",J94/SUM($AB$21:$AB$80))</f>
        <v/>
      </c>
      <c r="AE94">
        <f>IFERROR(INDEX(MASTER_AREAS!$B:$B,93)&amp;"","")</f>
        <v/>
      </c>
      <c r="AF94">
        <f>IF(OR(AE94="",$B$10=0),0,SUMIFS(DATA_TRANSPORT!$Q:$Q,DATA_TRANSPORT!$A:$A,$B$10,DATA_TRANSPORT!$E:$E,AE94))</f>
        <v/>
      </c>
      <c r="AG94">
        <f>IF(OR(AE94="",$B$10=0),0,SUMIFS(DATA_TRANSPORT!$I:$I,DATA_TRANSPORT!$A:$A,$B$10,DATA_TRANSPORT!$E:$E,AE94,DATA_TRANSPORT!$U:$U,"Ran"))</f>
        <v/>
      </c>
      <c r="AH94">
        <f>IF(OR(AE94="",$B$10=0),0,SUMIFS(DATA_TRANSPORT!$L:$L,DATA_TRANSPORT!$A:$A,$B$10,DATA_TRANSPORT!$E:$E,AE94))</f>
        <v/>
      </c>
      <c r="AI94">
        <f>IF(OR(AE94="",$B$10=0),0,SUMIFS(DATA_TRANSPORT!$R:$R,DATA_TRANSPORT!$A:$A,$B$10,DATA_TRANSPORT!$E:$E,AE94))</f>
        <v/>
      </c>
      <c r="AJ94">
        <f>IF(AH94=0,"",AI94/AH94)</f>
        <v/>
      </c>
      <c r="AK94">
        <f>IF(OR(AE94="",$B$10=0),0,SUMIFS(DATA_TRANSPORT!$S:$S,DATA_TRANSPORT!$A:$A,$B$10,DATA_TRANSPORT!$E:$E,AE94))+IF(OR(AE94="",$B$10=0),0,SUMIFS(DATA_TRANSPORT_COSTS!$M:$M,DATA_TRANSPORT_COSTS!$A:$A,$B$10,DATA_TRANSPORT_COSTS!$D:$D,AE94))</f>
        <v/>
      </c>
      <c r="AL94">
        <f>IF(OR(AF94=0,AK94=0),"",AK94/AF94)</f>
        <v/>
      </c>
      <c r="AM94">
        <f>IF(OR(AE94="",$B$10=0),0,SUMIFS(DATA_TRANSPORT!$S:$S,DATA_TRANSPORT!$A:$A,$B$10,DATA_TRANSPORT!$E:$E,AE94,DATA_TRANSPORT!$C:$C,"FT Procured"))</f>
        <v/>
      </c>
      <c r="AN94">
        <f>IF(OR(AE94="",$B$10=0),0,SUMIFS(DATA_TRANSPORT_BUDGET!$G:$G,DATA_TRANSPORT_BUDGET!$A:$A,$B$10,DATA_TRANSPORT_BUDGET!$D:$D,AE94))</f>
        <v/>
      </c>
      <c r="AO94">
        <f>IF(AN94=0,"",AM94-AN94)</f>
        <v/>
      </c>
      <c r="AP94">
        <f>IF(OR(AE94="",$B$10=0),0,COUNTIFS(DATA_TRANSPORT!$A:$A,$B$10,DATA_TRANSPORT!$E:$E,AE94,DATA_TRANSPORT!$C:$C,"FT Procured",DATA_TRANSPORT!$Y:$Y,"Y"))</f>
        <v/>
      </c>
      <c r="AQ94">
        <f>IF(OR(AE94="",$B$10=0),0,SUMIFS(DATA_TRANSPORT_BUDGET!$E:$E,DATA_TRANSPORT_BUDGET!$A:$A,$B$10,DATA_TRANSPORT_BUDGET!$D:$D,AE94))</f>
        <v/>
      </c>
      <c r="AR94">
        <f>IF(OR(AE94="",$B$10=0),0,COUNTIFS(DATA_TRANSPORT!$A:$A,$B$10,DATA_TRANSPORT!$E:$E,AE94,DATA_TRANSPORT!$U:$U,"Breakdown"))</f>
        <v/>
      </c>
      <c r="AS94">
        <f>IF(IF(OR(AE94="",$B$10=0),0,SUMIFS(DATA_TRANSPORT!$L:$L,DATA_TRANSPORT!$A:$A,$B$10-7,DATA_TRANSPORT!$E:$E,AE94))=0,"",IF(OR(AE94="",$B$10=0),0,SUMIFS(DATA_TRANSPORT!$R:$R,DATA_TRANSPORT!$A:$A,$B$10-7,DATA_TRANSPORT!$E:$E,AE94))/IF(OR(AE94="",$B$10=0),0,SUMIFS(DATA_TRANSPORT!$L:$L,DATA_TRANSPORT!$A:$A,$B$10-7,DATA_TRANSPORT!$E:$E,AE94)))</f>
        <v/>
      </c>
      <c r="AT94">
        <f>IF(IF(OR(AE94="",$B$10=0),0,SUMIFS(DATA_TRANSPORT!$L:$L,DATA_TRANSPORT!$A:$A,$B$10-14,DATA_TRANSPORT!$E:$E,AE94))=0,"",IF(OR(AE94="",$B$10=0),0,SUMIFS(DATA_TRANSPORT!$R:$R,DATA_TRANSPORT!$A:$A,$B$10-14,DATA_TRANSPORT!$E:$E,AE94))/IF(OR(AE94="",$B$10=0),0,SUMIFS(DATA_TRANSPORT!$L:$L,DATA_TRANSPORT!$A:$A,$B$10-14,DATA_TRANSPORT!$E:$E,AE94)))</f>
        <v/>
      </c>
      <c r="AU94">
        <f>IF(IF(OR(AE94="",$B$10=0),0,SUMIFS(DATA_TRANSPORT!$L:$L,DATA_TRANSPORT!$A:$A,$B$10-21,DATA_TRANSPORT!$E:$E,AE94))=0,"",IF(OR(AE94="",$B$10=0),0,SUMIFS(DATA_TRANSPORT!$R:$R,DATA_TRANSPORT!$A:$A,$B$10-21,DATA_TRANSPORT!$E:$E,AE94))/IF(OR(AE94="",$B$10=0),0,SUMIFS(DATA_TRANSPORT!$L:$L,DATA_TRANSPORT!$A:$A,$B$10-21,DATA_TRANSPORT!$E:$E,AE94)))</f>
        <v/>
      </c>
      <c r="AV94">
        <f>IF(AND(ISNUMBER(AJ94),AJ94&lt;UtilLow),1,0)+IF(AND(ISNUMBER(AS94),AS94&lt;UtilLow),1,0)+IF(AND(ISNUMBER(AT94),AT94&lt;UtilLow),1,0)+IF(AND(ISNUMBER(AU94),AU94&lt;UtilLow),1,0)</f>
        <v/>
      </c>
      <c r="AW94">
        <f>IF(AV94&gt;=UtilLowWeeks,AE94&amp;": seats only "&amp;TEXT(AJ94,"0%")&amp;" full, under "&amp;TEXT(UtilLow,"0%")&amp;" for "&amp;AV94&amp;" weeks running",IF(AND(ISNUMBER(AJ94),AJ94&gt;UtilHigh),AE94&amp;": demand exceeds seats ("&amp;TEXT(AJ94,"0%")&amp;" full) — consider more buses",IF(AND(ISNUMBER(AO94),AO94&gt;0),AE94&amp;": FT spend ₦"&amp;TEXT(AO94,"#,##0")&amp;" over the weekly budget",IF(AR94&gt;0,AE94&amp;": "&amp;AR94&amp;" coaster breakdown(s) this week",""))))</f>
        <v/>
      </c>
      <c r="AX94">
        <f>IF(ISNUMBER(AJ94),AJ94+ROW()/1000000000,"")</f>
        <v/>
      </c>
      <c r="AY94">
        <f>IF(ISNUMBER(AL94),AL94+ROW()/1000000,"")</f>
        <v/>
      </c>
      <c r="AZ94">
        <f>IF(AND(ISNUMBER(AO94),AO94&gt;0),AO94+ROW()/1000000,"")</f>
        <v/>
      </c>
      <c r="BA94">
        <f>IF(AF94&gt;0,AF94+ROW()/1000000,"")</f>
        <v/>
      </c>
      <c r="BB94">
        <f>IF(AW94="","",ROW())</f>
        <v/>
      </c>
    </row>
    <row r="95">
      <c r="A95" t="inlineStr">
        <is>
          <t>Seat utilisation %</t>
        </is>
      </c>
      <c r="B95">
        <f>IF(OR($X$21=0,M21=0),"",N21/M21)</f>
        <v/>
      </c>
      <c r="C95">
        <f>IF(OR($X$22=0,M22=0),"",N22/M22)</f>
        <v/>
      </c>
      <c r="D95">
        <f>IF(OR(B95="",C95=""),"",B95-C95)</f>
        <v/>
      </c>
      <c r="E95">
        <f>IF(OR(B95="",C95=""),"",IF(C95=0,"",B95/C95-1))</f>
        <v/>
      </c>
      <c r="F95">
        <f>IF(SUMPRODUCT($M$21:$M$80,$Y$21:$Y$80)=0,"",SUMPRODUCT($N$21:$N$80,$Y$21:$Y$80)/SUMPRODUCT($M$21:$M$80,$Y$21:$Y$80))</f>
        <v/>
      </c>
      <c r="G95">
        <f>IF(OR(B95="",F95=""),"",IF(F95=0,"",B95/F95-1))</f>
        <v/>
      </c>
      <c r="H95">
        <f>IF(SUMPRODUCT($M$21:$M$80,$Z$21:$Z$80)=0,"",SUMPRODUCT($N$21:$N$80,$Z$21:$Z$80)/SUMPRODUCT($M$21:$M$80,$Z$21:$Z$80))</f>
        <v/>
      </c>
      <c r="I95">
        <f>IF(SUMPRODUCT($M$21:$M$80,$AA$21:$AA$80)=0,"",SUMPRODUCT($N$21:$N$80,$AA$21:$AA$80)/SUMPRODUCT($M$21:$M$80,$AA$21:$AA$80))</f>
        <v/>
      </c>
      <c r="J95">
        <f>IF(SUMPRODUCT($M$21:$M$80,$AB$21:$AB$80)=0,"",SUMPRODUCT($N$21:$N$80,$AB$21:$AB$80)/SUMPRODUCT($M$21:$M$80,$AB$21:$AB$80))</f>
        <v/>
      </c>
      <c r="K95">
        <f>H95</f>
        <v/>
      </c>
      <c r="L95">
        <f>I95</f>
        <v/>
      </c>
      <c r="M95">
        <f>J95</f>
        <v/>
      </c>
    </row>
    <row r="96">
      <c r="A96" t="inlineStr">
        <is>
          <t>Total spend</t>
        </is>
      </c>
      <c r="B96">
        <f>IF($X$21=0,"",Q21)</f>
        <v/>
      </c>
      <c r="C96">
        <f>IF($X$22=0,"",Q22)</f>
        <v/>
      </c>
      <c r="D96">
        <f>IF(OR(B96="",C96=""),"",B96-C96)</f>
        <v/>
      </c>
      <c r="E96">
        <f>IF(OR(B96="",C96=""),"",IF(C96=0,"",B96/C96-1))</f>
        <v/>
      </c>
      <c r="F96">
        <f>IF(SUM($Y$21:$Y$80)=0,"",SUMPRODUCT($Q$21:$Q$80,$Y$21:$Y$80)/SUM($Y$21:$Y$80))</f>
        <v/>
      </c>
      <c r="G96">
        <f>IF(OR(B96="",F96=""),"",IF(F96=0,"",B96/F96-1))</f>
        <v/>
      </c>
      <c r="H96">
        <f>IF(SUM($Z$21:$Z$80)=0,"",SUMPRODUCT($Q$21:$Q$80,$Z$21:$Z$80))</f>
        <v/>
      </c>
      <c r="I96">
        <f>IF(SUM($AA$21:$AA$80)=0,"",SUMPRODUCT($Q$21:$Q$80,$AA$21:$AA$80))</f>
        <v/>
      </c>
      <c r="J96">
        <f>IF(SUM($AB$21:$AB$80)=0,"",SUMPRODUCT($Q$21:$Q$80,$AB$21:$AB$80))</f>
        <v/>
      </c>
      <c r="K96">
        <f>IF(H96="","",H96/SUM($Z$21:$Z$80))</f>
        <v/>
      </c>
      <c r="L96">
        <f>IF(I96="","",I96/SUM($AA$21:$AA$80))</f>
        <v/>
      </c>
      <c r="M96">
        <f>IF(J96="","",J96/SUM($AB$21:$AB$80))</f>
        <v/>
      </c>
    </row>
    <row r="97">
      <c r="A97" t="inlineStr">
        <is>
          <t>Central spend (FT hire + coaster fuel)</t>
        </is>
      </c>
      <c r="B97">
        <f>IF($X$21=0,"",R21)</f>
        <v/>
      </c>
      <c r="C97">
        <f>IF($X$22=0,"",R22)</f>
        <v/>
      </c>
      <c r="D97">
        <f>IF(OR(B97="",C97=""),"",B97-C97)</f>
        <v/>
      </c>
      <c r="E97">
        <f>IF(OR(B97="",C97=""),"",IF(C97=0,"",B97/C97-1))</f>
        <v/>
      </c>
      <c r="F97">
        <f>IF(SUM($Y$21:$Y$80)=0,"",SUMPRODUCT($R$21:$R$80,$Y$21:$Y$80)/SUM($Y$21:$Y$80))</f>
        <v/>
      </c>
      <c r="G97">
        <f>IF(OR(B97="",F97=""),"",IF(F97=0,"",B97/F97-1))</f>
        <v/>
      </c>
      <c r="H97">
        <f>IF(SUM($Z$21:$Z$80)=0,"",SUMPRODUCT($R$21:$R$80,$Z$21:$Z$80))</f>
        <v/>
      </c>
      <c r="I97">
        <f>IF(SUM($AA$21:$AA$80)=0,"",SUMPRODUCT($R$21:$R$80,$AA$21:$AA$80))</f>
        <v/>
      </c>
      <c r="J97">
        <f>IF(SUM($AB$21:$AB$80)=0,"",SUMPRODUCT($R$21:$R$80,$AB$21:$AB$80))</f>
        <v/>
      </c>
      <c r="K97">
        <f>IF(H97="","",H97/SUM($Z$21:$Z$80))</f>
        <v/>
      </c>
      <c r="L97">
        <f>IF(I97="","",I97/SUM($AA$21:$AA$80))</f>
        <v/>
      </c>
      <c r="M97">
        <f>IF(J97="","",J97/SUM($AB$21:$AB$80))</f>
        <v/>
      </c>
    </row>
    <row r="98">
      <c r="A98" t="inlineStr">
        <is>
          <t>Member-paid (WSF Procured)</t>
        </is>
      </c>
      <c r="B98">
        <f>IF($X$21=0,"",S21)</f>
        <v/>
      </c>
      <c r="C98">
        <f>IF($X$22=0,"",S22)</f>
        <v/>
      </c>
      <c r="D98">
        <f>IF(OR(B98="",C98=""),"",B98-C98)</f>
        <v/>
      </c>
      <c r="E98">
        <f>IF(OR(B98="",C98=""),"",IF(C98=0,"",B98/C98-1))</f>
        <v/>
      </c>
      <c r="F98">
        <f>IF(SUM($Y$21:$Y$80)=0,"",SUMPRODUCT($S$21:$S$80,$Y$21:$Y$80)/SUM($Y$21:$Y$80))</f>
        <v/>
      </c>
      <c r="G98">
        <f>IF(OR(B98="",F98=""),"",IF(F98=0,"",B98/F98-1))</f>
        <v/>
      </c>
      <c r="H98">
        <f>IF(SUM($Z$21:$Z$80)=0,"",SUMPRODUCT($S$21:$S$80,$Z$21:$Z$80))</f>
        <v/>
      </c>
      <c r="I98">
        <f>IF(SUM($AA$21:$AA$80)=0,"",SUMPRODUCT($S$21:$S$80,$AA$21:$AA$80))</f>
        <v/>
      </c>
      <c r="J98">
        <f>IF(SUM($AB$21:$AB$80)=0,"",SUMPRODUCT($S$21:$S$80,$AB$21:$AB$80))</f>
        <v/>
      </c>
      <c r="K98">
        <f>IF(H98="","",H98/SUM($Z$21:$Z$80))</f>
        <v/>
      </c>
      <c r="L98">
        <f>IF(I98="","",I98/SUM($AA$21:$AA$80))</f>
        <v/>
      </c>
      <c r="M98">
        <f>IF(J98="","",J98/SUM($AB$21:$AB$80))</f>
        <v/>
      </c>
    </row>
    <row r="99">
      <c r="A99" t="inlineStr">
        <is>
          <t>Coaster fuel paid (hubs)</t>
        </is>
      </c>
      <c r="B99">
        <f>IF($X$21=0,"",P21)</f>
        <v/>
      </c>
      <c r="C99">
        <f>IF($X$22=0,"",P22)</f>
        <v/>
      </c>
      <c r="D99">
        <f>IF(OR(B99="",C99=""),"",B99-C99)</f>
        <v/>
      </c>
      <c r="E99">
        <f>IF(OR(B99="",C99=""),"",IF(C99=0,"",B99/C99-1))</f>
        <v/>
      </c>
      <c r="F99">
        <f>IF(SUM($Y$21:$Y$80)=0,"",SUMPRODUCT($P$21:$P$80,$Y$21:$Y$80)/SUM($Y$21:$Y$80))</f>
        <v/>
      </c>
      <c r="G99">
        <f>IF(OR(B99="",F99=""),"",IF(F99=0,"",B99/F99-1))</f>
        <v/>
      </c>
      <c r="H99">
        <f>IF(SUM($Z$21:$Z$80)=0,"",SUMPRODUCT($P$21:$P$80,$Z$21:$Z$80))</f>
        <v/>
      </c>
      <c r="I99">
        <f>IF(SUM($AA$21:$AA$80)=0,"",SUMPRODUCT($P$21:$P$80,$AA$21:$AA$80))</f>
        <v/>
      </c>
      <c r="J99">
        <f>IF(SUM($AB$21:$AB$80)=0,"",SUMPRODUCT($P$21:$P$80,$AB$21:$AB$80))</f>
        <v/>
      </c>
      <c r="K99">
        <f>IF(H99="","",H99/SUM($Z$21:$Z$80))</f>
        <v/>
      </c>
      <c r="L99">
        <f>IF(I99="","",I99/SUM($AA$21:$AA$80))</f>
        <v/>
      </c>
      <c r="M99">
        <f>IF(J99="","",J99/SUM($AB$21:$AB$80))</f>
        <v/>
      </c>
    </row>
    <row r="100">
      <c r="A100" t="inlineStr">
        <is>
          <t>Cost per rider</t>
        </is>
      </c>
      <c r="B100">
        <f>IF(OR($X$21=0,G21=0),"",Q21/G21)</f>
        <v/>
      </c>
      <c r="C100">
        <f>IF(OR($X$22=0,G22=0),"",Q22/G22)</f>
        <v/>
      </c>
      <c r="D100">
        <f>IF(OR(B100="",C100=""),"",B100-C100)</f>
        <v/>
      </c>
      <c r="E100">
        <f>IF(OR(B100="",C100=""),"",IF(C100=0,"",B100/C100-1))</f>
        <v/>
      </c>
      <c r="F100">
        <f>IF(SUMPRODUCT($G$21:$G$80,$Y$21:$Y$80)=0,"",SUMPRODUCT($Q$21:$Q$80,$Y$21:$Y$80)/SUMPRODUCT($G$21:$G$80,$Y$21:$Y$80))</f>
        <v/>
      </c>
      <c r="G100">
        <f>IF(OR(B100="",F100=""),"",IF(F100=0,"",B100/F100-1))</f>
        <v/>
      </c>
      <c r="H100">
        <f>IF(SUMPRODUCT($G$21:$G$80,$Z$21:$Z$80)=0,"",SUMPRODUCT($Q$21:$Q$80,$Z$21:$Z$80)/SUMPRODUCT($G$21:$G$80,$Z$21:$Z$80))</f>
        <v/>
      </c>
      <c r="I100">
        <f>IF(SUMPRODUCT($G$21:$G$80,$AA$21:$AA$80)=0,"",SUMPRODUCT($Q$21:$Q$80,$AA$21:$AA$80)/SUMPRODUCT($G$21:$G$80,$AA$21:$AA$80))</f>
        <v/>
      </c>
      <c r="J100">
        <f>IF(SUMPRODUCT($G$21:$G$80,$AB$21:$AB$80)=0,"",SUMPRODUCT($Q$21:$Q$80,$AB$21:$AB$80)/SUMPRODUCT($G$21:$G$80,$AB$21:$AB$80))</f>
        <v/>
      </c>
      <c r="K100">
        <f>H100</f>
        <v/>
      </c>
      <c r="L100">
        <f>I100</f>
        <v/>
      </c>
      <c r="M100">
        <f>J100</f>
        <v/>
      </c>
    </row>
    <row r="101">
      <c r="A101" t="inlineStr">
        <is>
          <t>Cost per bus that ran</t>
        </is>
      </c>
      <c r="B101">
        <f>IF(OR($X$21=0,L21=0),"",Q21/L21)</f>
        <v/>
      </c>
      <c r="C101">
        <f>IF(OR($X$22=0,L22=0),"",Q22/L22)</f>
        <v/>
      </c>
      <c r="D101">
        <f>IF(OR(B101="",C101=""),"",B101-C101)</f>
        <v/>
      </c>
      <c r="E101">
        <f>IF(OR(B101="",C101=""),"",IF(C101=0,"",B101/C101-1))</f>
        <v/>
      </c>
      <c r="F101">
        <f>IF(SUMPRODUCT($L$21:$L$80,$Y$21:$Y$80)=0,"",SUMPRODUCT($Q$21:$Q$80,$Y$21:$Y$80)/SUMPRODUCT($L$21:$L$80,$Y$21:$Y$80))</f>
        <v/>
      </c>
      <c r="G101">
        <f>IF(OR(B101="",F101=""),"",IF(F101=0,"",B101/F101-1))</f>
        <v/>
      </c>
      <c r="H101">
        <f>IF(SUMPRODUCT($L$21:$L$80,$Z$21:$Z$80)=0,"",SUMPRODUCT($Q$21:$Q$80,$Z$21:$Z$80)/SUMPRODUCT($L$21:$L$80,$Z$21:$Z$80))</f>
        <v/>
      </c>
      <c r="I101">
        <f>IF(SUMPRODUCT($L$21:$L$80,$AA$21:$AA$80)=0,"",SUMPRODUCT($Q$21:$Q$80,$AA$21:$AA$80)/SUMPRODUCT($L$21:$L$80,$AA$21:$AA$80))</f>
        <v/>
      </c>
      <c r="J101">
        <f>IF(SUMPRODUCT($L$21:$L$80,$AB$21:$AB$80)=0,"",SUMPRODUCT($Q$21:$Q$80,$AB$21:$AB$80)/SUMPRODUCT($L$21:$L$80,$AB$21:$AB$80))</f>
        <v/>
      </c>
      <c r="K101">
        <f>H101</f>
        <v/>
      </c>
      <c r="L101">
        <f>I101</f>
        <v/>
      </c>
      <c r="M101">
        <f>J101</f>
        <v/>
      </c>
    </row>
    <row r="102">
      <c r="A102" t="inlineStr">
        <is>
          <t>Cost per seat offered</t>
        </is>
      </c>
      <c r="B102">
        <f>IF(OR($X$21=0,M21=0),"",Q21/M21)</f>
        <v/>
      </c>
      <c r="C102">
        <f>IF(OR($X$22=0,M22=0),"",Q22/M22)</f>
        <v/>
      </c>
      <c r="D102">
        <f>IF(OR(B102="",C102=""),"",B102-C102)</f>
        <v/>
      </c>
      <c r="E102">
        <f>IF(OR(B102="",C102=""),"",IF(C102=0,"",B102/C102-1))</f>
        <v/>
      </c>
      <c r="F102">
        <f>IF(SUMPRODUCT($M$21:$M$80,$Y$21:$Y$80)=0,"",SUMPRODUCT($Q$21:$Q$80,$Y$21:$Y$80)/SUMPRODUCT($M$21:$M$80,$Y$21:$Y$80))</f>
        <v/>
      </c>
      <c r="G102">
        <f>IF(OR(B102="",F102=""),"",IF(F102=0,"",B102/F102-1))</f>
        <v/>
      </c>
      <c r="H102">
        <f>IF(SUMPRODUCT($M$21:$M$80,$Z$21:$Z$80)=0,"",SUMPRODUCT($Q$21:$Q$80,$Z$21:$Z$80)/SUMPRODUCT($M$21:$M$80,$Z$21:$Z$80))</f>
        <v/>
      </c>
      <c r="I102">
        <f>IF(SUMPRODUCT($M$21:$M$80,$AA$21:$AA$80)=0,"",SUMPRODUCT($Q$21:$Q$80,$AA$21:$AA$80)/SUMPRODUCT($M$21:$M$80,$AA$21:$AA$80))</f>
        <v/>
      </c>
      <c r="J102">
        <f>IF(SUMPRODUCT($M$21:$M$80,$AB$21:$AB$80)=0,"",SUMPRODUCT($Q$21:$Q$80,$AB$21:$AB$80)/SUMPRODUCT($M$21:$M$80,$AB$21:$AB$80))</f>
        <v/>
      </c>
      <c r="K102">
        <f>H102</f>
        <v/>
      </c>
      <c r="L102">
        <f>I102</f>
        <v/>
      </c>
      <c r="M102">
        <f>J102</f>
        <v/>
      </c>
    </row>
    <row r="103">
      <c r="A103" t="inlineStr">
        <is>
          <t>FT spend vs FT budget</t>
        </is>
      </c>
      <c r="B103">
        <f>IF(OR($X$21=0,T21=0),"",U21/T21)</f>
        <v/>
      </c>
      <c r="C103">
        <f>IF(OR($X$22=0,T22=0),"",U22/T22)</f>
        <v/>
      </c>
      <c r="D103">
        <f>IF(OR(B103="",C103=""),"",B103-C103)</f>
        <v/>
      </c>
      <c r="E103">
        <f>IF(OR(B103="",C103=""),"",IF(C103=0,"",B103/C103-1))</f>
        <v/>
      </c>
      <c r="F103">
        <f>IF(SUMPRODUCT($T$21:$T$80,$Y$21:$Y$80)=0,"",SUMPRODUCT($U$21:$U$80,$Y$21:$Y$80)/SUMPRODUCT($T$21:$T$80,$Y$21:$Y$80))</f>
        <v/>
      </c>
      <c r="G103">
        <f>IF(OR(B103="",F103=""),"",IF(F103=0,"",B103/F103-1))</f>
        <v/>
      </c>
      <c r="H103">
        <f>IF(SUMPRODUCT($T$21:$T$80,$Z$21:$Z$80)=0,"",SUMPRODUCT($U$21:$U$80,$Z$21:$Z$80)/SUMPRODUCT($T$21:$T$80,$Z$21:$Z$80))</f>
        <v/>
      </c>
      <c r="I103">
        <f>IF(SUMPRODUCT($T$21:$T$80,$AA$21:$AA$80)=0,"",SUMPRODUCT($U$21:$U$80,$AA$21:$AA$80)/SUMPRODUCT($T$21:$T$80,$AA$21:$AA$80))</f>
        <v/>
      </c>
      <c r="J103">
        <f>IF(SUMPRODUCT($T$21:$T$80,$AB$21:$AB$80)=0,"",SUMPRODUCT($U$21:$U$80,$AB$21:$AB$80)/SUMPRODUCT($T$21:$T$80,$AB$21:$AB$80))</f>
        <v/>
      </c>
      <c r="K103">
        <f>H103</f>
        <v/>
      </c>
      <c r="L103">
        <f>I103</f>
        <v/>
      </c>
      <c r="M103">
        <f>J103</f>
        <v/>
      </c>
    </row>
    <row r="104">
      <c r="A104" t="inlineStr">
        <is>
          <t>Breakdowns</t>
        </is>
      </c>
      <c r="B104">
        <f>IF($X$21=0,"",V21)</f>
        <v/>
      </c>
      <c r="C104">
        <f>IF($X$22=0,"",V22)</f>
        <v/>
      </c>
      <c r="D104">
        <f>IF(OR(B104="",C104=""),"",B104-C104)</f>
        <v/>
      </c>
      <c r="E104">
        <f>IF(OR(B104="",C104=""),"",IF(C104=0,"",B104/C104-1))</f>
        <v/>
      </c>
      <c r="F104">
        <f>IF(SUM($Y$21:$Y$80)=0,"",SUMPRODUCT($V$21:$V$80,$Y$21:$Y$80)/SUM($Y$21:$Y$80))</f>
        <v/>
      </c>
      <c r="G104">
        <f>IF(OR(B104="",F104=""),"",IF(F104=0,"",B104/F104-1))</f>
        <v/>
      </c>
      <c r="H104">
        <f>IF(SUM($Z$21:$Z$80)=0,"",SUMPRODUCT($V$21:$V$80,$Z$21:$Z$80))</f>
        <v/>
      </c>
      <c r="I104">
        <f>IF(SUM($AA$21:$AA$80)=0,"",SUMPRODUCT($V$21:$V$80,$AA$21:$AA$80))</f>
        <v/>
      </c>
      <c r="J104">
        <f>IF(SUM($AB$21:$AB$80)=0,"",SUMPRODUCT($V$21:$V$80,$AB$21:$AB$80))</f>
        <v/>
      </c>
      <c r="K104">
        <f>IF(H104="","",H104/SUM($Z$21:$Z$80))</f>
        <v/>
      </c>
      <c r="L104">
        <f>IF(I104="","",I104/SUM($AA$21:$AA$80))</f>
        <v/>
      </c>
      <c r="M104">
        <f>IF(J104="","",J104/SUM($AB$21:$AB$80))</f>
        <v/>
      </c>
    </row>
    <row r="109">
      <c r="A109" t="inlineStr">
        <is>
          <t>Category</t>
        </is>
      </c>
      <c r="B109" t="inlineStr">
        <is>
          <t>Listed</t>
        </is>
      </c>
      <c r="C109" t="inlineStr">
        <is>
          <t>Ran</t>
        </is>
      </c>
      <c r="D109" t="inlineStr">
        <is>
          <t>% ran</t>
        </is>
      </c>
      <c r="E109" t="inlineStr">
        <is>
          <t>Riders</t>
        </is>
      </c>
      <c r="F109" t="inlineStr">
        <is>
          <t>Seats</t>
        </is>
      </c>
      <c r="G109" t="inlineStr">
        <is>
          <t>Riders w/ seats</t>
        </is>
      </c>
      <c r="H109" t="inlineStr">
        <is>
          <t>Utilisation</t>
        </is>
      </c>
      <c r="I109" t="inlineStr">
        <is>
          <t>Hire cost</t>
        </is>
      </c>
      <c r="J109" t="inlineStr">
        <is>
          <t>Fuel paid</t>
        </is>
      </c>
      <c r="K109" t="inlineStr">
        <is>
          <t>Spend</t>
        </is>
      </c>
      <c r="L109" t="inlineStr">
        <is>
          <t>Cost/rider</t>
        </is>
      </c>
      <c r="M109" t="inlineStr">
        <is>
          <t>Cost/bus</t>
        </is>
      </c>
      <c r="N109" t="inlineStr">
        <is>
          <t>Cost/seat</t>
        </is>
      </c>
      <c r="O109" t="inlineStr">
        <is>
          <t>Riders prev wk</t>
        </is>
      </c>
      <c r="P109" t="inlineStr">
        <is>
          <t>Riders WoW</t>
        </is>
      </c>
      <c r="Q109" t="inlineStr">
        <is>
          <t>Paid by</t>
        </is>
      </c>
    </row>
    <row r="110">
      <c r="A110" t="inlineStr">
        <is>
          <t>FT Procured</t>
        </is>
      </c>
      <c r="B110">
        <f>IF($B$10=0,0,SUMIFS(DATA_TRANSPORT!$I:$I,DATA_TRANSPORT!$A:$A,$B$10,DATA_TRANSPORT!$E:$E,$B$6,DATA_TRANSPORT!$AB:$AB,$B$7,DATA_TRANSPORT!$C:$C,"FT Procured"))</f>
        <v/>
      </c>
      <c r="C110">
        <f>IF($B$10=0,0,SUMIFS(DATA_TRANSPORT!$I:$I,DATA_TRANSPORT!$A:$A,$B$10,DATA_TRANSPORT!$E:$E,$B$6,DATA_TRANSPORT!$AB:$AB,$B$7,DATA_TRANSPORT!$C:$C,"FT Procured",DATA_TRANSPORT!$U:$U,"Ran"))</f>
        <v/>
      </c>
      <c r="D110">
        <f>IF(B110=0,"",C110/B110)</f>
        <v/>
      </c>
      <c r="E110">
        <f>IF($B$10=0,0,SUMIFS(DATA_TRANSPORT!$Q:$Q,DATA_TRANSPORT!$A:$A,$B$10,DATA_TRANSPORT!$E:$E,$B$6,DATA_TRANSPORT!$AB:$AB,$B$7,DATA_TRANSPORT!$C:$C,"FT Procured"))</f>
        <v/>
      </c>
      <c r="F110">
        <f>IF($B$10=0,0,SUMIFS(DATA_TRANSPORT!$L:$L,DATA_TRANSPORT!$A:$A,$B$10,DATA_TRANSPORT!$E:$E,$B$6,DATA_TRANSPORT!$AB:$AB,$B$7,DATA_TRANSPORT!$C:$C,"FT Procured"))</f>
        <v/>
      </c>
      <c r="G110">
        <f>IF($B$10=0,0,SUMIFS(DATA_TRANSPORT!$R:$R,DATA_TRANSPORT!$A:$A,$B$10,DATA_TRANSPORT!$E:$E,$B$6,DATA_TRANSPORT!$AB:$AB,$B$7,DATA_TRANSPORT!$C:$C,"FT Procured"))</f>
        <v/>
      </c>
      <c r="H110">
        <f>IF(F110=0,"",G110/F110)</f>
        <v/>
      </c>
      <c r="I110">
        <f>IF($B$10=0,0,SUMIFS(DATA_TRANSPORT!$S:$S,DATA_TRANSPORT!$A:$A,$B$10,DATA_TRANSPORT!$E:$E,$B$6,DATA_TRANSPORT!$AB:$AB,$B$7,DATA_TRANSPORT!$C:$C,"FT Procured"))</f>
        <v/>
      </c>
      <c r="J110" t="n">
        <v>0</v>
      </c>
      <c r="K110">
        <f>I110+J110</f>
        <v/>
      </c>
      <c r="L110">
        <f>IF(OR(E110=0,K110=0),"",K110/E110)</f>
        <v/>
      </c>
      <c r="M110">
        <f>IF(OR(C110=0,K110=0),"",K110/C110)</f>
        <v/>
      </c>
      <c r="N110">
        <f>IF(OR(F110=0,K110=0),"",K110/F110)</f>
        <v/>
      </c>
      <c r="O110">
        <f>IF($B$10=0,0,SUMIFS(DATA_TRANSPORT!$Q:$Q,DATA_TRANSPORT!$A:$A,$B$10-7,DATA_TRANSPORT!$E:$E,$B$6,DATA_TRANSPORT!$AB:$AB,$B$7,DATA_TRANSPORT!$C:$C,"FT Procured"))</f>
        <v/>
      </c>
      <c r="P110">
        <f>IF(O110=0,"",E110/O110-1)</f>
        <v/>
      </c>
      <c r="Q110" t="inlineStr">
        <is>
          <t>Central (hire)</t>
        </is>
      </c>
    </row>
    <row r="111">
      <c r="A111" t="inlineStr">
        <is>
          <t>Church Coaster</t>
        </is>
      </c>
      <c r="B111">
        <f>IF($B$10=0,0,SUMIFS(DATA_TRANSPORT!$I:$I,DATA_TRANSPORT!$A:$A,$B$10,DATA_TRANSPORT!$E:$E,$B$6,DATA_TRANSPORT!$AB:$AB,$B$7,DATA_TRANSPORT!$C:$C,"Church Coaster"))</f>
        <v/>
      </c>
      <c r="C111">
        <f>IF($B$10=0,0,SUMIFS(DATA_TRANSPORT!$I:$I,DATA_TRANSPORT!$A:$A,$B$10,DATA_TRANSPORT!$E:$E,$B$6,DATA_TRANSPORT!$AB:$AB,$B$7,DATA_TRANSPORT!$C:$C,"Church Coaster",DATA_TRANSPORT!$U:$U,"Ran"))</f>
        <v/>
      </c>
      <c r="D111">
        <f>IF(B111=0,"",C111/B111)</f>
        <v/>
      </c>
      <c r="E111">
        <f>IF($B$10=0,0,SUMIFS(DATA_TRANSPORT!$Q:$Q,DATA_TRANSPORT!$A:$A,$B$10,DATA_TRANSPORT!$E:$E,$B$6,DATA_TRANSPORT!$AB:$AB,$B$7,DATA_TRANSPORT!$C:$C,"Church Coaster"))</f>
        <v/>
      </c>
      <c r="F111">
        <f>IF($B$10=0,0,SUMIFS(DATA_TRANSPORT!$L:$L,DATA_TRANSPORT!$A:$A,$B$10,DATA_TRANSPORT!$E:$E,$B$6,DATA_TRANSPORT!$AB:$AB,$B$7,DATA_TRANSPORT!$C:$C,"Church Coaster"))</f>
        <v/>
      </c>
      <c r="G111">
        <f>IF($B$10=0,0,SUMIFS(DATA_TRANSPORT!$R:$R,DATA_TRANSPORT!$A:$A,$B$10,DATA_TRANSPORT!$E:$E,$B$6,DATA_TRANSPORT!$AB:$AB,$B$7,DATA_TRANSPORT!$C:$C,"Church Coaster"))</f>
        <v/>
      </c>
      <c r="H111">
        <f>IF(F111=0,"",G111/F111)</f>
        <v/>
      </c>
      <c r="I111">
        <f>IF($B$10=0,0,SUMIFS(DATA_TRANSPORT!$S:$S,DATA_TRANSPORT!$A:$A,$B$10,DATA_TRANSPORT!$E:$E,$B$6,DATA_TRANSPORT!$AB:$AB,$B$7,DATA_TRANSPORT!$C:$C,"Church Coaster"))</f>
        <v/>
      </c>
      <c r="J111">
        <f>IF(OR($B$10=0,$B$17),0,SUMIFS(DATA_TRANSPORT_COSTS!$M:$M,DATA_TRANSPORT_COSTS!$A:$A,$B$10,DATA_TRANSPORT_COSTS!$D:$D,$B$6))</f>
        <v/>
      </c>
      <c r="K111">
        <f>I111+J111</f>
        <v/>
      </c>
      <c r="L111">
        <f>IF(OR(E111=0,K111=0),"",K111/E111)</f>
        <v/>
      </c>
      <c r="M111">
        <f>IF(OR(C111=0,K111=0),"",K111/C111)</f>
        <v/>
      </c>
      <c r="N111">
        <f>IF(OR(F111=0,K111=0),"",K111/F111)</f>
        <v/>
      </c>
      <c r="O111">
        <f>IF($B$10=0,0,SUMIFS(DATA_TRANSPORT!$Q:$Q,DATA_TRANSPORT!$A:$A,$B$10-7,DATA_TRANSPORT!$E:$E,$B$6,DATA_TRANSPORT!$AB:$AB,$B$7,DATA_TRANSPORT!$C:$C,"Church Coaster"))</f>
        <v/>
      </c>
      <c r="P111">
        <f>IF(O111=0,"",E111/O111-1)</f>
        <v/>
      </c>
      <c r="Q111" t="inlineStr">
        <is>
          <t>Central (fuel)</t>
        </is>
      </c>
    </row>
    <row r="112">
      <c r="A112" t="inlineStr">
        <is>
          <t>EV/TATA</t>
        </is>
      </c>
      <c r="B112">
        <f>IF($B$10=0,0,SUMIFS(DATA_TRANSPORT!$I:$I,DATA_TRANSPORT!$A:$A,$B$10,DATA_TRANSPORT!$E:$E,$B$6,DATA_TRANSPORT!$AB:$AB,$B$7,DATA_TRANSPORT!$C:$C,"EV/TATA"))</f>
        <v/>
      </c>
      <c r="C112">
        <f>IF($B$10=0,0,SUMIFS(DATA_TRANSPORT!$I:$I,DATA_TRANSPORT!$A:$A,$B$10,DATA_TRANSPORT!$E:$E,$B$6,DATA_TRANSPORT!$AB:$AB,$B$7,DATA_TRANSPORT!$C:$C,"EV/TATA",DATA_TRANSPORT!$U:$U,"Ran"))</f>
        <v/>
      </c>
      <c r="D112">
        <f>IF(B112=0,"",C112/B112)</f>
        <v/>
      </c>
      <c r="E112">
        <f>IF($B$10=0,0,SUMIFS(DATA_TRANSPORT!$Q:$Q,DATA_TRANSPORT!$A:$A,$B$10,DATA_TRANSPORT!$E:$E,$B$6,DATA_TRANSPORT!$AB:$AB,$B$7,DATA_TRANSPORT!$C:$C,"EV/TATA"))</f>
        <v/>
      </c>
      <c r="F112">
        <f>IF($B$10=0,0,SUMIFS(DATA_TRANSPORT!$L:$L,DATA_TRANSPORT!$A:$A,$B$10,DATA_TRANSPORT!$E:$E,$B$6,DATA_TRANSPORT!$AB:$AB,$B$7,DATA_TRANSPORT!$C:$C,"EV/TATA"))</f>
        <v/>
      </c>
      <c r="G112">
        <f>IF($B$10=0,0,SUMIFS(DATA_TRANSPORT!$R:$R,DATA_TRANSPORT!$A:$A,$B$10,DATA_TRANSPORT!$E:$E,$B$6,DATA_TRANSPORT!$AB:$AB,$B$7,DATA_TRANSPORT!$C:$C,"EV/TATA"))</f>
        <v/>
      </c>
      <c r="H112">
        <f>IF(F112=0,"",G112/F112)</f>
        <v/>
      </c>
      <c r="I112">
        <f>IF($B$10=0,0,SUMIFS(DATA_TRANSPORT!$S:$S,DATA_TRANSPORT!$A:$A,$B$10,DATA_TRANSPORT!$E:$E,$B$6,DATA_TRANSPORT!$AB:$AB,$B$7,DATA_TRANSPORT!$C:$C,"EV/TATA"))</f>
        <v/>
      </c>
      <c r="J112" t="n">
        <v>0</v>
      </c>
      <c r="K112">
        <f>I112+J112</f>
        <v/>
      </c>
      <c r="L112">
        <f>IF(OR(E112=0,K112=0),"",K112/E112)</f>
        <v/>
      </c>
      <c r="M112">
        <f>IF(OR(C112=0,K112=0),"",K112/C112)</f>
        <v/>
      </c>
      <c r="N112">
        <f>IF(OR(F112=0,K112=0),"",K112/F112)</f>
        <v/>
      </c>
      <c r="O112">
        <f>IF($B$10=0,0,SUMIFS(DATA_TRANSPORT!$Q:$Q,DATA_TRANSPORT!$A:$A,$B$10-7,DATA_TRANSPORT!$E:$E,$B$6,DATA_TRANSPORT!$AB:$AB,$B$7,DATA_TRANSPORT!$C:$C,"EV/TATA"))</f>
        <v/>
      </c>
      <c r="P112">
        <f>IF(O112=0,"",E112/O112-1)</f>
        <v/>
      </c>
      <c r="Q112" t="inlineStr">
        <is>
          <t>Central (direct)</t>
        </is>
      </c>
    </row>
    <row r="113">
      <c r="A113" t="inlineStr">
        <is>
          <t>WSF Procured</t>
        </is>
      </c>
      <c r="B113">
        <f>IF($B$10=0,0,SUMIFS(DATA_TRANSPORT!$I:$I,DATA_TRANSPORT!$A:$A,$B$10,DATA_TRANSPORT!$E:$E,$B$6,DATA_TRANSPORT!$AB:$AB,$B$7,DATA_TRANSPORT!$C:$C,"WSF Procured"))</f>
        <v/>
      </c>
      <c r="C113">
        <f>IF($B$10=0,0,SUMIFS(DATA_TRANSPORT!$I:$I,DATA_TRANSPORT!$A:$A,$B$10,DATA_TRANSPORT!$E:$E,$B$6,DATA_TRANSPORT!$AB:$AB,$B$7,DATA_TRANSPORT!$C:$C,"WSF Procured",DATA_TRANSPORT!$U:$U,"Ran"))</f>
        <v/>
      </c>
      <c r="D113">
        <f>IF(B113=0,"",C113/B113)</f>
        <v/>
      </c>
      <c r="E113">
        <f>IF($B$10=0,0,SUMIFS(DATA_TRANSPORT!$Q:$Q,DATA_TRANSPORT!$A:$A,$B$10,DATA_TRANSPORT!$E:$E,$B$6,DATA_TRANSPORT!$AB:$AB,$B$7,DATA_TRANSPORT!$C:$C,"WSF Procured"))</f>
        <v/>
      </c>
      <c r="F113">
        <f>IF($B$10=0,0,SUMIFS(DATA_TRANSPORT!$L:$L,DATA_TRANSPORT!$A:$A,$B$10,DATA_TRANSPORT!$E:$E,$B$6,DATA_TRANSPORT!$AB:$AB,$B$7,DATA_TRANSPORT!$C:$C,"WSF Procured"))</f>
        <v/>
      </c>
      <c r="G113">
        <f>IF($B$10=0,0,SUMIFS(DATA_TRANSPORT!$R:$R,DATA_TRANSPORT!$A:$A,$B$10,DATA_TRANSPORT!$E:$E,$B$6,DATA_TRANSPORT!$AB:$AB,$B$7,DATA_TRANSPORT!$C:$C,"WSF Procured"))</f>
        <v/>
      </c>
      <c r="H113">
        <f>IF(F113=0,"",G113/F113)</f>
        <v/>
      </c>
      <c r="I113">
        <f>IF($B$10=0,0,SUMIFS(DATA_TRANSPORT!$S:$S,DATA_TRANSPORT!$A:$A,$B$10,DATA_TRANSPORT!$E:$E,$B$6,DATA_TRANSPORT!$AB:$AB,$B$7,DATA_TRANSPORT!$C:$C,"WSF Procured"))</f>
        <v/>
      </c>
      <c r="J113" t="n">
        <v>0</v>
      </c>
      <c r="K113">
        <f>I113+J113</f>
        <v/>
      </c>
      <c r="L113">
        <f>IF(OR(E113=0,K113=0),"",K113/E113)</f>
        <v/>
      </c>
      <c r="M113">
        <f>IF(OR(C113=0,K113=0),"",K113/C113)</f>
        <v/>
      </c>
      <c r="N113">
        <f>IF(OR(F113=0,K113=0),"",K113/F113)</f>
        <v/>
      </c>
      <c r="O113">
        <f>IF($B$10=0,0,SUMIFS(DATA_TRANSPORT!$Q:$Q,DATA_TRANSPORT!$A:$A,$B$10-7,DATA_TRANSPORT!$E:$E,$B$6,DATA_TRANSPORT!$AB:$AB,$B$7,DATA_TRANSPORT!$C:$C,"WSF Procured"))</f>
        <v/>
      </c>
      <c r="P113">
        <f>IF(O113=0,"",E113/O113-1)</f>
        <v/>
      </c>
      <c r="Q113" t="inlineStr">
        <is>
          <t>Members</t>
        </is>
      </c>
    </row>
    <row r="114">
      <c r="A114" t="inlineStr">
        <is>
          <t>All categories</t>
        </is>
      </c>
      <c r="B114">
        <f>IF($B$10=0,0,SUMIFS(DATA_TRANSPORT!$I:$I,DATA_TRANSPORT!$A:$A,$B$10,DATA_TRANSPORT!$E:$E,$B$6,DATA_TRANSPORT!$AB:$AB,$B$7))</f>
        <v/>
      </c>
      <c r="C114">
        <f>IF($B$10=0,0,SUMIFS(DATA_TRANSPORT!$I:$I,DATA_TRANSPORT!$A:$A,$B$10,DATA_TRANSPORT!$E:$E,$B$6,DATA_TRANSPORT!$AB:$AB,$B$7,DATA_TRANSPORT!$U:$U,"Ran"))</f>
        <v/>
      </c>
      <c r="D114">
        <f>IF(B114=0,"",C114/B114)</f>
        <v/>
      </c>
      <c r="E114">
        <f>IF($B$10=0,0,SUMIFS(DATA_TRANSPORT!$Q:$Q,DATA_TRANSPORT!$A:$A,$B$10,DATA_TRANSPORT!$E:$E,$B$6,DATA_TRANSPORT!$AB:$AB,$B$7))</f>
        <v/>
      </c>
      <c r="F114">
        <f>IF($B$10=0,0,SUMIFS(DATA_TRANSPORT!$L:$L,DATA_TRANSPORT!$A:$A,$B$10,DATA_TRANSPORT!$E:$E,$B$6,DATA_TRANSPORT!$AB:$AB,$B$7))</f>
        <v/>
      </c>
      <c r="G114">
        <f>IF($B$10=0,0,SUMIFS(DATA_TRANSPORT!$R:$R,DATA_TRANSPORT!$A:$A,$B$10,DATA_TRANSPORT!$E:$E,$B$6,DATA_TRANSPORT!$AB:$AB,$B$7))</f>
        <v/>
      </c>
      <c r="H114">
        <f>IF(F114=0,"",G114/F114)</f>
        <v/>
      </c>
      <c r="I114">
        <f>IF($B$10=0,0,SUMIFS(DATA_TRANSPORT!$S:$S,DATA_TRANSPORT!$A:$A,$B$10,DATA_TRANSPORT!$E:$E,$B$6,DATA_TRANSPORT!$AB:$AB,$B$7))</f>
        <v/>
      </c>
      <c r="J114">
        <f>IF(OR($B$10=0,$B$17),0,SUMIFS(DATA_TRANSPORT_COSTS!$M:$M,DATA_TRANSPORT_COSTS!$A:$A,$B$10,DATA_TRANSPORT_COSTS!$D:$D,$B$6))</f>
        <v/>
      </c>
      <c r="K114">
        <f>I114+J114</f>
        <v/>
      </c>
      <c r="L114">
        <f>IF(OR(E114=0,K114=0),"",K114/E114)</f>
        <v/>
      </c>
      <c r="M114">
        <f>IF(OR(C114=0,K114=0),"",K114/C114)</f>
        <v/>
      </c>
      <c r="N114">
        <f>IF(OR(F114=0,K114=0),"",K114/F114)</f>
        <v/>
      </c>
      <c r="O114">
        <f>IF($B$10=0,0,SUMIFS(DATA_TRANSPORT!$Q:$Q,DATA_TRANSPORT!$A:$A,$B$10-7,DATA_TRANSPORT!$E:$E,$B$6,DATA_TRANSPORT!$AB:$AB,$B$7))</f>
        <v/>
      </c>
      <c r="P114">
        <f>IF(O114=0,"",E114/O114-1)</f>
        <v/>
      </c>
      <c r="Q114" t="inlineStr"/>
    </row>
    <row r="125">
      <c r="A125" t="inlineStr">
        <is>
          <t>Week</t>
        </is>
      </c>
      <c r="B125" t="inlineStr">
        <is>
          <t>FT Procured</t>
        </is>
      </c>
      <c r="C125" t="inlineStr">
        <is>
          <t>Church Coaster</t>
        </is>
      </c>
      <c r="D125" t="inlineStr">
        <is>
          <t>EV/TATA</t>
        </is>
      </c>
      <c r="E125" t="inlineStr">
        <is>
          <t>WSF Procured</t>
        </is>
      </c>
      <c r="G125" t="inlineStr">
        <is>
          <t>FT Procured</t>
        </is>
      </c>
      <c r="H125" t="inlineStr">
        <is>
          <t>Church Coaster</t>
        </is>
      </c>
      <c r="I125" t="inlineStr">
        <is>
          <t>EV/TATA</t>
        </is>
      </c>
      <c r="J125" t="inlineStr">
        <is>
          <t>WSF Procured</t>
        </is>
      </c>
      <c r="K125" t="inlineStr">
        <is>
          <t>Seat utilisation</t>
        </is>
      </c>
    </row>
    <row r="126">
      <c r="A126">
        <f>IF(B33="","",TEXT(B33,"dd mmm"))</f>
        <v/>
      </c>
      <c r="B126">
        <f>IF(B33="",0,SUMIFS(DATA_TRANSPORT!$Q:$Q,DATA_TRANSPORT!$A:$A,B33,DATA_TRANSPORT!$E:$E,$B$6,DATA_TRANSPORT!$AB:$AB,$B$7,DATA_TRANSPORT!$C:$C,"FT Procured"))</f>
        <v/>
      </c>
      <c r="C126">
        <f>IF(B33="",0,SUMIFS(DATA_TRANSPORT!$Q:$Q,DATA_TRANSPORT!$A:$A,B33,DATA_TRANSPORT!$E:$E,$B$6,DATA_TRANSPORT!$AB:$AB,$B$7,DATA_TRANSPORT!$C:$C,"Church Coaster"))</f>
        <v/>
      </c>
      <c r="D126">
        <f>IF(B33="",0,SUMIFS(DATA_TRANSPORT!$Q:$Q,DATA_TRANSPORT!$A:$A,B33,DATA_TRANSPORT!$E:$E,$B$6,DATA_TRANSPORT!$AB:$AB,$B$7,DATA_TRANSPORT!$C:$C,"EV/TATA"))</f>
        <v/>
      </c>
      <c r="E126">
        <f>IF(B33="",0,SUMIFS(DATA_TRANSPORT!$Q:$Q,DATA_TRANSPORT!$A:$A,B33,DATA_TRANSPORT!$E:$E,$B$6,DATA_TRANSPORT!$AB:$AB,$B$7,DATA_TRANSPORT!$C:$C,"WSF Procured"))</f>
        <v/>
      </c>
      <c r="G126">
        <f>IF(B33="",0,SUMIFS(DATA_TRANSPORT!$S:$S,DATA_TRANSPORT!$A:$A,B33,DATA_TRANSPORT!$E:$E,$B$6,DATA_TRANSPORT!$AB:$AB,$B$7,DATA_TRANSPORT!$C:$C,"FT Procured"))</f>
        <v/>
      </c>
      <c r="H126">
        <f>IF(B33="",0,SUMIFS(DATA_TRANSPORT!$S:$S,DATA_TRANSPORT!$A:$A,B33,DATA_TRANSPORT!$E:$E,$B$6,DATA_TRANSPORT!$AB:$AB,$B$7,DATA_TRANSPORT!$C:$C,"Church Coaster")+IF($B$17,0,SUMIFS(DATA_TRANSPORT_COSTS!$M:$M,DATA_TRANSPORT_COSTS!$A:$A,B33,DATA_TRANSPORT_COSTS!$D:$D,$B$6)))</f>
        <v/>
      </c>
      <c r="I126">
        <f>IF(B33="",0,SUMIFS(DATA_TRANSPORT!$S:$S,DATA_TRANSPORT!$A:$A,B33,DATA_TRANSPORT!$E:$E,$B$6,DATA_TRANSPORT!$AB:$AB,$B$7,DATA_TRANSPORT!$C:$C,"EV/TATA"))</f>
        <v/>
      </c>
      <c r="J126">
        <f>IF(B33="",0,SUMIFS(DATA_TRANSPORT!$S:$S,DATA_TRANSPORT!$A:$A,B33,DATA_TRANSPORT!$E:$E,$B$6,DATA_TRANSPORT!$AB:$AB,$B$7,DATA_TRANSPORT!$C:$C,"WSF Procured"))</f>
        <v/>
      </c>
      <c r="K126">
        <f>W33</f>
        <v/>
      </c>
    </row>
    <row r="127">
      <c r="A127">
        <f>IF(B32="","",TEXT(B32,"dd mmm"))</f>
        <v/>
      </c>
      <c r="B127">
        <f>IF(B32="",0,SUMIFS(DATA_TRANSPORT!$Q:$Q,DATA_TRANSPORT!$A:$A,B32,DATA_TRANSPORT!$E:$E,$B$6,DATA_TRANSPORT!$AB:$AB,$B$7,DATA_TRANSPORT!$C:$C,"FT Procured"))</f>
        <v/>
      </c>
      <c r="C127">
        <f>IF(B32="",0,SUMIFS(DATA_TRANSPORT!$Q:$Q,DATA_TRANSPORT!$A:$A,B32,DATA_TRANSPORT!$E:$E,$B$6,DATA_TRANSPORT!$AB:$AB,$B$7,DATA_TRANSPORT!$C:$C,"Church Coaster"))</f>
        <v/>
      </c>
      <c r="D127">
        <f>IF(B32="",0,SUMIFS(DATA_TRANSPORT!$Q:$Q,DATA_TRANSPORT!$A:$A,B32,DATA_TRANSPORT!$E:$E,$B$6,DATA_TRANSPORT!$AB:$AB,$B$7,DATA_TRANSPORT!$C:$C,"EV/TATA"))</f>
        <v/>
      </c>
      <c r="E127">
        <f>IF(B32="",0,SUMIFS(DATA_TRANSPORT!$Q:$Q,DATA_TRANSPORT!$A:$A,B32,DATA_TRANSPORT!$E:$E,$B$6,DATA_TRANSPORT!$AB:$AB,$B$7,DATA_TRANSPORT!$C:$C,"WSF Procured"))</f>
        <v/>
      </c>
      <c r="G127">
        <f>IF(B32="",0,SUMIFS(DATA_TRANSPORT!$S:$S,DATA_TRANSPORT!$A:$A,B32,DATA_TRANSPORT!$E:$E,$B$6,DATA_TRANSPORT!$AB:$AB,$B$7,DATA_TRANSPORT!$C:$C,"FT Procured"))</f>
        <v/>
      </c>
      <c r="H127">
        <f>IF(B32="",0,SUMIFS(DATA_TRANSPORT!$S:$S,DATA_TRANSPORT!$A:$A,B32,DATA_TRANSPORT!$E:$E,$B$6,DATA_TRANSPORT!$AB:$AB,$B$7,DATA_TRANSPORT!$C:$C,"Church Coaster")+IF($B$17,0,SUMIFS(DATA_TRANSPORT_COSTS!$M:$M,DATA_TRANSPORT_COSTS!$A:$A,B32,DATA_TRANSPORT_COSTS!$D:$D,$B$6)))</f>
        <v/>
      </c>
      <c r="I127">
        <f>IF(B32="",0,SUMIFS(DATA_TRANSPORT!$S:$S,DATA_TRANSPORT!$A:$A,B32,DATA_TRANSPORT!$E:$E,$B$6,DATA_TRANSPORT!$AB:$AB,$B$7,DATA_TRANSPORT!$C:$C,"EV/TATA"))</f>
        <v/>
      </c>
      <c r="J127">
        <f>IF(B32="",0,SUMIFS(DATA_TRANSPORT!$S:$S,DATA_TRANSPORT!$A:$A,B32,DATA_TRANSPORT!$E:$E,$B$6,DATA_TRANSPORT!$AB:$AB,$B$7,DATA_TRANSPORT!$C:$C,"WSF Procured"))</f>
        <v/>
      </c>
      <c r="K127">
        <f>W32</f>
        <v/>
      </c>
    </row>
    <row r="128">
      <c r="A128">
        <f>IF(B31="","",TEXT(B31,"dd mmm"))</f>
        <v/>
      </c>
      <c r="B128">
        <f>IF(B31="",0,SUMIFS(DATA_TRANSPORT!$Q:$Q,DATA_TRANSPORT!$A:$A,B31,DATA_TRANSPORT!$E:$E,$B$6,DATA_TRANSPORT!$AB:$AB,$B$7,DATA_TRANSPORT!$C:$C,"FT Procured"))</f>
        <v/>
      </c>
      <c r="C128">
        <f>IF(B31="",0,SUMIFS(DATA_TRANSPORT!$Q:$Q,DATA_TRANSPORT!$A:$A,B31,DATA_TRANSPORT!$E:$E,$B$6,DATA_TRANSPORT!$AB:$AB,$B$7,DATA_TRANSPORT!$C:$C,"Church Coaster"))</f>
        <v/>
      </c>
      <c r="D128">
        <f>IF(B31="",0,SUMIFS(DATA_TRANSPORT!$Q:$Q,DATA_TRANSPORT!$A:$A,B31,DATA_TRANSPORT!$E:$E,$B$6,DATA_TRANSPORT!$AB:$AB,$B$7,DATA_TRANSPORT!$C:$C,"EV/TATA"))</f>
        <v/>
      </c>
      <c r="E128">
        <f>IF(B31="",0,SUMIFS(DATA_TRANSPORT!$Q:$Q,DATA_TRANSPORT!$A:$A,B31,DATA_TRANSPORT!$E:$E,$B$6,DATA_TRANSPORT!$AB:$AB,$B$7,DATA_TRANSPORT!$C:$C,"WSF Procured"))</f>
        <v/>
      </c>
      <c r="G128">
        <f>IF(B31="",0,SUMIFS(DATA_TRANSPORT!$S:$S,DATA_TRANSPORT!$A:$A,B31,DATA_TRANSPORT!$E:$E,$B$6,DATA_TRANSPORT!$AB:$AB,$B$7,DATA_TRANSPORT!$C:$C,"FT Procured"))</f>
        <v/>
      </c>
      <c r="H128">
        <f>IF(B31="",0,SUMIFS(DATA_TRANSPORT!$S:$S,DATA_TRANSPORT!$A:$A,B31,DATA_TRANSPORT!$E:$E,$B$6,DATA_TRANSPORT!$AB:$AB,$B$7,DATA_TRANSPORT!$C:$C,"Church Coaster")+IF($B$17,0,SUMIFS(DATA_TRANSPORT_COSTS!$M:$M,DATA_TRANSPORT_COSTS!$A:$A,B31,DATA_TRANSPORT_COSTS!$D:$D,$B$6)))</f>
        <v/>
      </c>
      <c r="I128">
        <f>IF(B31="",0,SUMIFS(DATA_TRANSPORT!$S:$S,DATA_TRANSPORT!$A:$A,B31,DATA_TRANSPORT!$E:$E,$B$6,DATA_TRANSPORT!$AB:$AB,$B$7,DATA_TRANSPORT!$C:$C,"EV/TATA"))</f>
        <v/>
      </c>
      <c r="J128">
        <f>IF(B31="",0,SUMIFS(DATA_TRANSPORT!$S:$S,DATA_TRANSPORT!$A:$A,B31,DATA_TRANSPORT!$E:$E,$B$6,DATA_TRANSPORT!$AB:$AB,$B$7,DATA_TRANSPORT!$C:$C,"WSF Procured"))</f>
        <v/>
      </c>
      <c r="K128">
        <f>W31</f>
        <v/>
      </c>
    </row>
    <row r="129">
      <c r="A129">
        <f>IF(B30="","",TEXT(B30,"dd mmm"))</f>
        <v/>
      </c>
      <c r="B129">
        <f>IF(B30="",0,SUMIFS(DATA_TRANSPORT!$Q:$Q,DATA_TRANSPORT!$A:$A,B30,DATA_TRANSPORT!$E:$E,$B$6,DATA_TRANSPORT!$AB:$AB,$B$7,DATA_TRANSPORT!$C:$C,"FT Procured"))</f>
        <v/>
      </c>
      <c r="C129">
        <f>IF(B30="",0,SUMIFS(DATA_TRANSPORT!$Q:$Q,DATA_TRANSPORT!$A:$A,B30,DATA_TRANSPORT!$E:$E,$B$6,DATA_TRANSPORT!$AB:$AB,$B$7,DATA_TRANSPORT!$C:$C,"Church Coaster"))</f>
        <v/>
      </c>
      <c r="D129">
        <f>IF(B30="",0,SUMIFS(DATA_TRANSPORT!$Q:$Q,DATA_TRANSPORT!$A:$A,B30,DATA_TRANSPORT!$E:$E,$B$6,DATA_TRANSPORT!$AB:$AB,$B$7,DATA_TRANSPORT!$C:$C,"EV/TATA"))</f>
        <v/>
      </c>
      <c r="E129">
        <f>IF(B30="",0,SUMIFS(DATA_TRANSPORT!$Q:$Q,DATA_TRANSPORT!$A:$A,B30,DATA_TRANSPORT!$E:$E,$B$6,DATA_TRANSPORT!$AB:$AB,$B$7,DATA_TRANSPORT!$C:$C,"WSF Procured"))</f>
        <v/>
      </c>
      <c r="G129">
        <f>IF(B30="",0,SUMIFS(DATA_TRANSPORT!$S:$S,DATA_TRANSPORT!$A:$A,B30,DATA_TRANSPORT!$E:$E,$B$6,DATA_TRANSPORT!$AB:$AB,$B$7,DATA_TRANSPORT!$C:$C,"FT Procured"))</f>
        <v/>
      </c>
      <c r="H129">
        <f>IF(B30="",0,SUMIFS(DATA_TRANSPORT!$S:$S,DATA_TRANSPORT!$A:$A,B30,DATA_TRANSPORT!$E:$E,$B$6,DATA_TRANSPORT!$AB:$AB,$B$7,DATA_TRANSPORT!$C:$C,"Church Coaster")+IF($B$17,0,SUMIFS(DATA_TRANSPORT_COSTS!$M:$M,DATA_TRANSPORT_COSTS!$A:$A,B30,DATA_TRANSPORT_COSTS!$D:$D,$B$6)))</f>
        <v/>
      </c>
      <c r="I129">
        <f>IF(B30="",0,SUMIFS(DATA_TRANSPORT!$S:$S,DATA_TRANSPORT!$A:$A,B30,DATA_TRANSPORT!$E:$E,$B$6,DATA_TRANSPORT!$AB:$AB,$B$7,DATA_TRANSPORT!$C:$C,"EV/TATA"))</f>
        <v/>
      </c>
      <c r="J129">
        <f>IF(B30="",0,SUMIFS(DATA_TRANSPORT!$S:$S,DATA_TRANSPORT!$A:$A,B30,DATA_TRANSPORT!$E:$E,$B$6,DATA_TRANSPORT!$AB:$AB,$B$7,DATA_TRANSPORT!$C:$C,"WSF Procured"))</f>
        <v/>
      </c>
      <c r="K129">
        <f>W30</f>
        <v/>
      </c>
    </row>
    <row r="130">
      <c r="A130">
        <f>IF(B29="","",TEXT(B29,"dd mmm"))</f>
        <v/>
      </c>
      <c r="B130">
        <f>IF(B29="",0,SUMIFS(DATA_TRANSPORT!$Q:$Q,DATA_TRANSPORT!$A:$A,B29,DATA_TRANSPORT!$E:$E,$B$6,DATA_TRANSPORT!$AB:$AB,$B$7,DATA_TRANSPORT!$C:$C,"FT Procured"))</f>
        <v/>
      </c>
      <c r="C130">
        <f>IF(B29="",0,SUMIFS(DATA_TRANSPORT!$Q:$Q,DATA_TRANSPORT!$A:$A,B29,DATA_TRANSPORT!$E:$E,$B$6,DATA_TRANSPORT!$AB:$AB,$B$7,DATA_TRANSPORT!$C:$C,"Church Coaster"))</f>
        <v/>
      </c>
      <c r="D130">
        <f>IF(B29="",0,SUMIFS(DATA_TRANSPORT!$Q:$Q,DATA_TRANSPORT!$A:$A,B29,DATA_TRANSPORT!$E:$E,$B$6,DATA_TRANSPORT!$AB:$AB,$B$7,DATA_TRANSPORT!$C:$C,"EV/TATA"))</f>
        <v/>
      </c>
      <c r="E130">
        <f>IF(B29="",0,SUMIFS(DATA_TRANSPORT!$Q:$Q,DATA_TRANSPORT!$A:$A,B29,DATA_TRANSPORT!$E:$E,$B$6,DATA_TRANSPORT!$AB:$AB,$B$7,DATA_TRANSPORT!$C:$C,"WSF Procured"))</f>
        <v/>
      </c>
      <c r="G130">
        <f>IF(B29="",0,SUMIFS(DATA_TRANSPORT!$S:$S,DATA_TRANSPORT!$A:$A,B29,DATA_TRANSPORT!$E:$E,$B$6,DATA_TRANSPORT!$AB:$AB,$B$7,DATA_TRANSPORT!$C:$C,"FT Procured"))</f>
        <v/>
      </c>
      <c r="H130">
        <f>IF(B29="",0,SUMIFS(DATA_TRANSPORT!$S:$S,DATA_TRANSPORT!$A:$A,B29,DATA_TRANSPORT!$E:$E,$B$6,DATA_TRANSPORT!$AB:$AB,$B$7,DATA_TRANSPORT!$C:$C,"Church Coaster")+IF($B$17,0,SUMIFS(DATA_TRANSPORT_COSTS!$M:$M,DATA_TRANSPORT_COSTS!$A:$A,B29,DATA_TRANSPORT_COSTS!$D:$D,$B$6)))</f>
        <v/>
      </c>
      <c r="I130">
        <f>IF(B29="",0,SUMIFS(DATA_TRANSPORT!$S:$S,DATA_TRANSPORT!$A:$A,B29,DATA_TRANSPORT!$E:$E,$B$6,DATA_TRANSPORT!$AB:$AB,$B$7,DATA_TRANSPORT!$C:$C,"EV/TATA"))</f>
        <v/>
      </c>
      <c r="J130">
        <f>IF(B29="",0,SUMIFS(DATA_TRANSPORT!$S:$S,DATA_TRANSPORT!$A:$A,B29,DATA_TRANSPORT!$E:$E,$B$6,DATA_TRANSPORT!$AB:$AB,$B$7,DATA_TRANSPORT!$C:$C,"WSF Procured"))</f>
        <v/>
      </c>
      <c r="K130">
        <f>W29</f>
        <v/>
      </c>
    </row>
    <row r="131">
      <c r="A131">
        <f>IF(B28="","",TEXT(B28,"dd mmm"))</f>
        <v/>
      </c>
      <c r="B131">
        <f>IF(B28="",0,SUMIFS(DATA_TRANSPORT!$Q:$Q,DATA_TRANSPORT!$A:$A,B28,DATA_TRANSPORT!$E:$E,$B$6,DATA_TRANSPORT!$AB:$AB,$B$7,DATA_TRANSPORT!$C:$C,"FT Procured"))</f>
        <v/>
      </c>
      <c r="C131">
        <f>IF(B28="",0,SUMIFS(DATA_TRANSPORT!$Q:$Q,DATA_TRANSPORT!$A:$A,B28,DATA_TRANSPORT!$E:$E,$B$6,DATA_TRANSPORT!$AB:$AB,$B$7,DATA_TRANSPORT!$C:$C,"Church Coaster"))</f>
        <v/>
      </c>
      <c r="D131">
        <f>IF(B28="",0,SUMIFS(DATA_TRANSPORT!$Q:$Q,DATA_TRANSPORT!$A:$A,B28,DATA_TRANSPORT!$E:$E,$B$6,DATA_TRANSPORT!$AB:$AB,$B$7,DATA_TRANSPORT!$C:$C,"EV/TATA"))</f>
        <v/>
      </c>
      <c r="E131">
        <f>IF(B28="",0,SUMIFS(DATA_TRANSPORT!$Q:$Q,DATA_TRANSPORT!$A:$A,B28,DATA_TRANSPORT!$E:$E,$B$6,DATA_TRANSPORT!$AB:$AB,$B$7,DATA_TRANSPORT!$C:$C,"WSF Procured"))</f>
        <v/>
      </c>
      <c r="G131">
        <f>IF(B28="",0,SUMIFS(DATA_TRANSPORT!$S:$S,DATA_TRANSPORT!$A:$A,B28,DATA_TRANSPORT!$E:$E,$B$6,DATA_TRANSPORT!$AB:$AB,$B$7,DATA_TRANSPORT!$C:$C,"FT Procured"))</f>
        <v/>
      </c>
      <c r="H131">
        <f>IF(B28="",0,SUMIFS(DATA_TRANSPORT!$S:$S,DATA_TRANSPORT!$A:$A,B28,DATA_TRANSPORT!$E:$E,$B$6,DATA_TRANSPORT!$AB:$AB,$B$7,DATA_TRANSPORT!$C:$C,"Church Coaster")+IF($B$17,0,SUMIFS(DATA_TRANSPORT_COSTS!$M:$M,DATA_TRANSPORT_COSTS!$A:$A,B28,DATA_TRANSPORT_COSTS!$D:$D,$B$6)))</f>
        <v/>
      </c>
      <c r="I131">
        <f>IF(B28="",0,SUMIFS(DATA_TRANSPORT!$S:$S,DATA_TRANSPORT!$A:$A,B28,DATA_TRANSPORT!$E:$E,$B$6,DATA_TRANSPORT!$AB:$AB,$B$7,DATA_TRANSPORT!$C:$C,"EV/TATA"))</f>
        <v/>
      </c>
      <c r="J131">
        <f>IF(B28="",0,SUMIFS(DATA_TRANSPORT!$S:$S,DATA_TRANSPORT!$A:$A,B28,DATA_TRANSPORT!$E:$E,$B$6,DATA_TRANSPORT!$AB:$AB,$B$7,DATA_TRANSPORT!$C:$C,"WSF Procured"))</f>
        <v/>
      </c>
      <c r="K131">
        <f>W28</f>
        <v/>
      </c>
    </row>
    <row r="132">
      <c r="A132">
        <f>IF(B27="","",TEXT(B27,"dd mmm"))</f>
        <v/>
      </c>
      <c r="B132">
        <f>IF(B27="",0,SUMIFS(DATA_TRANSPORT!$Q:$Q,DATA_TRANSPORT!$A:$A,B27,DATA_TRANSPORT!$E:$E,$B$6,DATA_TRANSPORT!$AB:$AB,$B$7,DATA_TRANSPORT!$C:$C,"FT Procured"))</f>
        <v/>
      </c>
      <c r="C132">
        <f>IF(B27="",0,SUMIFS(DATA_TRANSPORT!$Q:$Q,DATA_TRANSPORT!$A:$A,B27,DATA_TRANSPORT!$E:$E,$B$6,DATA_TRANSPORT!$AB:$AB,$B$7,DATA_TRANSPORT!$C:$C,"Church Coaster"))</f>
        <v/>
      </c>
      <c r="D132">
        <f>IF(B27="",0,SUMIFS(DATA_TRANSPORT!$Q:$Q,DATA_TRANSPORT!$A:$A,B27,DATA_TRANSPORT!$E:$E,$B$6,DATA_TRANSPORT!$AB:$AB,$B$7,DATA_TRANSPORT!$C:$C,"EV/TATA"))</f>
        <v/>
      </c>
      <c r="E132">
        <f>IF(B27="",0,SUMIFS(DATA_TRANSPORT!$Q:$Q,DATA_TRANSPORT!$A:$A,B27,DATA_TRANSPORT!$E:$E,$B$6,DATA_TRANSPORT!$AB:$AB,$B$7,DATA_TRANSPORT!$C:$C,"WSF Procured"))</f>
        <v/>
      </c>
      <c r="G132">
        <f>IF(B27="",0,SUMIFS(DATA_TRANSPORT!$S:$S,DATA_TRANSPORT!$A:$A,B27,DATA_TRANSPORT!$E:$E,$B$6,DATA_TRANSPORT!$AB:$AB,$B$7,DATA_TRANSPORT!$C:$C,"FT Procured"))</f>
        <v/>
      </c>
      <c r="H132">
        <f>IF(B27="",0,SUMIFS(DATA_TRANSPORT!$S:$S,DATA_TRANSPORT!$A:$A,B27,DATA_TRANSPORT!$E:$E,$B$6,DATA_TRANSPORT!$AB:$AB,$B$7,DATA_TRANSPORT!$C:$C,"Church Coaster")+IF($B$17,0,SUMIFS(DATA_TRANSPORT_COSTS!$M:$M,DATA_TRANSPORT_COSTS!$A:$A,B27,DATA_TRANSPORT_COSTS!$D:$D,$B$6)))</f>
        <v/>
      </c>
      <c r="I132">
        <f>IF(B27="",0,SUMIFS(DATA_TRANSPORT!$S:$S,DATA_TRANSPORT!$A:$A,B27,DATA_TRANSPORT!$E:$E,$B$6,DATA_TRANSPORT!$AB:$AB,$B$7,DATA_TRANSPORT!$C:$C,"EV/TATA"))</f>
        <v/>
      </c>
      <c r="J132">
        <f>IF(B27="",0,SUMIFS(DATA_TRANSPORT!$S:$S,DATA_TRANSPORT!$A:$A,B27,DATA_TRANSPORT!$E:$E,$B$6,DATA_TRANSPORT!$AB:$AB,$B$7,DATA_TRANSPORT!$C:$C,"WSF Procured"))</f>
        <v/>
      </c>
      <c r="K132">
        <f>W27</f>
        <v/>
      </c>
    </row>
    <row r="133">
      <c r="A133">
        <f>IF(B26="","",TEXT(B26,"dd mmm"))</f>
        <v/>
      </c>
      <c r="B133">
        <f>IF(B26="",0,SUMIFS(DATA_TRANSPORT!$Q:$Q,DATA_TRANSPORT!$A:$A,B26,DATA_TRANSPORT!$E:$E,$B$6,DATA_TRANSPORT!$AB:$AB,$B$7,DATA_TRANSPORT!$C:$C,"FT Procured"))</f>
        <v/>
      </c>
      <c r="C133">
        <f>IF(B26="",0,SUMIFS(DATA_TRANSPORT!$Q:$Q,DATA_TRANSPORT!$A:$A,B26,DATA_TRANSPORT!$E:$E,$B$6,DATA_TRANSPORT!$AB:$AB,$B$7,DATA_TRANSPORT!$C:$C,"Church Coaster"))</f>
        <v/>
      </c>
      <c r="D133">
        <f>IF(B26="",0,SUMIFS(DATA_TRANSPORT!$Q:$Q,DATA_TRANSPORT!$A:$A,B26,DATA_TRANSPORT!$E:$E,$B$6,DATA_TRANSPORT!$AB:$AB,$B$7,DATA_TRANSPORT!$C:$C,"EV/TATA"))</f>
        <v/>
      </c>
      <c r="E133">
        <f>IF(B26="",0,SUMIFS(DATA_TRANSPORT!$Q:$Q,DATA_TRANSPORT!$A:$A,B26,DATA_TRANSPORT!$E:$E,$B$6,DATA_TRANSPORT!$AB:$AB,$B$7,DATA_TRANSPORT!$C:$C,"WSF Procured"))</f>
        <v/>
      </c>
      <c r="G133">
        <f>IF(B26="",0,SUMIFS(DATA_TRANSPORT!$S:$S,DATA_TRANSPORT!$A:$A,B26,DATA_TRANSPORT!$E:$E,$B$6,DATA_TRANSPORT!$AB:$AB,$B$7,DATA_TRANSPORT!$C:$C,"FT Procured"))</f>
        <v/>
      </c>
      <c r="H133">
        <f>IF(B26="",0,SUMIFS(DATA_TRANSPORT!$S:$S,DATA_TRANSPORT!$A:$A,B26,DATA_TRANSPORT!$E:$E,$B$6,DATA_TRANSPORT!$AB:$AB,$B$7,DATA_TRANSPORT!$C:$C,"Church Coaster")+IF($B$17,0,SUMIFS(DATA_TRANSPORT_COSTS!$M:$M,DATA_TRANSPORT_COSTS!$A:$A,B26,DATA_TRANSPORT_COSTS!$D:$D,$B$6)))</f>
        <v/>
      </c>
      <c r="I133">
        <f>IF(B26="",0,SUMIFS(DATA_TRANSPORT!$S:$S,DATA_TRANSPORT!$A:$A,B26,DATA_TRANSPORT!$E:$E,$B$6,DATA_TRANSPORT!$AB:$AB,$B$7,DATA_TRANSPORT!$C:$C,"EV/TATA"))</f>
        <v/>
      </c>
      <c r="J133">
        <f>IF(B26="",0,SUMIFS(DATA_TRANSPORT!$S:$S,DATA_TRANSPORT!$A:$A,B26,DATA_TRANSPORT!$E:$E,$B$6,DATA_TRANSPORT!$AB:$AB,$B$7,DATA_TRANSPORT!$C:$C,"WSF Procured"))</f>
        <v/>
      </c>
      <c r="K133">
        <f>W26</f>
        <v/>
      </c>
    </row>
    <row r="134">
      <c r="A134">
        <f>IF(B25="","",TEXT(B25,"dd mmm"))</f>
        <v/>
      </c>
      <c r="B134">
        <f>IF(B25="",0,SUMIFS(DATA_TRANSPORT!$Q:$Q,DATA_TRANSPORT!$A:$A,B25,DATA_TRANSPORT!$E:$E,$B$6,DATA_TRANSPORT!$AB:$AB,$B$7,DATA_TRANSPORT!$C:$C,"FT Procured"))</f>
        <v/>
      </c>
      <c r="C134">
        <f>IF(B25="",0,SUMIFS(DATA_TRANSPORT!$Q:$Q,DATA_TRANSPORT!$A:$A,B25,DATA_TRANSPORT!$E:$E,$B$6,DATA_TRANSPORT!$AB:$AB,$B$7,DATA_TRANSPORT!$C:$C,"Church Coaster"))</f>
        <v/>
      </c>
      <c r="D134">
        <f>IF(B25="",0,SUMIFS(DATA_TRANSPORT!$Q:$Q,DATA_TRANSPORT!$A:$A,B25,DATA_TRANSPORT!$E:$E,$B$6,DATA_TRANSPORT!$AB:$AB,$B$7,DATA_TRANSPORT!$C:$C,"EV/TATA"))</f>
        <v/>
      </c>
      <c r="E134">
        <f>IF(B25="",0,SUMIFS(DATA_TRANSPORT!$Q:$Q,DATA_TRANSPORT!$A:$A,B25,DATA_TRANSPORT!$E:$E,$B$6,DATA_TRANSPORT!$AB:$AB,$B$7,DATA_TRANSPORT!$C:$C,"WSF Procured"))</f>
        <v/>
      </c>
      <c r="G134">
        <f>IF(B25="",0,SUMIFS(DATA_TRANSPORT!$S:$S,DATA_TRANSPORT!$A:$A,B25,DATA_TRANSPORT!$E:$E,$B$6,DATA_TRANSPORT!$AB:$AB,$B$7,DATA_TRANSPORT!$C:$C,"FT Procured"))</f>
        <v/>
      </c>
      <c r="H134">
        <f>IF(B25="",0,SUMIFS(DATA_TRANSPORT!$S:$S,DATA_TRANSPORT!$A:$A,B25,DATA_TRANSPORT!$E:$E,$B$6,DATA_TRANSPORT!$AB:$AB,$B$7,DATA_TRANSPORT!$C:$C,"Church Coaster")+IF($B$17,0,SUMIFS(DATA_TRANSPORT_COSTS!$M:$M,DATA_TRANSPORT_COSTS!$A:$A,B25,DATA_TRANSPORT_COSTS!$D:$D,$B$6)))</f>
        <v/>
      </c>
      <c r="I134">
        <f>IF(B25="",0,SUMIFS(DATA_TRANSPORT!$S:$S,DATA_TRANSPORT!$A:$A,B25,DATA_TRANSPORT!$E:$E,$B$6,DATA_TRANSPORT!$AB:$AB,$B$7,DATA_TRANSPORT!$C:$C,"EV/TATA"))</f>
        <v/>
      </c>
      <c r="J134">
        <f>IF(B25="",0,SUMIFS(DATA_TRANSPORT!$S:$S,DATA_TRANSPORT!$A:$A,B25,DATA_TRANSPORT!$E:$E,$B$6,DATA_TRANSPORT!$AB:$AB,$B$7,DATA_TRANSPORT!$C:$C,"WSF Procured"))</f>
        <v/>
      </c>
      <c r="K134">
        <f>W25</f>
        <v/>
      </c>
    </row>
    <row r="135">
      <c r="A135">
        <f>IF(B24="","",TEXT(B24,"dd mmm"))</f>
        <v/>
      </c>
      <c r="B135">
        <f>IF(B24="",0,SUMIFS(DATA_TRANSPORT!$Q:$Q,DATA_TRANSPORT!$A:$A,B24,DATA_TRANSPORT!$E:$E,$B$6,DATA_TRANSPORT!$AB:$AB,$B$7,DATA_TRANSPORT!$C:$C,"FT Procured"))</f>
        <v/>
      </c>
      <c r="C135">
        <f>IF(B24="",0,SUMIFS(DATA_TRANSPORT!$Q:$Q,DATA_TRANSPORT!$A:$A,B24,DATA_TRANSPORT!$E:$E,$B$6,DATA_TRANSPORT!$AB:$AB,$B$7,DATA_TRANSPORT!$C:$C,"Church Coaster"))</f>
        <v/>
      </c>
      <c r="D135">
        <f>IF(B24="",0,SUMIFS(DATA_TRANSPORT!$Q:$Q,DATA_TRANSPORT!$A:$A,B24,DATA_TRANSPORT!$E:$E,$B$6,DATA_TRANSPORT!$AB:$AB,$B$7,DATA_TRANSPORT!$C:$C,"EV/TATA"))</f>
        <v/>
      </c>
      <c r="E135">
        <f>IF(B24="",0,SUMIFS(DATA_TRANSPORT!$Q:$Q,DATA_TRANSPORT!$A:$A,B24,DATA_TRANSPORT!$E:$E,$B$6,DATA_TRANSPORT!$AB:$AB,$B$7,DATA_TRANSPORT!$C:$C,"WSF Procured"))</f>
        <v/>
      </c>
      <c r="G135">
        <f>IF(B24="",0,SUMIFS(DATA_TRANSPORT!$S:$S,DATA_TRANSPORT!$A:$A,B24,DATA_TRANSPORT!$E:$E,$B$6,DATA_TRANSPORT!$AB:$AB,$B$7,DATA_TRANSPORT!$C:$C,"FT Procured"))</f>
        <v/>
      </c>
      <c r="H135">
        <f>IF(B24="",0,SUMIFS(DATA_TRANSPORT!$S:$S,DATA_TRANSPORT!$A:$A,B24,DATA_TRANSPORT!$E:$E,$B$6,DATA_TRANSPORT!$AB:$AB,$B$7,DATA_TRANSPORT!$C:$C,"Church Coaster")+IF($B$17,0,SUMIFS(DATA_TRANSPORT_COSTS!$M:$M,DATA_TRANSPORT_COSTS!$A:$A,B24,DATA_TRANSPORT_COSTS!$D:$D,$B$6)))</f>
        <v/>
      </c>
      <c r="I135">
        <f>IF(B24="",0,SUMIFS(DATA_TRANSPORT!$S:$S,DATA_TRANSPORT!$A:$A,B24,DATA_TRANSPORT!$E:$E,$B$6,DATA_TRANSPORT!$AB:$AB,$B$7,DATA_TRANSPORT!$C:$C,"EV/TATA"))</f>
        <v/>
      </c>
      <c r="J135">
        <f>IF(B24="",0,SUMIFS(DATA_TRANSPORT!$S:$S,DATA_TRANSPORT!$A:$A,B24,DATA_TRANSPORT!$E:$E,$B$6,DATA_TRANSPORT!$AB:$AB,$B$7,DATA_TRANSPORT!$C:$C,"WSF Procured"))</f>
        <v/>
      </c>
      <c r="K135">
        <f>W24</f>
        <v/>
      </c>
    </row>
    <row r="136">
      <c r="A136">
        <f>IF(B23="","",TEXT(B23,"dd mmm"))</f>
        <v/>
      </c>
      <c r="B136">
        <f>IF(B23="",0,SUMIFS(DATA_TRANSPORT!$Q:$Q,DATA_TRANSPORT!$A:$A,B23,DATA_TRANSPORT!$E:$E,$B$6,DATA_TRANSPORT!$AB:$AB,$B$7,DATA_TRANSPORT!$C:$C,"FT Procured"))</f>
        <v/>
      </c>
      <c r="C136">
        <f>IF(B23="",0,SUMIFS(DATA_TRANSPORT!$Q:$Q,DATA_TRANSPORT!$A:$A,B23,DATA_TRANSPORT!$E:$E,$B$6,DATA_TRANSPORT!$AB:$AB,$B$7,DATA_TRANSPORT!$C:$C,"Church Coaster"))</f>
        <v/>
      </c>
      <c r="D136">
        <f>IF(B23="",0,SUMIFS(DATA_TRANSPORT!$Q:$Q,DATA_TRANSPORT!$A:$A,B23,DATA_TRANSPORT!$E:$E,$B$6,DATA_TRANSPORT!$AB:$AB,$B$7,DATA_TRANSPORT!$C:$C,"EV/TATA"))</f>
        <v/>
      </c>
      <c r="E136">
        <f>IF(B23="",0,SUMIFS(DATA_TRANSPORT!$Q:$Q,DATA_TRANSPORT!$A:$A,B23,DATA_TRANSPORT!$E:$E,$B$6,DATA_TRANSPORT!$AB:$AB,$B$7,DATA_TRANSPORT!$C:$C,"WSF Procured"))</f>
        <v/>
      </c>
      <c r="G136">
        <f>IF(B23="",0,SUMIFS(DATA_TRANSPORT!$S:$S,DATA_TRANSPORT!$A:$A,B23,DATA_TRANSPORT!$E:$E,$B$6,DATA_TRANSPORT!$AB:$AB,$B$7,DATA_TRANSPORT!$C:$C,"FT Procured"))</f>
        <v/>
      </c>
      <c r="H136">
        <f>IF(B23="",0,SUMIFS(DATA_TRANSPORT!$S:$S,DATA_TRANSPORT!$A:$A,B23,DATA_TRANSPORT!$E:$E,$B$6,DATA_TRANSPORT!$AB:$AB,$B$7,DATA_TRANSPORT!$C:$C,"Church Coaster")+IF($B$17,0,SUMIFS(DATA_TRANSPORT_COSTS!$M:$M,DATA_TRANSPORT_COSTS!$A:$A,B23,DATA_TRANSPORT_COSTS!$D:$D,$B$6)))</f>
        <v/>
      </c>
      <c r="I136">
        <f>IF(B23="",0,SUMIFS(DATA_TRANSPORT!$S:$S,DATA_TRANSPORT!$A:$A,B23,DATA_TRANSPORT!$E:$E,$B$6,DATA_TRANSPORT!$AB:$AB,$B$7,DATA_TRANSPORT!$C:$C,"EV/TATA"))</f>
        <v/>
      </c>
      <c r="J136">
        <f>IF(B23="",0,SUMIFS(DATA_TRANSPORT!$S:$S,DATA_TRANSPORT!$A:$A,B23,DATA_TRANSPORT!$E:$E,$B$6,DATA_TRANSPORT!$AB:$AB,$B$7,DATA_TRANSPORT!$C:$C,"WSF Procured"))</f>
        <v/>
      </c>
      <c r="K136">
        <f>W23</f>
        <v/>
      </c>
    </row>
    <row r="137">
      <c r="A137">
        <f>IF(B22="","",TEXT(B22,"dd mmm"))</f>
        <v/>
      </c>
      <c r="B137">
        <f>IF(B22="",0,SUMIFS(DATA_TRANSPORT!$Q:$Q,DATA_TRANSPORT!$A:$A,B22,DATA_TRANSPORT!$E:$E,$B$6,DATA_TRANSPORT!$AB:$AB,$B$7,DATA_TRANSPORT!$C:$C,"FT Procured"))</f>
        <v/>
      </c>
      <c r="C137">
        <f>IF(B22="",0,SUMIFS(DATA_TRANSPORT!$Q:$Q,DATA_TRANSPORT!$A:$A,B22,DATA_TRANSPORT!$E:$E,$B$6,DATA_TRANSPORT!$AB:$AB,$B$7,DATA_TRANSPORT!$C:$C,"Church Coaster"))</f>
        <v/>
      </c>
      <c r="D137">
        <f>IF(B22="",0,SUMIFS(DATA_TRANSPORT!$Q:$Q,DATA_TRANSPORT!$A:$A,B22,DATA_TRANSPORT!$E:$E,$B$6,DATA_TRANSPORT!$AB:$AB,$B$7,DATA_TRANSPORT!$C:$C,"EV/TATA"))</f>
        <v/>
      </c>
      <c r="E137">
        <f>IF(B22="",0,SUMIFS(DATA_TRANSPORT!$Q:$Q,DATA_TRANSPORT!$A:$A,B22,DATA_TRANSPORT!$E:$E,$B$6,DATA_TRANSPORT!$AB:$AB,$B$7,DATA_TRANSPORT!$C:$C,"WSF Procured"))</f>
        <v/>
      </c>
      <c r="G137">
        <f>IF(B22="",0,SUMIFS(DATA_TRANSPORT!$S:$S,DATA_TRANSPORT!$A:$A,B22,DATA_TRANSPORT!$E:$E,$B$6,DATA_TRANSPORT!$AB:$AB,$B$7,DATA_TRANSPORT!$C:$C,"FT Procured"))</f>
        <v/>
      </c>
      <c r="H137">
        <f>IF(B22="",0,SUMIFS(DATA_TRANSPORT!$S:$S,DATA_TRANSPORT!$A:$A,B22,DATA_TRANSPORT!$E:$E,$B$6,DATA_TRANSPORT!$AB:$AB,$B$7,DATA_TRANSPORT!$C:$C,"Church Coaster")+IF($B$17,0,SUMIFS(DATA_TRANSPORT_COSTS!$M:$M,DATA_TRANSPORT_COSTS!$A:$A,B22,DATA_TRANSPORT_COSTS!$D:$D,$B$6)))</f>
        <v/>
      </c>
      <c r="I137">
        <f>IF(B22="",0,SUMIFS(DATA_TRANSPORT!$S:$S,DATA_TRANSPORT!$A:$A,B22,DATA_TRANSPORT!$E:$E,$B$6,DATA_TRANSPORT!$AB:$AB,$B$7,DATA_TRANSPORT!$C:$C,"EV/TATA"))</f>
        <v/>
      </c>
      <c r="J137">
        <f>IF(B22="",0,SUMIFS(DATA_TRANSPORT!$S:$S,DATA_TRANSPORT!$A:$A,B22,DATA_TRANSPORT!$E:$E,$B$6,DATA_TRANSPORT!$AB:$AB,$B$7,DATA_TRANSPORT!$C:$C,"WSF Procured"))</f>
        <v/>
      </c>
      <c r="K137">
        <f>W22</f>
        <v/>
      </c>
    </row>
    <row r="138">
      <c r="A138">
        <f>IF(B21="","",TEXT(B21,"dd mmm"))</f>
        <v/>
      </c>
      <c r="B138">
        <f>IF(B21="",0,SUMIFS(DATA_TRANSPORT!$Q:$Q,DATA_TRANSPORT!$A:$A,B21,DATA_TRANSPORT!$E:$E,$B$6,DATA_TRANSPORT!$AB:$AB,$B$7,DATA_TRANSPORT!$C:$C,"FT Procured"))</f>
        <v/>
      </c>
      <c r="C138">
        <f>IF(B21="",0,SUMIFS(DATA_TRANSPORT!$Q:$Q,DATA_TRANSPORT!$A:$A,B21,DATA_TRANSPORT!$E:$E,$B$6,DATA_TRANSPORT!$AB:$AB,$B$7,DATA_TRANSPORT!$C:$C,"Church Coaster"))</f>
        <v/>
      </c>
      <c r="D138">
        <f>IF(B21="",0,SUMIFS(DATA_TRANSPORT!$Q:$Q,DATA_TRANSPORT!$A:$A,B21,DATA_TRANSPORT!$E:$E,$B$6,DATA_TRANSPORT!$AB:$AB,$B$7,DATA_TRANSPORT!$C:$C,"EV/TATA"))</f>
        <v/>
      </c>
      <c r="E138">
        <f>IF(B21="",0,SUMIFS(DATA_TRANSPORT!$Q:$Q,DATA_TRANSPORT!$A:$A,B21,DATA_TRANSPORT!$E:$E,$B$6,DATA_TRANSPORT!$AB:$AB,$B$7,DATA_TRANSPORT!$C:$C,"WSF Procured"))</f>
        <v/>
      </c>
      <c r="G138">
        <f>IF(B21="",0,SUMIFS(DATA_TRANSPORT!$S:$S,DATA_TRANSPORT!$A:$A,B21,DATA_TRANSPORT!$E:$E,$B$6,DATA_TRANSPORT!$AB:$AB,$B$7,DATA_TRANSPORT!$C:$C,"FT Procured"))</f>
        <v/>
      </c>
      <c r="H138">
        <f>IF(B21="",0,SUMIFS(DATA_TRANSPORT!$S:$S,DATA_TRANSPORT!$A:$A,B21,DATA_TRANSPORT!$E:$E,$B$6,DATA_TRANSPORT!$AB:$AB,$B$7,DATA_TRANSPORT!$C:$C,"Church Coaster")+IF($B$17,0,SUMIFS(DATA_TRANSPORT_COSTS!$M:$M,DATA_TRANSPORT_COSTS!$A:$A,B21,DATA_TRANSPORT_COSTS!$D:$D,$B$6)))</f>
        <v/>
      </c>
      <c r="I138">
        <f>IF(B21="",0,SUMIFS(DATA_TRANSPORT!$S:$S,DATA_TRANSPORT!$A:$A,B21,DATA_TRANSPORT!$E:$E,$B$6,DATA_TRANSPORT!$AB:$AB,$B$7,DATA_TRANSPORT!$C:$C,"EV/TATA"))</f>
        <v/>
      </c>
      <c r="J138">
        <f>IF(B21="",0,SUMIFS(DATA_TRANSPORT!$S:$S,DATA_TRANSPORT!$A:$A,B21,DATA_TRANSPORT!$E:$E,$B$6,DATA_TRANSPORT!$AB:$AB,$B$7,DATA_TRANSPORT!$C:$C,"WSF Procured"))</f>
        <v/>
      </c>
      <c r="K138">
        <f>W21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2026-09-30T11:50:25Z</dcterms:created>
  <dcterms:modified xsi:type="dcterms:W3CDTF">2026-09-30T11:50:26Z</dcterms:modified>
</cp:coreProperties>
</file>